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royectosconingenieriasas.sharepoint.com/sites/compras/Documentos compartidos/Inventario/INVENTARIO PROPLAS/"/>
    </mc:Choice>
  </mc:AlternateContent>
  <xr:revisionPtr revIDLastSave="0" documentId="8_{69245DBD-CCCB-4460-B0EA-453820DB7310}" xr6:coauthVersionLast="47" xr6:coauthVersionMax="47" xr10:uidLastSave="{00000000-0000-0000-0000-000000000000}"/>
  <bookViews>
    <workbookView xWindow="-120" yWindow="-120" windowWidth="20730" windowHeight="11040" tabRatio="900" firstSheet="3" activeTab="3" xr2:uid="{2E1A283C-E164-4550-A4B1-D1FD3F909945}"/>
  </bookViews>
  <sheets>
    <sheet name="INVENTARIO" sheetId="1" state="hidden" r:id="rId1"/>
    <sheet name="INVENTARIO (2)" sheetId="2" state="hidden" r:id="rId2"/>
    <sheet name="INVENTARIO 18022026" sheetId="5" state="hidden" r:id="rId3"/>
    <sheet name="INVENTARIO_INICIAL21042026" sheetId="6" r:id="rId4"/>
    <sheet name="EXISTENCIAS" sheetId="14" r:id="rId5"/>
    <sheet name="ENTRADAS" sheetId="8" r:id="rId6"/>
    <sheet name="SALIDAS" sheetId="9" r:id="rId7"/>
    <sheet name="Aprovechamientos" sheetId="15" r:id="rId8"/>
    <sheet name="BD" sheetId="12" r:id="rId9"/>
    <sheet name="CC" sheetId="13" r:id="rId10"/>
    <sheet name="Instrucciones" sheetId="17" r:id="rId11"/>
  </sheets>
  <definedNames>
    <definedName name="_xlnm._FilterDatabase" localSheetId="7" hidden="1">Aprovechamientos!$A$1:$L$74</definedName>
    <definedName name="_xlnm._FilterDatabase" localSheetId="4" hidden="1">EXISTENCIAS!$A$1:$E$938</definedName>
    <definedName name="_xlnm._FilterDatabase" localSheetId="0" hidden="1">INVENTARIO!$A$1:$I$610</definedName>
    <definedName name="_xlnm._FilterDatabase" localSheetId="1" hidden="1">'INVENTARIO (2)'!$A$1:$F$610</definedName>
    <definedName name="_xlnm._FilterDatabase" localSheetId="2" hidden="1">'INVENTARIO 18022026'!$A$1:$F$629</definedName>
    <definedName name="_xlnm._FilterDatabase" localSheetId="3" hidden="1">INVENTARIO_INICIAL21042026!$A$1:$J$911</definedName>
    <definedName name="_xlnm._FilterDatabase" localSheetId="6" hidden="1">SALIDAS!$J$1:$J$39</definedName>
    <definedName name="_xleta.SUM" hidden="1" xlm="1">#NAME?</definedName>
    <definedName name="_xlpm.arr_apiladas" hidden="1" xlm="1">#NAME?</definedName>
    <definedName name="_xlpm.arr_existencias" hidden="1" xlm="1">#NAME?</definedName>
    <definedName name="_xlpm.arr_existencias_fix" hidden="1" xlm="1">#NAME?</definedName>
    <definedName name="_xlpm.arr_result_con_valor" hidden="1" xlm="1">#NAME?</definedName>
    <definedName name="_xlpm.arr_result_no_valor" hidden="1" xlm="1">#NAME?</definedName>
    <definedName name="_xlpm.comment1" hidden="1" xlm="1">#NAME?</definedName>
    <definedName name="_xlpm.comment2" hidden="1" xlm="1">#NAME?</definedName>
    <definedName name="_xlpm.comment3" hidden="1" xlm="1">#NAME?</definedName>
    <definedName name="_xlpm.comment4" hidden="1" xlm="1">#NAME?</definedName>
    <definedName name="_xlpm.comment5" hidden="1" xlm="1">#NAME?</definedName>
    <definedName name="_xlpm.entradas" hidden="1" xlm="1">#NAME?</definedName>
    <definedName name="_xlpm.inicial" hidden="1" xlm="1">#NAME?</definedName>
    <definedName name="_xlpm.ins" hidden="1" xlm="1">#NAME?</definedName>
    <definedName name="_xlpm.ins_cant_pos" hidden="1" xlm="1">#NAME?</definedName>
    <definedName name="_xlpm.ins_item_ele" hidden="1" xlm="1">#NAME?</definedName>
    <definedName name="_xlpm.outs" hidden="1" xlm="1">#NAME?</definedName>
    <definedName name="_xlpm.outs_cant_ele" hidden="1" xlm="1">#NAME?</definedName>
    <definedName name="_xlpm.outs_cant_neg" hidden="1" xlm="1">#NAME?</definedName>
    <definedName name="_xlpm.salidas" hidden="1" xlm="1">#NAME?</definedName>
    <definedName name="_xlpm.vect_unidad" hidden="1" xlm="1">#NAME?</definedName>
    <definedName name="_xlpm.vect_unidad_fix" hidden="1" xlm="1">#NAME?</definedName>
    <definedName name="_xlpm.vect_valor_unit" hidden="1" xlm="1">#NAME?</definedName>
    <definedName name="_xlpm.vect_valorizado" hidden="1" xlm="1">#NAME?</definedName>
    <definedName name="tblSTOCK">_xlfn.ANCHORARRAY(EXISTENCIAS!$A$1)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7" i="15" l="1"/>
  <c r="F77" i="15" s="1"/>
  <c r="G76" i="15"/>
  <c r="F76" i="15" s="1"/>
  <c r="D613" i="6"/>
  <c r="G687" i="6"/>
  <c r="G688" i="6"/>
  <c r="E612" i="12" a="1"/>
  <c r="E611" i="12" a="1"/>
  <c r="G686" i="6"/>
  <c r="E616" i="12" a="1"/>
  <c r="G636" i="6"/>
  <c r="E708" i="12" a="1"/>
  <c r="G681" i="6"/>
  <c r="G661" i="6"/>
  <c r="E695" i="12" a="1"/>
  <c r="G663" i="6"/>
  <c r="E693" i="12" a="1"/>
  <c r="D667" i="6"/>
  <c r="G667" i="6" s="1"/>
  <c r="E623" i="12" a="1"/>
  <c r="G682" i="6"/>
  <c r="E620" i="12" a="1"/>
  <c r="G584" i="6"/>
  <c r="E689" i="12" a="1"/>
  <c r="G586" i="6"/>
  <c r="E687" i="12" a="1"/>
  <c r="D593" i="6"/>
  <c r="G593" i="6" s="1"/>
  <c r="E678" i="12" s="1" a="1"/>
  <c r="G910" i="6"/>
  <c r="G911" i="6"/>
  <c r="G909" i="6"/>
  <c r="G908" i="6"/>
  <c r="G907" i="6"/>
  <c r="E2" i="15"/>
  <c r="E3" i="15"/>
  <c r="E4" i="15"/>
  <c r="E5" i="15"/>
  <c r="E6" i="15"/>
  <c r="E7" i="15"/>
  <c r="E8" i="15"/>
  <c r="E12" i="15"/>
  <c r="E75" i="1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E820" i="12" a="1"/>
  <c r="E36" i="9" s="1"/>
  <c r="F36" i="9" s="1"/>
  <c r="E213" i="12" a="1"/>
  <c r="G216" i="6"/>
  <c r="E323" i="12" a="1"/>
  <c r="G693" i="6"/>
  <c r="E610" i="12" a="1"/>
  <c r="G695" i="6"/>
  <c r="E607" i="12" a="1"/>
  <c r="E605" i="12" a="1"/>
  <c r="E608" i="12" a="1"/>
  <c r="G689" i="6"/>
  <c r="E615" i="12" a="1"/>
  <c r="G690" i="6"/>
  <c r="E614" i="12" a="1"/>
  <c r="G691" i="6"/>
  <c r="E619" i="12" a="1"/>
  <c r="G684" i="6"/>
  <c r="E618" i="12" a="1"/>
  <c r="D2" i="13"/>
  <c r="D3" i="13"/>
  <c r="D4" i="13"/>
  <c r="D5" i="13"/>
  <c r="D6" i="13"/>
  <c r="D7" i="13"/>
  <c r="D8" i="13"/>
  <c r="D9" i="13"/>
  <c r="D10" i="13"/>
  <c r="F901" i="6"/>
  <c r="F865" i="6"/>
  <c r="G865" i="6" s="1"/>
  <c r="E911" i="12" s="1" a="1"/>
  <c r="F854" i="6"/>
  <c r="G854" i="6" s="1"/>
  <c r="E900" i="12" s="1" a="1"/>
  <c r="F851" i="6"/>
  <c r="G851" i="6" s="1"/>
  <c r="E896" i="12" s="1" a="1"/>
  <c r="F833" i="6"/>
  <c r="G833" i="6" s="1"/>
  <c r="E878" i="12" s="1" a="1"/>
  <c r="F832" i="6"/>
  <c r="G832" i="6" s="1"/>
  <c r="E877" i="12" s="1" a="1"/>
  <c r="F827" i="6"/>
  <c r="G827" i="6" s="1"/>
  <c r="E872" i="12" s="1" a="1"/>
  <c r="F817" i="6"/>
  <c r="F816" i="6"/>
  <c r="F800" i="6"/>
  <c r="F788" i="6"/>
  <c r="G788" i="6" s="1"/>
  <c r="E833" i="12" s="1" a="1"/>
  <c r="F763" i="6"/>
  <c r="G763" i="6" s="1"/>
  <c r="E807" i="12" s="1" a="1"/>
  <c r="F746" i="6"/>
  <c r="G746" i="6" s="1"/>
  <c r="E790" i="12" s="1" a="1"/>
  <c r="F743" i="6"/>
  <c r="G743" i="6" s="1"/>
  <c r="E787" i="12" s="1" a="1"/>
  <c r="F734" i="6"/>
  <c r="F558" i="6"/>
  <c r="F575" i="6"/>
  <c r="G575" i="6" s="1"/>
  <c r="E599" i="12" s="1" a="1"/>
  <c r="F548" i="6"/>
  <c r="F539" i="6"/>
  <c r="G539" i="6" s="1"/>
  <c r="E563" i="12" s="1" a="1"/>
  <c r="F532" i="6"/>
  <c r="G532" i="6" s="1"/>
  <c r="E556" i="12" s="1" a="1"/>
  <c r="F518" i="6"/>
  <c r="G518" i="6" s="1"/>
  <c r="E542" i="12" s="1" a="1"/>
  <c r="F517" i="6"/>
  <c r="G517" i="6" s="1"/>
  <c r="E541" i="12" s="1" a="1"/>
  <c r="F516" i="6"/>
  <c r="G516" i="6" s="1"/>
  <c r="E540" i="12" s="1" a="1"/>
  <c r="F515" i="6"/>
  <c r="G515" i="6" s="1"/>
  <c r="E539" i="12" s="1" a="1"/>
  <c r="F504" i="6"/>
  <c r="F497" i="6"/>
  <c r="F483" i="6"/>
  <c r="F482" i="6"/>
  <c r="F475" i="6"/>
  <c r="F472" i="6"/>
  <c r="F470" i="6"/>
  <c r="F460" i="6"/>
  <c r="F459" i="6"/>
  <c r="F457" i="6"/>
  <c r="G457" i="6" s="1"/>
  <c r="E480" i="12" s="1" a="1"/>
  <c r="F452" i="6"/>
  <c r="G452" i="6" s="1"/>
  <c r="E475" i="12" s="1" a="1"/>
  <c r="F442" i="6"/>
  <c r="G442" i="6" s="1"/>
  <c r="E465" i="12" s="1" a="1"/>
  <c r="F441" i="6"/>
  <c r="G441" i="6" s="1"/>
  <c r="E464" i="12" s="1" a="1"/>
  <c r="F437" i="6"/>
  <c r="G437" i="6" s="1"/>
  <c r="E460" i="12" s="1" a="1"/>
  <c r="F416" i="6"/>
  <c r="F387" i="6"/>
  <c r="F386" i="6"/>
  <c r="F340" i="6"/>
  <c r="F333" i="6"/>
  <c r="F326" i="6"/>
  <c r="F324" i="6"/>
  <c r="F321" i="6"/>
  <c r="F309" i="6"/>
  <c r="F303" i="6"/>
  <c r="F295" i="6"/>
  <c r="F277" i="6"/>
  <c r="G277" i="6" s="1"/>
  <c r="E279" i="12" s="1" a="1"/>
  <c r="F275" i="6"/>
  <c r="F264" i="6"/>
  <c r="F263" i="6"/>
  <c r="F262" i="6"/>
  <c r="F260" i="6"/>
  <c r="F238" i="6"/>
  <c r="F231" i="6"/>
  <c r="F202" i="6"/>
  <c r="F145" i="6"/>
  <c r="F144" i="6"/>
  <c r="F142" i="6"/>
  <c r="F139" i="6"/>
  <c r="F124" i="6"/>
  <c r="F123" i="6"/>
  <c r="F122" i="6"/>
  <c r="F114" i="6"/>
  <c r="F65" i="6"/>
  <c r="F47" i="6"/>
  <c r="F43" i="6"/>
  <c r="F40" i="6"/>
  <c r="G40" i="6" s="1"/>
  <c r="E40" i="12" s="1" a="1"/>
  <c r="F37" i="6"/>
  <c r="G37" i="6" s="1"/>
  <c r="E37" i="12" s="1" a="1"/>
  <c r="F34" i="6"/>
  <c r="G34" i="6" s="1"/>
  <c r="E34" i="12" s="1" a="1"/>
  <c r="F32" i="6"/>
  <c r="G32" i="6" s="1"/>
  <c r="E32" i="12" s="1" a="1"/>
  <c r="F20" i="6"/>
  <c r="G20" i="6" s="1"/>
  <c r="E20" i="12" s="1" a="1"/>
  <c r="E210" i="12" a="1"/>
  <c r="G214" i="6"/>
  <c r="G212" i="6"/>
  <c r="E216" i="12" s="1" a="1"/>
  <c r="G211" i="6"/>
  <c r="E215" i="12" s="1" a="1"/>
  <c r="E217" i="12" a="1"/>
  <c r="E205" i="12" a="1"/>
  <c r="E759" i="12" a="1"/>
  <c r="G715" i="6"/>
  <c r="G595" i="6"/>
  <c r="E675" i="12" a="1"/>
  <c r="D587" i="6"/>
  <c r="G587" i="6" s="1"/>
  <c r="D588" i="6"/>
  <c r="G588" i="6" s="1"/>
  <c r="E684" i="12" s="1" a="1"/>
  <c r="D87" i="6"/>
  <c r="G611" i="6"/>
  <c r="F894" i="6"/>
  <c r="F826" i="6"/>
  <c r="F880" i="6"/>
  <c r="F218" i="6"/>
  <c r="F717" i="6"/>
  <c r="G717" i="6" s="1"/>
  <c r="E762" i="12" s="1" a="1"/>
  <c r="F801" i="6"/>
  <c r="F803" i="6"/>
  <c r="G803" i="6" s="1"/>
  <c r="E848" i="12" s="1" a="1"/>
  <c r="F802" i="6"/>
  <c r="G802" i="6" s="1"/>
  <c r="E847" i="12" s="1" a="1"/>
  <c r="F799" i="6"/>
  <c r="G799" i="6" s="1"/>
  <c r="E844" i="12" s="1" a="1"/>
  <c r="F798" i="6"/>
  <c r="F797" i="6"/>
  <c r="G797" i="6" s="1"/>
  <c r="E842" i="12" s="1" a="1"/>
  <c r="F774" i="6"/>
  <c r="G774" i="6" s="1"/>
  <c r="E818" i="12" s="1" a="1"/>
  <c r="F775" i="6"/>
  <c r="G775" i="6" s="1"/>
  <c r="E819" i="12" s="1" a="1"/>
  <c r="F772" i="6"/>
  <c r="G772" i="6" s="1"/>
  <c r="E816" i="12" s="1" a="1"/>
  <c r="F771" i="6"/>
  <c r="G771" i="6" s="1"/>
  <c r="E815" i="12" s="1" a="1"/>
  <c r="F770" i="6"/>
  <c r="G770" i="6" s="1"/>
  <c r="E814" i="12" s="1" a="1"/>
  <c r="F559" i="6"/>
  <c r="G559" i="6" s="1"/>
  <c r="E583" i="12" s="1" a="1"/>
  <c r="F562" i="6"/>
  <c r="G562" i="6" s="1"/>
  <c r="E586" i="12" s="1" a="1"/>
  <c r="F561" i="6"/>
  <c r="G561" i="6" s="1"/>
  <c r="E585" i="12" s="1" a="1"/>
  <c r="F560" i="6"/>
  <c r="F537" i="6"/>
  <c r="F536" i="6"/>
  <c r="G536" i="6" s="1"/>
  <c r="E560" i="12" s="1" a="1"/>
  <c r="F535" i="6"/>
  <c r="G535" i="6" s="1"/>
  <c r="E559" i="12" s="1" a="1"/>
  <c r="E32" i="9" s="1"/>
  <c r="F32" i="9" s="1"/>
  <c r="E41" i="9"/>
  <c r="F41" i="9" s="1"/>
  <c r="E949" i="12" a="1"/>
  <c r="E935" i="12" a="1"/>
  <c r="E910" i="12" a="1"/>
  <c r="E897" i="12" a="1"/>
  <c r="E894" i="12" a="1"/>
  <c r="E892" i="12" a="1"/>
  <c r="E891" i="12" a="1"/>
  <c r="E885" i="12" a="1"/>
  <c r="E882" i="12" a="1"/>
  <c r="E826" i="12" a="1"/>
  <c r="E825" i="12" a="1"/>
  <c r="E824" i="12" a="1"/>
  <c r="E823" i="12" a="1"/>
  <c r="E822" i="12" a="1"/>
  <c r="E821" i="12" a="1"/>
  <c r="E813" i="12" a="1"/>
  <c r="E9" i="9" s="1"/>
  <c r="F9" i="9" s="1"/>
  <c r="E805" i="12" a="1"/>
  <c r="E784" i="12" a="1"/>
  <c r="E783" i="12" a="1"/>
  <c r="E782" i="12" a="1"/>
  <c r="E777" i="12" a="1"/>
  <c r="E776" i="12" a="1"/>
  <c r="E772" i="12" a="1"/>
  <c r="E771" i="12" a="1"/>
  <c r="E764" i="12" a="1"/>
  <c r="E763" i="12" a="1"/>
  <c r="E761" i="12" a="1"/>
  <c r="E760" i="12" a="1"/>
  <c r="E757" i="12" a="1"/>
  <c r="E756" i="12" a="1"/>
  <c r="E35" i="9" s="1"/>
  <c r="F35" i="9" s="1"/>
  <c r="E755" i="12" a="1"/>
  <c r="E753" i="12" a="1"/>
  <c r="E752" i="12" a="1"/>
  <c r="E751" i="12" a="1"/>
  <c r="E750" i="12" a="1"/>
  <c r="E749" i="12" a="1"/>
  <c r="E742" i="12" a="1"/>
  <c r="E739" i="12" a="1"/>
  <c r="E737" i="12" a="1"/>
  <c r="E736" i="12" a="1"/>
  <c r="E731" i="12" a="1"/>
  <c r="E730" i="12" a="1"/>
  <c r="E729" i="12" a="1"/>
  <c r="E728" i="12" a="1"/>
  <c r="E726" i="12" a="1"/>
  <c r="E725" i="12" a="1"/>
  <c r="E724" i="12" a="1"/>
  <c r="E723" i="12" a="1"/>
  <c r="E722" i="12" a="1"/>
  <c r="E721" i="12" a="1"/>
  <c r="E720" i="12" a="1"/>
  <c r="E719" i="12" a="1"/>
  <c r="E718" i="12" a="1"/>
  <c r="E717" i="12" a="1"/>
  <c r="E716" i="12" a="1"/>
  <c r="E715" i="12" a="1"/>
  <c r="E714" i="12" a="1"/>
  <c r="E713" i="12" a="1"/>
  <c r="E712" i="12" a="1"/>
  <c r="E711" i="12" a="1"/>
  <c r="E709" i="12" a="1"/>
  <c r="E707" i="12" a="1"/>
  <c r="E706" i="12" a="1"/>
  <c r="E705" i="12" a="1"/>
  <c r="E704" i="12" a="1"/>
  <c r="E703" i="12" a="1"/>
  <c r="E702" i="12" a="1"/>
  <c r="E701" i="12" a="1"/>
  <c r="E700" i="12" a="1"/>
  <c r="E699" i="12" a="1"/>
  <c r="E698" i="12" a="1"/>
  <c r="E697" i="12" a="1"/>
  <c r="E696" i="12" a="1"/>
  <c r="E694" i="12" a="1"/>
  <c r="E692" i="12" a="1"/>
  <c r="E691" i="12" a="1"/>
  <c r="E690" i="12" a="1"/>
  <c r="E688" i="12" a="1"/>
  <c r="E676" i="12" a="1"/>
  <c r="E665" i="12" a="1"/>
  <c r="E664" i="12" a="1"/>
  <c r="E663" i="12" a="1"/>
  <c r="E662" i="12" a="1"/>
  <c r="E661" i="12" a="1"/>
  <c r="E660" i="12" a="1"/>
  <c r="E659" i="12" a="1"/>
  <c r="E657" i="12" a="1"/>
  <c r="E656" i="12" a="1"/>
  <c r="E655" i="12" a="1"/>
  <c r="E652" i="12" a="1"/>
  <c r="E650" i="12" a="1"/>
  <c r="E649" i="12" a="1"/>
  <c r="E648" i="12" a="1"/>
  <c r="E647" i="12" a="1"/>
  <c r="E646" i="12" a="1"/>
  <c r="E645" i="12" a="1"/>
  <c r="E644" i="12" a="1"/>
  <c r="E643" i="12" a="1"/>
  <c r="E641" i="12" a="1"/>
  <c r="E640" i="12" a="1"/>
  <c r="E639" i="12" a="1"/>
  <c r="E637" i="12" a="1"/>
  <c r="E636" i="12" a="1"/>
  <c r="E635" i="12" a="1"/>
  <c r="E634" i="12" a="1"/>
  <c r="E632" i="12" a="1"/>
  <c r="E631" i="12" a="1"/>
  <c r="E630" i="12" a="1"/>
  <c r="E629" i="12" a="1"/>
  <c r="E628" i="12" a="1"/>
  <c r="E627" i="12" a="1"/>
  <c r="E625" i="12" a="1"/>
  <c r="E624" i="12" a="1"/>
  <c r="E621" i="12" a="1"/>
  <c r="E617" i="12" a="1"/>
  <c r="E613" i="12" a="1"/>
  <c r="E609" i="12" a="1"/>
  <c r="E606" i="12" a="1"/>
  <c r="E575" i="12" a="1"/>
  <c r="E529" i="12" a="1"/>
  <c r="E527" i="12" a="1"/>
  <c r="E512" i="12" a="1"/>
  <c r="E500" i="12" a="1"/>
  <c r="E479" i="12" a="1"/>
  <c r="E472" i="12" a="1"/>
  <c r="E471" i="12" a="1"/>
  <c r="E467" i="12" a="1"/>
  <c r="E466" i="12" a="1"/>
  <c r="E436" i="12" a="1"/>
  <c r="E435" i="12" a="1"/>
  <c r="E434" i="12" a="1"/>
  <c r="E433" i="12" a="1"/>
  <c r="E432" i="12" a="1"/>
  <c r="E25" i="9" s="1"/>
  <c r="F25" i="9" s="1"/>
  <c r="E428" i="12" a="1"/>
  <c r="E427" i="12" a="1"/>
  <c r="E426" i="12" a="1"/>
  <c r="E410" i="12" a="1"/>
  <c r="E409" i="12" a="1"/>
  <c r="E396" i="12" a="1"/>
  <c r="E395" i="12" a="1"/>
  <c r="E375" i="12" a="1"/>
  <c r="E374" i="12" a="1"/>
  <c r="E363" i="12" a="1"/>
  <c r="E362" i="12" a="1"/>
  <c r="E361" i="12" a="1"/>
  <c r="E360" i="12" a="1"/>
  <c r="E359" i="12" a="1"/>
  <c r="E358" i="12" a="1"/>
  <c r="E341" i="12" a="1"/>
  <c r="E335" i="12" a="1"/>
  <c r="E331" i="12" a="1"/>
  <c r="E330" i="12" a="1"/>
  <c r="E322" i="12" a="1"/>
  <c r="E321" i="12" a="1"/>
  <c r="E319" i="12" a="1"/>
  <c r="E302" i="12" a="1"/>
  <c r="E268" i="12" a="1"/>
  <c r="E259" i="12" a="1"/>
  <c r="E218" i="12" a="1"/>
  <c r="E212" i="12" a="1"/>
  <c r="E211" i="12" a="1"/>
  <c r="E209" i="12" a="1"/>
  <c r="E208" i="12" a="1"/>
  <c r="E207" i="12" a="1"/>
  <c r="E204" i="12" a="1"/>
  <c r="E183" i="12" a="1"/>
  <c r="E164" i="12" a="1"/>
  <c r="E158" i="12" a="1"/>
  <c r="E147" i="12" a="1"/>
  <c r="E112" i="12" a="1"/>
  <c r="E98" i="12" a="1"/>
  <c r="E93" i="12" a="1"/>
  <c r="E92" i="12" a="1"/>
  <c r="E81" i="12" a="1"/>
  <c r="E67" i="12" a="1"/>
  <c r="E66" i="12" a="1"/>
  <c r="E44" i="12" a="1"/>
  <c r="J2" i="9" a="1"/>
  <c r="G906" i="6"/>
  <c r="E952" i="12" s="1" a="1"/>
  <c r="F905" i="6"/>
  <c r="G905" i="6" s="1"/>
  <c r="E951" i="12" s="1" a="1"/>
  <c r="F904" i="6"/>
  <c r="G904" i="6" s="1"/>
  <c r="E950" i="12" s="1" a="1"/>
  <c r="G903" i="6"/>
  <c r="F902" i="6"/>
  <c r="G902" i="6" s="1"/>
  <c r="E948" i="12" s="1" a="1"/>
  <c r="G901" i="6"/>
  <c r="E947" i="12" s="1" a="1"/>
  <c r="F900" i="6"/>
  <c r="G900" i="6" s="1"/>
  <c r="E946" i="12" s="1" a="1"/>
  <c r="F899" i="6"/>
  <c r="G899" i="6" s="1"/>
  <c r="E945" i="12" s="1" a="1"/>
  <c r="F898" i="6"/>
  <c r="G898" i="6" s="1"/>
  <c r="E944" i="12" s="1" a="1"/>
  <c r="F897" i="6"/>
  <c r="G897" i="6" s="1"/>
  <c r="E943" i="12" s="1" a="1"/>
  <c r="F896" i="6"/>
  <c r="G896" i="6" s="1"/>
  <c r="E942" i="12" s="1" a="1"/>
  <c r="F895" i="6"/>
  <c r="G895" i="6" s="1"/>
  <c r="E941" i="12" s="1" a="1"/>
  <c r="G894" i="6"/>
  <c r="E940" i="12" s="1" a="1"/>
  <c r="F893" i="6"/>
  <c r="G893" i="6" s="1"/>
  <c r="E939" i="12" s="1" a="1"/>
  <c r="F892" i="6"/>
  <c r="G892" i="6" s="1"/>
  <c r="E938" i="12" s="1" a="1"/>
  <c r="F891" i="6"/>
  <c r="G891" i="6" s="1"/>
  <c r="E937" i="12" s="1" a="1"/>
  <c r="F890" i="6"/>
  <c r="G890" i="6" s="1"/>
  <c r="E936" i="12" s="1" a="1"/>
  <c r="G889" i="6"/>
  <c r="F888" i="6"/>
  <c r="G888" i="6" s="1"/>
  <c r="E934" i="12" s="1" a="1"/>
  <c r="G887" i="6"/>
  <c r="E933" i="12" s="1" a="1"/>
  <c r="F886" i="6"/>
  <c r="G886" i="6" s="1"/>
  <c r="E932" i="12" s="1" a="1"/>
  <c r="F885" i="6"/>
  <c r="G885" i="6" s="1"/>
  <c r="E931" i="12" s="1" a="1"/>
  <c r="F884" i="6"/>
  <c r="G884" i="6" s="1"/>
  <c r="E930" i="12" s="1" a="1"/>
  <c r="F883" i="6"/>
  <c r="G883" i="6" s="1"/>
  <c r="E929" i="12" s="1" a="1"/>
  <c r="F882" i="6"/>
  <c r="G882" i="6" s="1"/>
  <c r="E928" i="12" s="1" a="1"/>
  <c r="F881" i="6"/>
  <c r="G881" i="6" s="1"/>
  <c r="E927" i="12" s="1" a="1"/>
  <c r="G880" i="6"/>
  <c r="E926" i="12" s="1" a="1"/>
  <c r="F879" i="6"/>
  <c r="G879" i="6" s="1"/>
  <c r="E925" i="12" s="1" a="1"/>
  <c r="F878" i="6"/>
  <c r="G878" i="6" s="1"/>
  <c r="E924" i="12" s="1" a="1"/>
  <c r="F877" i="6"/>
  <c r="G877" i="6" s="1"/>
  <c r="E923" i="12" s="1" a="1"/>
  <c r="F876" i="6"/>
  <c r="G876" i="6" s="1"/>
  <c r="E922" i="12" s="1" a="1"/>
  <c r="F875" i="6"/>
  <c r="G875" i="6" s="1"/>
  <c r="E921" i="12" s="1" a="1"/>
  <c r="F874" i="6"/>
  <c r="G874" i="6" s="1"/>
  <c r="E920" i="12" s="1" a="1"/>
  <c r="F873" i="6"/>
  <c r="G873" i="6" s="1"/>
  <c r="E919" i="12" s="1" a="1"/>
  <c r="F872" i="6"/>
  <c r="G872" i="6" s="1"/>
  <c r="E918" i="12" s="1" a="1"/>
  <c r="F871" i="6"/>
  <c r="G871" i="6" s="1"/>
  <c r="E917" i="12" s="1" a="1"/>
  <c r="D870" i="6"/>
  <c r="G870" i="6" s="1"/>
  <c r="E916" i="12" s="1" a="1"/>
  <c r="E51" i="9" s="1"/>
  <c r="F51" i="9" s="1"/>
  <c r="F869" i="6"/>
  <c r="G869" i="6" s="1"/>
  <c r="E915" i="12" s="1" a="1"/>
  <c r="F868" i="6"/>
  <c r="G868" i="6" s="1"/>
  <c r="E914" i="12" s="1" a="1"/>
  <c r="F867" i="6"/>
  <c r="G867" i="6" s="1"/>
  <c r="E913" i="12" s="1" a="1"/>
  <c r="G866" i="6"/>
  <c r="E912" i="12" s="1" a="1"/>
  <c r="G864" i="6"/>
  <c r="F863" i="6"/>
  <c r="G863" i="6" s="1"/>
  <c r="E909" i="12" s="1" a="1"/>
  <c r="F862" i="6"/>
  <c r="G862" i="6" s="1"/>
  <c r="E908" i="12" s="1" a="1"/>
  <c r="F861" i="6"/>
  <c r="G861" i="6" s="1"/>
  <c r="E907" i="12" s="1" a="1"/>
  <c r="F860" i="6"/>
  <c r="G860" i="6" s="1"/>
  <c r="E906" i="12" s="1" a="1"/>
  <c r="F859" i="6"/>
  <c r="G859" i="6" s="1"/>
  <c r="E905" i="12" s="1" a="1"/>
  <c r="F858" i="6"/>
  <c r="G858" i="6" s="1"/>
  <c r="E904" i="12" s="1" a="1"/>
  <c r="F857" i="6"/>
  <c r="G857" i="6" s="1"/>
  <c r="E903" i="12" s="1" a="1"/>
  <c r="F856" i="6"/>
  <c r="G856" i="6" s="1"/>
  <c r="E902" i="12" s="1" a="1"/>
  <c r="F855" i="6"/>
  <c r="G855" i="6" s="1"/>
  <c r="E901" i="12" s="1" a="1"/>
  <c r="G853" i="6"/>
  <c r="E899" i="12" s="1" a="1"/>
  <c r="G852" i="6"/>
  <c r="E898" i="12" s="1" a="1"/>
  <c r="G850" i="6"/>
  <c r="E895" i="12" s="1" a="1"/>
  <c r="G849" i="6"/>
  <c r="F848" i="6"/>
  <c r="G848" i="6" s="1"/>
  <c r="E893" i="12" s="1" a="1"/>
  <c r="G847" i="6"/>
  <c r="G846" i="6"/>
  <c r="F845" i="6"/>
  <c r="G845" i="6" s="1"/>
  <c r="E890" i="12" s="1" a="1"/>
  <c r="G844" i="6"/>
  <c r="E889" i="12" s="1" a="1"/>
  <c r="F843" i="6"/>
  <c r="G843" i="6" s="1"/>
  <c r="E888" i="12" s="1" a="1"/>
  <c r="F842" i="6"/>
  <c r="G842" i="6" s="1"/>
  <c r="E887" i="12" s="1" a="1"/>
  <c r="F841" i="6"/>
  <c r="G841" i="6" s="1"/>
  <c r="E886" i="12" s="1" a="1"/>
  <c r="G840" i="6"/>
  <c r="F839" i="6"/>
  <c r="G839" i="6" s="1"/>
  <c r="E884" i="12" s="1" a="1"/>
  <c r="G838" i="6"/>
  <c r="E883" i="12" s="1" a="1"/>
  <c r="G837" i="6"/>
  <c r="F836" i="6"/>
  <c r="G836" i="6" s="1"/>
  <c r="E881" i="12" s="1" a="1"/>
  <c r="F835" i="6"/>
  <c r="G835" i="6" s="1"/>
  <c r="E880" i="12" s="1" a="1"/>
  <c r="E38" i="9" s="1"/>
  <c r="F38" i="9" s="1"/>
  <c r="F834" i="6"/>
  <c r="G834" i="6" s="1"/>
  <c r="E879" i="12" s="1" a="1"/>
  <c r="G831" i="6"/>
  <c r="E876" i="12" s="1" a="1"/>
  <c r="G830" i="6"/>
  <c r="E875" i="12" s="1" a="1"/>
  <c r="F829" i="6"/>
  <c r="G829" i="6" s="1"/>
  <c r="E874" i="12" s="1" a="1"/>
  <c r="F828" i="6"/>
  <c r="G828" i="6" s="1"/>
  <c r="E873" i="12" s="1" a="1"/>
  <c r="G826" i="6"/>
  <c r="E871" i="12" s="1" a="1"/>
  <c r="F825" i="6"/>
  <c r="G825" i="6" s="1"/>
  <c r="E870" i="12" s="1" a="1"/>
  <c r="G824" i="6"/>
  <c r="E869" i="12" s="1" a="1"/>
  <c r="F823" i="6"/>
  <c r="G823" i="6" s="1"/>
  <c r="E868" i="12" s="1" a="1"/>
  <c r="F822" i="6"/>
  <c r="G822" i="6" s="1"/>
  <c r="E867" i="12" s="1" a="1"/>
  <c r="F821" i="6"/>
  <c r="G821" i="6" s="1"/>
  <c r="E866" i="12" s="1" a="1"/>
  <c r="F820" i="6"/>
  <c r="G820" i="6" s="1"/>
  <c r="E865" i="12" s="1" a="1"/>
  <c r="F819" i="6"/>
  <c r="G819" i="6" s="1"/>
  <c r="E864" i="12" s="1" a="1"/>
  <c r="F818" i="6"/>
  <c r="G818" i="6" s="1"/>
  <c r="E863" i="12" s="1" a="1"/>
  <c r="G817" i="6"/>
  <c r="E862" i="12" s="1" a="1"/>
  <c r="D816" i="6"/>
  <c r="G816" i="6" s="1"/>
  <c r="E861" i="12" s="1" a="1"/>
  <c r="F815" i="6"/>
  <c r="G815" i="6" s="1"/>
  <c r="E860" i="12" s="1" a="1"/>
  <c r="F814" i="6"/>
  <c r="G814" i="6" s="1"/>
  <c r="E859" i="12" s="1" a="1"/>
  <c r="F813" i="6"/>
  <c r="G813" i="6" s="1"/>
  <c r="E858" i="12" s="1" a="1"/>
  <c r="G812" i="6"/>
  <c r="E857" i="12" s="1" a="1"/>
  <c r="G811" i="6"/>
  <c r="E856" i="12" s="1" a="1"/>
  <c r="D810" i="6"/>
  <c r="G810" i="6" s="1"/>
  <c r="E855" i="12" s="1" a="1"/>
  <c r="G809" i="6"/>
  <c r="E854" i="12" s="1" a="1"/>
  <c r="G808" i="6"/>
  <c r="E853" i="12" s="1" a="1"/>
  <c r="F807" i="6"/>
  <c r="G807" i="6" s="1"/>
  <c r="E852" i="12" s="1" a="1"/>
  <c r="F806" i="6"/>
  <c r="G806" i="6" s="1"/>
  <c r="E851" i="12" s="1" a="1"/>
  <c r="F805" i="6"/>
  <c r="G805" i="6" s="1"/>
  <c r="E850" i="12" s="1" a="1"/>
  <c r="F804" i="6"/>
  <c r="G804" i="6" s="1"/>
  <c r="E849" i="12" s="1" a="1"/>
  <c r="D801" i="6"/>
  <c r="G801" i="6" s="1"/>
  <c r="E846" i="12" s="1" a="1"/>
  <c r="G800" i="6"/>
  <c r="E845" i="12" s="1" a="1"/>
  <c r="D798" i="6"/>
  <c r="G798" i="6" s="1"/>
  <c r="E843" i="12" s="1" a="1"/>
  <c r="F796" i="6"/>
  <c r="G796" i="6" s="1"/>
  <c r="E841" i="12" s="1" a="1"/>
  <c r="F795" i="6"/>
  <c r="G795" i="6" s="1"/>
  <c r="E840" i="12" s="1" a="1"/>
  <c r="F794" i="6"/>
  <c r="G794" i="6" s="1"/>
  <c r="E839" i="12" s="1" a="1"/>
  <c r="F793" i="6"/>
  <c r="G793" i="6" s="1"/>
  <c r="E838" i="12" s="1" a="1"/>
  <c r="F792" i="6"/>
  <c r="G792" i="6" s="1"/>
  <c r="E837" i="12" s="1" a="1"/>
  <c r="F791" i="6"/>
  <c r="G791" i="6" s="1"/>
  <c r="E836" i="12" s="1" a="1"/>
  <c r="F790" i="6"/>
  <c r="G790" i="6" s="1"/>
  <c r="E835" i="12" s="1" a="1"/>
  <c r="F789" i="6"/>
  <c r="G789" i="6" s="1"/>
  <c r="E834" i="12" s="1" a="1"/>
  <c r="F787" i="6"/>
  <c r="G787" i="6" s="1"/>
  <c r="E832" i="12" s="1" a="1"/>
  <c r="E37" i="9" s="1"/>
  <c r="F37" i="9" s="1"/>
  <c r="F786" i="6"/>
  <c r="G786" i="6" s="1"/>
  <c r="E831" i="12" s="1" a="1"/>
  <c r="F785" i="6"/>
  <c r="G785" i="6" s="1"/>
  <c r="E830" i="12" s="1" a="1"/>
  <c r="F784" i="6"/>
  <c r="G784" i="6" s="1"/>
  <c r="E829" i="12" s="1" a="1"/>
  <c r="F783" i="6"/>
  <c r="G783" i="6" s="1"/>
  <c r="E828" i="12" s="1" a="1"/>
  <c r="F782" i="6"/>
  <c r="G782" i="6" s="1"/>
  <c r="E827" i="12" s="1" a="1"/>
  <c r="G781" i="6"/>
  <c r="G780" i="6"/>
  <c r="G779" i="6"/>
  <c r="G778" i="6"/>
  <c r="G777" i="6"/>
  <c r="G776" i="6"/>
  <c r="G773" i="6"/>
  <c r="E817" i="12" s="1" a="1"/>
  <c r="G769" i="6"/>
  <c r="G768" i="6"/>
  <c r="E812" i="12" s="1" a="1"/>
  <c r="G767" i="6"/>
  <c r="E811" i="12" s="1" a="1"/>
  <c r="G766" i="6"/>
  <c r="E810" i="12" s="1" a="1"/>
  <c r="G765" i="6"/>
  <c r="E809" i="12" s="1" a="1"/>
  <c r="G764" i="6"/>
  <c r="E808" i="12" s="1" a="1"/>
  <c r="G762" i="6"/>
  <c r="E806" i="12" s="1" a="1"/>
  <c r="G761" i="6"/>
  <c r="F760" i="6"/>
  <c r="G760" i="6" s="1"/>
  <c r="E804" i="12" s="1" a="1"/>
  <c r="F759" i="6"/>
  <c r="G759" i="6" s="1"/>
  <c r="E803" i="12" s="1" a="1"/>
  <c r="F758" i="6"/>
  <c r="G758" i="6" s="1"/>
  <c r="E802" i="12" s="1" a="1"/>
  <c r="F757" i="6"/>
  <c r="G757" i="6" s="1"/>
  <c r="E801" i="12" s="1" a="1"/>
  <c r="F756" i="6"/>
  <c r="G756" i="6" s="1"/>
  <c r="E800" i="12" s="1" a="1"/>
  <c r="F755" i="6"/>
  <c r="G755" i="6" s="1"/>
  <c r="E799" i="12" s="1" a="1"/>
  <c r="F754" i="6"/>
  <c r="G754" i="6" s="1"/>
  <c r="E798" i="12" s="1" a="1"/>
  <c r="F753" i="6"/>
  <c r="G753" i="6" s="1"/>
  <c r="E797" i="12" s="1" a="1"/>
  <c r="F752" i="6"/>
  <c r="G752" i="6" s="1"/>
  <c r="E796" i="12" s="1" a="1"/>
  <c r="F751" i="6"/>
  <c r="G751" i="6" s="1"/>
  <c r="E795" i="12" s="1" a="1"/>
  <c r="E43" i="9" s="1"/>
  <c r="F43" i="9" s="1"/>
  <c r="F750" i="6"/>
  <c r="G750" i="6" s="1"/>
  <c r="E794" i="12" s="1" a="1"/>
  <c r="F749" i="6"/>
  <c r="G749" i="6" s="1"/>
  <c r="E793" i="12" s="1" a="1"/>
  <c r="F748" i="6"/>
  <c r="D748" i="6"/>
  <c r="F747" i="6"/>
  <c r="G747" i="6" s="1"/>
  <c r="E791" i="12" s="1" a="1"/>
  <c r="E46" i="9" s="1"/>
  <c r="F46" i="9" s="1"/>
  <c r="G745" i="6"/>
  <c r="E789" i="12" s="1" a="1"/>
  <c r="F744" i="6"/>
  <c r="G744" i="6" s="1"/>
  <c r="E788" i="12" s="1" a="1"/>
  <c r="F742" i="6"/>
  <c r="G742" i="6" s="1"/>
  <c r="E786" i="12" s="1" a="1"/>
  <c r="F741" i="6"/>
  <c r="G741" i="6" s="1"/>
  <c r="E785" i="12" s="1" a="1"/>
  <c r="G740" i="6"/>
  <c r="G739" i="6"/>
  <c r="G738" i="6"/>
  <c r="G737" i="6"/>
  <c r="E781" i="12" s="1" a="1"/>
  <c r="G736" i="6"/>
  <c r="E780" i="12" s="1" a="1"/>
  <c r="G735" i="6"/>
  <c r="E779" i="12" s="1" a="1"/>
  <c r="G734" i="6"/>
  <c r="E778" i="12" s="1" a="1"/>
  <c r="G733" i="6"/>
  <c r="G732" i="6"/>
  <c r="D731" i="6"/>
  <c r="G731" i="6" s="1"/>
  <c r="E775" i="12" s="1" a="1"/>
  <c r="G730" i="6"/>
  <c r="G729" i="6"/>
  <c r="E774" i="12" s="1" a="1"/>
  <c r="G728" i="6"/>
  <c r="E773" i="12" s="1" a="1"/>
  <c r="G727" i="6"/>
  <c r="G726" i="6"/>
  <c r="G725" i="6"/>
  <c r="E770" i="12" s="1" a="1"/>
  <c r="G724" i="6"/>
  <c r="E769" i="12" s="1" a="1"/>
  <c r="G723" i="6"/>
  <c r="E768" i="12" s="1" a="1"/>
  <c r="G722" i="6"/>
  <c r="E767" i="12" s="1" a="1"/>
  <c r="G721" i="6"/>
  <c r="E766" i="12" s="1" a="1"/>
  <c r="G720" i="6"/>
  <c r="E765" i="12" s="1" a="1"/>
  <c r="G719" i="6"/>
  <c r="D718" i="6"/>
  <c r="G718" i="6" s="1"/>
  <c r="G716" i="6"/>
  <c r="G714" i="6"/>
  <c r="F713" i="6"/>
  <c r="G713" i="6" s="1"/>
  <c r="E754" i="12" s="1" a="1"/>
  <c r="F712" i="6"/>
  <c r="G712" i="6" s="1"/>
  <c r="E748" i="12" s="1" a="1"/>
  <c r="F711" i="6"/>
  <c r="G711" i="6" s="1"/>
  <c r="E747" i="12" s="1" a="1"/>
  <c r="F710" i="6"/>
  <c r="G710" i="6" s="1"/>
  <c r="E746" i="12" s="1" a="1"/>
  <c r="F709" i="6"/>
  <c r="G709" i="6" s="1"/>
  <c r="E745" i="12" s="1" a="1"/>
  <c r="F708" i="6"/>
  <c r="G708" i="6" s="1"/>
  <c r="E744" i="12" s="1" a="1"/>
  <c r="F707" i="6"/>
  <c r="G707" i="6" s="1"/>
  <c r="E743" i="12" s="1" a="1"/>
  <c r="F706" i="6"/>
  <c r="G706" i="6" s="1"/>
  <c r="E741" i="12" s="1" a="1"/>
  <c r="F705" i="6"/>
  <c r="G705" i="6" s="1"/>
  <c r="E740" i="12" s="1" a="1"/>
  <c r="F704" i="6"/>
  <c r="G704" i="6" s="1"/>
  <c r="E738" i="12" s="1" a="1"/>
  <c r="G703" i="6"/>
  <c r="E735" i="12" s="1" a="1"/>
  <c r="G702" i="6"/>
  <c r="E734" i="12" s="1" a="1"/>
  <c r="G701" i="6"/>
  <c r="E733" i="12" s="1" a="1"/>
  <c r="G700" i="6"/>
  <c r="E732" i="12" s="1" a="1"/>
  <c r="G699" i="6"/>
  <c r="G698" i="6"/>
  <c r="E727" i="12" s="1" a="1"/>
  <c r="E60" i="9" s="1"/>
  <c r="F60" i="9" s="1"/>
  <c r="G697" i="6"/>
  <c r="G617" i="6"/>
  <c r="G618" i="6"/>
  <c r="G619" i="6"/>
  <c r="G620" i="6"/>
  <c r="G621" i="6"/>
  <c r="G622" i="6"/>
  <c r="G623" i="6"/>
  <c r="G624" i="6"/>
  <c r="G625" i="6"/>
  <c r="G627" i="6"/>
  <c r="G628" i="6"/>
  <c r="G632" i="6"/>
  <c r="G633" i="6"/>
  <c r="G635" i="6"/>
  <c r="G626" i="6"/>
  <c r="E710" i="12" s="1" a="1"/>
  <c r="G637" i="6"/>
  <c r="G638" i="6"/>
  <c r="G639" i="6"/>
  <c r="G640" i="6"/>
  <c r="G641" i="6"/>
  <c r="G643" i="6"/>
  <c r="G647" i="6"/>
  <c r="G648" i="6"/>
  <c r="G650" i="6"/>
  <c r="G651" i="6"/>
  <c r="G652" i="6"/>
  <c r="G654" i="6"/>
  <c r="G656" i="6"/>
  <c r="G662" i="6"/>
  <c r="G664" i="6"/>
  <c r="G665" i="6"/>
  <c r="G666" i="6"/>
  <c r="G583" i="6"/>
  <c r="G585" i="6"/>
  <c r="D581" i="6"/>
  <c r="G581" i="6" s="1"/>
  <c r="E685" i="12" s="1" a="1"/>
  <c r="G589" i="6"/>
  <c r="E683" i="12" s="1" a="1"/>
  <c r="G590" i="6"/>
  <c r="E682" i="12" s="1" a="1"/>
  <c r="G591" i="6"/>
  <c r="E681" i="12" s="1" a="1"/>
  <c r="G582" i="6"/>
  <c r="E679" i="12" s="1" a="1"/>
  <c r="G592" i="6"/>
  <c r="G594" i="6"/>
  <c r="E677" i="12" s="1" a="1"/>
  <c r="G596" i="6"/>
  <c r="G597" i="6"/>
  <c r="E674" i="12" s="1" a="1"/>
  <c r="G598" i="6"/>
  <c r="E673" i="12" s="1" a="1"/>
  <c r="G599" i="6"/>
  <c r="E672" i="12" s="1" a="1"/>
  <c r="G600" i="6"/>
  <c r="E671" i="12" s="1" a="1"/>
  <c r="G601" i="6"/>
  <c r="E670" i="12" s="1" a="1"/>
  <c r="G678" i="6"/>
  <c r="E668" i="12" s="1" a="1"/>
  <c r="G580" i="6"/>
  <c r="D602" i="6"/>
  <c r="G602" i="6" s="1"/>
  <c r="E667" i="12" s="1" a="1"/>
  <c r="G603" i="6"/>
  <c r="E666" i="12" s="1" a="1"/>
  <c r="G604" i="6"/>
  <c r="G605" i="6"/>
  <c r="G674" i="6"/>
  <c r="G606" i="6"/>
  <c r="G607" i="6"/>
  <c r="G608" i="6"/>
  <c r="G609" i="6"/>
  <c r="D610" i="6"/>
  <c r="G610" i="6" s="1"/>
  <c r="G612" i="6"/>
  <c r="G613" i="6"/>
  <c r="E654" i="12" s="1" a="1"/>
  <c r="G614" i="6"/>
  <c r="E653" i="12" s="1" a="1"/>
  <c r="G615" i="6"/>
  <c r="G616" i="6"/>
  <c r="E651" i="12" s="1" a="1"/>
  <c r="G629" i="6"/>
  <c r="G630" i="6"/>
  <c r="G634" i="6"/>
  <c r="G631" i="6"/>
  <c r="G642" i="6"/>
  <c r="G646" i="6"/>
  <c r="G644" i="6"/>
  <c r="G645" i="6"/>
  <c r="G649" i="6"/>
  <c r="E642" i="12" s="1" a="1"/>
  <c r="G657" i="6"/>
  <c r="G660" i="6"/>
  <c r="G658" i="6"/>
  <c r="E638" i="12" s="1" a="1"/>
  <c r="G659" i="6"/>
  <c r="G653" i="6"/>
  <c r="G655" i="6"/>
  <c r="G676" i="6"/>
  <c r="G677" i="6"/>
  <c r="G679" i="6"/>
  <c r="G680" i="6"/>
  <c r="G669" i="6"/>
  <c r="G668" i="6"/>
  <c r="G670" i="6"/>
  <c r="G673" i="6"/>
  <c r="G672" i="6"/>
  <c r="E626" i="12" s="1" a="1"/>
  <c r="G671" i="6"/>
  <c r="G675" i="6"/>
  <c r="G683" i="6"/>
  <c r="E622" i="12" s="1" a="1"/>
  <c r="G685" i="6"/>
  <c r="G692" i="6"/>
  <c r="G694" i="6"/>
  <c r="G696" i="6"/>
  <c r="F579" i="6"/>
  <c r="G579" i="6" s="1"/>
  <c r="E603" i="12" s="1" a="1"/>
  <c r="F578" i="6"/>
  <c r="G578" i="6" s="1"/>
  <c r="E602" i="12" s="1" a="1"/>
  <c r="F577" i="6"/>
  <c r="G577" i="6" s="1"/>
  <c r="E601" i="12" s="1" a="1"/>
  <c r="F576" i="6"/>
  <c r="G576" i="6" s="1"/>
  <c r="E600" i="12" s="1" a="1"/>
  <c r="G574" i="6"/>
  <c r="E598" i="12" s="1" a="1"/>
  <c r="F573" i="6"/>
  <c r="G573" i="6" s="1"/>
  <c r="E597" i="12" s="1" a="1"/>
  <c r="G572" i="6"/>
  <c r="E596" i="12" s="1" a="1"/>
  <c r="F571" i="6"/>
  <c r="G571" i="6" s="1"/>
  <c r="E595" i="12" s="1" a="1"/>
  <c r="G570" i="6"/>
  <c r="E594" i="12" s="1" a="1"/>
  <c r="G569" i="6"/>
  <c r="E593" i="12" s="1" a="1"/>
  <c r="F568" i="6"/>
  <c r="G568" i="6" s="1"/>
  <c r="E592" i="12" s="1" a="1"/>
  <c r="G567" i="6"/>
  <c r="E591" i="12" s="1" a="1"/>
  <c r="F566" i="6"/>
  <c r="G566" i="6" s="1"/>
  <c r="E590" i="12" s="1" a="1"/>
  <c r="F565" i="6"/>
  <c r="G565" i="6" s="1"/>
  <c r="E589" i="12" s="1" a="1"/>
  <c r="F564" i="6"/>
  <c r="G564" i="6" s="1"/>
  <c r="E588" i="12" s="1" a="1"/>
  <c r="F563" i="6"/>
  <c r="G563" i="6" s="1"/>
  <c r="E587" i="12" s="1" a="1"/>
  <c r="D560" i="6"/>
  <c r="G558" i="6"/>
  <c r="E582" i="12" s="1" a="1"/>
  <c r="F557" i="6"/>
  <c r="G557" i="6" s="1"/>
  <c r="E581" i="12" s="1" a="1"/>
  <c r="F556" i="6"/>
  <c r="G556" i="6" s="1"/>
  <c r="E580" i="12" s="1" a="1"/>
  <c r="F555" i="6"/>
  <c r="D555" i="6"/>
  <c r="G555" i="6" s="1"/>
  <c r="E579" i="12" s="1" a="1"/>
  <c r="F554" i="6"/>
  <c r="G554" i="6" s="1"/>
  <c r="E578" i="12" s="1" a="1"/>
  <c r="F553" i="6"/>
  <c r="G553" i="6" s="1"/>
  <c r="E577" i="12" s="1" a="1"/>
  <c r="F552" i="6"/>
  <c r="G552" i="6" s="1"/>
  <c r="E576" i="12" s="1" a="1"/>
  <c r="G551" i="6"/>
  <c r="F550" i="6"/>
  <c r="G550" i="6" s="1"/>
  <c r="E574" i="12" s="1" a="1"/>
  <c r="E57" i="9" s="1"/>
  <c r="F57" i="9" s="1"/>
  <c r="F549" i="6"/>
  <c r="G549" i="6" s="1"/>
  <c r="E573" i="12" s="1" a="1"/>
  <c r="E31" i="9" s="1"/>
  <c r="F31" i="9" s="1"/>
  <c r="G548" i="6"/>
  <c r="E572" i="12" s="1" a="1"/>
  <c r="F547" i="6"/>
  <c r="G547" i="6" s="1"/>
  <c r="E571" i="12" s="1" a="1"/>
  <c r="F546" i="6"/>
  <c r="G546" i="6" s="1"/>
  <c r="E570" i="12" s="1" a="1"/>
  <c r="F545" i="6"/>
  <c r="G545" i="6" s="1"/>
  <c r="E569" i="12" s="1" a="1"/>
  <c r="G544" i="6"/>
  <c r="E568" i="12" s="1" a="1"/>
  <c r="F543" i="6"/>
  <c r="G543" i="6" s="1"/>
  <c r="E567" i="12" s="1" a="1"/>
  <c r="F542" i="6"/>
  <c r="G542" i="6" s="1"/>
  <c r="E566" i="12" s="1" a="1"/>
  <c r="F541" i="6"/>
  <c r="G541" i="6" s="1"/>
  <c r="E565" i="12" s="1" a="1"/>
  <c r="F540" i="6"/>
  <c r="G540" i="6" s="1"/>
  <c r="E564" i="12" s="1" a="1"/>
  <c r="G538" i="6"/>
  <c r="E562" i="12" s="1" a="1"/>
  <c r="D537" i="6"/>
  <c r="F534" i="6"/>
  <c r="G534" i="6" s="1"/>
  <c r="E558" i="12" s="1" a="1"/>
  <c r="E33" i="9" s="1"/>
  <c r="F33" i="9" s="1"/>
  <c r="D533" i="6"/>
  <c r="G533" i="6" s="1"/>
  <c r="E557" i="12" s="1" a="1"/>
  <c r="F531" i="6"/>
  <c r="G531" i="6" s="1"/>
  <c r="E555" i="12" s="1" a="1"/>
  <c r="F530" i="6"/>
  <c r="G530" i="6" s="1"/>
  <c r="E554" i="12" s="1" a="1"/>
  <c r="E30" i="9" s="1"/>
  <c r="F30" i="9" s="1"/>
  <c r="G529" i="6"/>
  <c r="E553" i="12" s="1" a="1"/>
  <c r="G528" i="6"/>
  <c r="E552" i="12" s="1" a="1"/>
  <c r="G527" i="6"/>
  <c r="E551" i="12" s="1" a="1"/>
  <c r="G526" i="6"/>
  <c r="E550" i="12" s="1" a="1"/>
  <c r="F525" i="6"/>
  <c r="G525" i="6" s="1"/>
  <c r="E549" i="12" s="1" a="1"/>
  <c r="F524" i="6"/>
  <c r="G524" i="6" s="1"/>
  <c r="E548" i="12" s="1" a="1"/>
  <c r="F523" i="6"/>
  <c r="G523" i="6" s="1"/>
  <c r="E547" i="12" s="1" a="1"/>
  <c r="F522" i="6"/>
  <c r="G522" i="6" s="1"/>
  <c r="E546" i="12" s="1" a="1"/>
  <c r="F521" i="6"/>
  <c r="G521" i="6" s="1"/>
  <c r="E545" i="12" s="1" a="1"/>
  <c r="F520" i="6"/>
  <c r="G520" i="6" s="1"/>
  <c r="E544" i="12" s="1" a="1"/>
  <c r="F519" i="6"/>
  <c r="G519" i="6" s="1"/>
  <c r="E543" i="12" s="1" a="1"/>
  <c r="F514" i="6"/>
  <c r="G514" i="6" s="1"/>
  <c r="E538" i="12" s="1" a="1"/>
  <c r="F513" i="6"/>
  <c r="G513" i="6" s="1"/>
  <c r="E537" i="12" s="1" a="1"/>
  <c r="F512" i="6"/>
  <c r="G512" i="6" s="1"/>
  <c r="E536" i="12" s="1" a="1"/>
  <c r="F511" i="6"/>
  <c r="G511" i="6" s="1"/>
  <c r="E535" i="12" s="1" a="1"/>
  <c r="F510" i="6"/>
  <c r="G510" i="6" s="1"/>
  <c r="E534" i="12" s="1" a="1"/>
  <c r="F509" i="6"/>
  <c r="G509" i="6" s="1"/>
  <c r="E533" i="12" s="1" a="1"/>
  <c r="E44" i="9" s="1"/>
  <c r="F44" i="9" s="1"/>
  <c r="F508" i="6"/>
  <c r="G508" i="6" s="1"/>
  <c r="E532" i="12" s="1" a="1"/>
  <c r="F507" i="6"/>
  <c r="G507" i="6" s="1"/>
  <c r="E531" i="12" s="1" a="1"/>
  <c r="F506" i="6"/>
  <c r="G506" i="6" s="1"/>
  <c r="E530" i="12" s="1" a="1"/>
  <c r="E50" i="9" s="1"/>
  <c r="F50" i="9" s="1"/>
  <c r="G505" i="6"/>
  <c r="G504" i="6"/>
  <c r="E528" i="12" s="1" a="1"/>
  <c r="G503" i="6"/>
  <c r="E526" i="12" s="1" a="1"/>
  <c r="F502" i="6"/>
  <c r="G502" i="6" s="1"/>
  <c r="E525" i="12" s="1" a="1"/>
  <c r="F501" i="6"/>
  <c r="G501" i="6" s="1"/>
  <c r="E524" i="12" s="1" a="1"/>
  <c r="F500" i="6"/>
  <c r="G500" i="6" s="1"/>
  <c r="E523" i="12" s="1" a="1"/>
  <c r="G499" i="6"/>
  <c r="E522" i="12" s="1" a="1"/>
  <c r="E61" i="9" s="1"/>
  <c r="F61" i="9" s="1"/>
  <c r="G498" i="6"/>
  <c r="E521" i="12" s="1" a="1"/>
  <c r="G497" i="6"/>
  <c r="E520" i="12" s="1" a="1"/>
  <c r="G496" i="6"/>
  <c r="E519" i="12" s="1" a="1"/>
  <c r="G495" i="6"/>
  <c r="E518" i="12" s="1" a="1"/>
  <c r="F494" i="6"/>
  <c r="G494" i="6" s="1"/>
  <c r="E517" i="12" s="1" a="1"/>
  <c r="F493" i="6"/>
  <c r="G493" i="6" s="1"/>
  <c r="E516" i="12" s="1" a="1"/>
  <c r="F492" i="6"/>
  <c r="G492" i="6" s="1"/>
  <c r="E515" i="12" s="1" a="1"/>
  <c r="G491" i="6"/>
  <c r="E514" i="12" s="1" a="1"/>
  <c r="F490" i="6"/>
  <c r="G490" i="6" s="1"/>
  <c r="E513" i="12" s="1" a="1"/>
  <c r="G489" i="6"/>
  <c r="G488" i="6"/>
  <c r="E511" i="12" s="1" a="1"/>
  <c r="G487" i="6"/>
  <c r="E510" i="12" s="1" a="1"/>
  <c r="G486" i="6"/>
  <c r="E509" i="12" s="1" a="1"/>
  <c r="G485" i="6"/>
  <c r="E508" i="12" s="1" a="1"/>
  <c r="G484" i="6"/>
  <c r="E507" i="12" s="1" a="1"/>
  <c r="G483" i="6"/>
  <c r="E506" i="12" s="1" a="1"/>
  <c r="G482" i="6"/>
  <c r="E505" i="12" s="1" a="1"/>
  <c r="F481" i="6"/>
  <c r="G481" i="6" s="1"/>
  <c r="E504" i="12" s="1" a="1"/>
  <c r="G480" i="6"/>
  <c r="E503" i="12" s="1" a="1"/>
  <c r="G479" i="6"/>
  <c r="E502" i="12" s="1" a="1"/>
  <c r="G478" i="6"/>
  <c r="E501" i="12" s="1" a="1"/>
  <c r="G477" i="6"/>
  <c r="F476" i="6"/>
  <c r="G476" i="6" s="1"/>
  <c r="E499" i="12" s="1" a="1"/>
  <c r="G475" i="6"/>
  <c r="E498" i="12" s="1" a="1"/>
  <c r="F474" i="6"/>
  <c r="G474" i="6" s="1"/>
  <c r="E497" i="12" s="1" a="1"/>
  <c r="F473" i="6"/>
  <c r="G473" i="6" s="1"/>
  <c r="E496" i="12" s="1" a="1"/>
  <c r="G472" i="6"/>
  <c r="E495" i="12" s="1" a="1"/>
  <c r="F471" i="6"/>
  <c r="G471" i="6" s="1"/>
  <c r="E494" i="12" s="1" a="1"/>
  <c r="G470" i="6"/>
  <c r="E493" i="12" s="1" a="1"/>
  <c r="F469" i="6"/>
  <c r="G469" i="6" s="1"/>
  <c r="E492" i="12" s="1" a="1"/>
  <c r="F468" i="6"/>
  <c r="G468" i="6" s="1"/>
  <c r="E491" i="12" s="1" a="1"/>
  <c r="E27" i="9" s="1"/>
  <c r="F27" i="9" s="1"/>
  <c r="F467" i="6"/>
  <c r="G467" i="6" s="1"/>
  <c r="E490" i="12" s="1" a="1"/>
  <c r="F466" i="6"/>
  <c r="G466" i="6" s="1"/>
  <c r="E489" i="12" s="1" a="1"/>
  <c r="F465" i="6"/>
  <c r="G465" i="6" s="1"/>
  <c r="E488" i="12" s="1" a="1"/>
  <c r="E28" i="9" s="1"/>
  <c r="F28" i="9" s="1"/>
  <c r="G464" i="6"/>
  <c r="E487" i="12" s="1" a="1"/>
  <c r="F463" i="6"/>
  <c r="G463" i="6" s="1"/>
  <c r="E486" i="12" s="1" a="1"/>
  <c r="F462" i="6"/>
  <c r="G462" i="6" s="1"/>
  <c r="E485" i="12" s="1" a="1"/>
  <c r="E26" i="9" s="1"/>
  <c r="F26" i="9" s="1"/>
  <c r="F461" i="6"/>
  <c r="G461" i="6" s="1"/>
  <c r="E484" i="12" s="1" a="1"/>
  <c r="G460" i="6"/>
  <c r="E483" i="12" s="1" a="1"/>
  <c r="G459" i="6"/>
  <c r="E482" i="12" s="1" a="1"/>
  <c r="F458" i="6"/>
  <c r="G458" i="6" s="1"/>
  <c r="E481" i="12" s="1" a="1"/>
  <c r="G456" i="6"/>
  <c r="F455" i="6"/>
  <c r="G455" i="6" s="1"/>
  <c r="E478" i="12" s="1" a="1"/>
  <c r="F454" i="6"/>
  <c r="G454" i="6" s="1"/>
  <c r="E477" i="12" s="1" a="1"/>
  <c r="F453" i="6"/>
  <c r="G453" i="6" s="1"/>
  <c r="E476" i="12" s="1" a="1"/>
  <c r="F451" i="6"/>
  <c r="G451" i="6" s="1"/>
  <c r="E474" i="12" s="1" a="1"/>
  <c r="F450" i="6"/>
  <c r="G450" i="6" s="1"/>
  <c r="E473" i="12" s="1" a="1"/>
  <c r="G449" i="6"/>
  <c r="G448" i="6"/>
  <c r="G447" i="6"/>
  <c r="E470" i="12" s="1" a="1"/>
  <c r="G446" i="6"/>
  <c r="E469" i="12" s="1" a="1"/>
  <c r="G445" i="6"/>
  <c r="E468" i="12" s="1" a="1"/>
  <c r="G444" i="6"/>
  <c r="G443" i="6"/>
  <c r="F440" i="6"/>
  <c r="G440" i="6" s="1"/>
  <c r="E463" i="12" s="1" a="1"/>
  <c r="F439" i="6"/>
  <c r="G439" i="6" s="1"/>
  <c r="E462" i="12" s="1" a="1"/>
  <c r="F438" i="6"/>
  <c r="G438" i="6" s="1"/>
  <c r="E461" i="12" s="1" a="1"/>
  <c r="F436" i="6"/>
  <c r="G436" i="6" s="1"/>
  <c r="E459" i="12" s="1" a="1"/>
  <c r="F435" i="6"/>
  <c r="G435" i="6" s="1"/>
  <c r="E458" i="12" s="1" a="1"/>
  <c r="F434" i="6"/>
  <c r="G434" i="6" s="1"/>
  <c r="E457" i="12" s="1" a="1"/>
  <c r="F433" i="6"/>
  <c r="G433" i="6" s="1"/>
  <c r="E456" i="12" s="1" a="1"/>
  <c r="E24" i="9" s="1"/>
  <c r="F24" i="9" s="1"/>
  <c r="F432" i="6"/>
  <c r="G432" i="6" s="1"/>
  <c r="E455" i="12" s="1" a="1"/>
  <c r="F431" i="6"/>
  <c r="G431" i="6" s="1"/>
  <c r="E454" i="12" s="1" a="1"/>
  <c r="F430" i="6"/>
  <c r="G430" i="6" s="1"/>
  <c r="E453" i="12" s="1" a="1"/>
  <c r="F429" i="6"/>
  <c r="D429" i="6"/>
  <c r="F428" i="6"/>
  <c r="G428" i="6" s="1"/>
  <c r="E451" i="12" s="1" a="1"/>
  <c r="F427" i="6"/>
  <c r="D427" i="6"/>
  <c r="G427" i="6" s="1"/>
  <c r="E450" i="12" s="1" a="1"/>
  <c r="E22" i="9" s="1"/>
  <c r="F22" i="9" s="1"/>
  <c r="F426" i="6"/>
  <c r="G426" i="6" s="1"/>
  <c r="E449" i="12" s="1" a="1"/>
  <c r="F425" i="6"/>
  <c r="G425" i="6" s="1"/>
  <c r="E448" i="12" s="1" a="1"/>
  <c r="E40" i="9" s="1"/>
  <c r="F40" i="9" s="1"/>
  <c r="F424" i="6"/>
  <c r="G424" i="6" s="1"/>
  <c r="E447" i="12" s="1" a="1"/>
  <c r="G423" i="6"/>
  <c r="E446" i="12" s="1" a="1"/>
  <c r="G422" i="6"/>
  <c r="E445" i="12" s="1" a="1"/>
  <c r="F421" i="6"/>
  <c r="D421" i="6"/>
  <c r="G421" i="6" s="1"/>
  <c r="E444" i="12" s="1" a="1"/>
  <c r="F420" i="6"/>
  <c r="G420" i="6" s="1"/>
  <c r="E443" i="12" s="1" a="1"/>
  <c r="F419" i="6"/>
  <c r="G419" i="6" s="1"/>
  <c r="E442" i="12" s="1" a="1"/>
  <c r="F418" i="6"/>
  <c r="G418" i="6" s="1"/>
  <c r="E441" i="12" s="1" a="1"/>
  <c r="E52" i="9" s="1"/>
  <c r="F52" i="9" s="1"/>
  <c r="F417" i="6"/>
  <c r="D417" i="6"/>
  <c r="G417" i="6" s="1"/>
  <c r="E440" i="12" s="1" a="1"/>
  <c r="G416" i="6"/>
  <c r="E438" i="12" s="1" a="1"/>
  <c r="E23" i="9" s="1"/>
  <c r="F23" i="9" s="1"/>
  <c r="G415" i="6"/>
  <c r="E437" i="12" s="1" a="1"/>
  <c r="G414" i="6"/>
  <c r="G413" i="6"/>
  <c r="G412" i="6"/>
  <c r="G411" i="6"/>
  <c r="G410" i="6"/>
  <c r="G409" i="6"/>
  <c r="E431" i="12" s="1" a="1"/>
  <c r="G408" i="6"/>
  <c r="E430" i="12" s="1" a="1"/>
  <c r="G407" i="6"/>
  <c r="E429" i="12" s="1" a="1"/>
  <c r="G406" i="6"/>
  <c r="G405" i="6"/>
  <c r="G404" i="6"/>
  <c r="E425" i="12" a="1"/>
  <c r="E423" i="12" a="1"/>
  <c r="E420" i="12" a="1"/>
  <c r="E418" i="12" a="1"/>
  <c r="E416" i="12" a="1"/>
  <c r="E415" i="12" a="1"/>
  <c r="E411" i="12" a="1"/>
  <c r="G403" i="6"/>
  <c r="G402" i="6"/>
  <c r="G401" i="6"/>
  <c r="E408" i="12" s="1" a="1"/>
  <c r="G400" i="6"/>
  <c r="E407" i="12" s="1" a="1"/>
  <c r="G399" i="6"/>
  <c r="E406" i="12" s="1" a="1"/>
  <c r="G398" i="6"/>
  <c r="E405" i="12" s="1" a="1"/>
  <c r="G397" i="6"/>
  <c r="E404" i="12" s="1" a="1"/>
  <c r="G396" i="6"/>
  <c r="E403" i="12" s="1" a="1"/>
  <c r="G395" i="6"/>
  <c r="E402" i="12" s="1" a="1"/>
  <c r="G394" i="6"/>
  <c r="E401" i="12" s="1" a="1"/>
  <c r="G393" i="6"/>
  <c r="E400" i="12" s="1" a="1"/>
  <c r="G392" i="6"/>
  <c r="E399" i="12" s="1" a="1"/>
  <c r="G391" i="6"/>
  <c r="E398" i="12" s="1" a="1"/>
  <c r="G390" i="6"/>
  <c r="E397" i="12" s="1" a="1"/>
  <c r="G389" i="6"/>
  <c r="G388" i="6"/>
  <c r="G387" i="6"/>
  <c r="E394" i="12" s="1" a="1"/>
  <c r="G386" i="6"/>
  <c r="E393" i="12" s="1" a="1"/>
  <c r="D385" i="6"/>
  <c r="G385" i="6" s="1"/>
  <c r="E392" i="12" s="1" a="1"/>
  <c r="G384" i="6"/>
  <c r="E391" i="12" s="1" a="1"/>
  <c r="G383" i="6"/>
  <c r="E390" i="12" s="1" a="1"/>
  <c r="G382" i="6"/>
  <c r="E389" i="12" s="1" a="1"/>
  <c r="G381" i="6"/>
  <c r="E388" i="12" s="1" a="1"/>
  <c r="D380" i="6"/>
  <c r="G380" i="6" s="1"/>
  <c r="E387" i="12" s="1" a="1"/>
  <c r="G379" i="6"/>
  <c r="E386" i="12" s="1" a="1"/>
  <c r="G378" i="6"/>
  <c r="E385" i="12" s="1" a="1"/>
  <c r="G377" i="6"/>
  <c r="E384" i="12" s="1" a="1"/>
  <c r="G376" i="6"/>
  <c r="E383" i="12" s="1" a="1"/>
  <c r="D375" i="6"/>
  <c r="G375" i="6" s="1"/>
  <c r="E382" i="12" s="1" a="1"/>
  <c r="G374" i="6"/>
  <c r="E381" i="12" s="1" a="1"/>
  <c r="G373" i="6"/>
  <c r="E380" i="12" s="1" a="1"/>
  <c r="G372" i="6"/>
  <c r="E379" i="12" s="1" a="1"/>
  <c r="G371" i="6"/>
  <c r="E378" i="12" s="1" a="1"/>
  <c r="D370" i="6"/>
  <c r="G370" i="6" s="1"/>
  <c r="E377" i="12" s="1" a="1"/>
  <c r="G369" i="6"/>
  <c r="E376" i="12" s="1" a="1"/>
  <c r="G368" i="6"/>
  <c r="G367" i="6"/>
  <c r="D366" i="6"/>
  <c r="G366" i="6" s="1"/>
  <c r="E373" i="12" s="1" a="1"/>
  <c r="D365" i="6"/>
  <c r="G365" i="6" s="1"/>
  <c r="E372" i="12" s="1" a="1"/>
  <c r="G364" i="6"/>
  <c r="E371" i="12" s="1" a="1"/>
  <c r="G363" i="6"/>
  <c r="E370" i="12" s="1" a="1"/>
  <c r="G362" i="6"/>
  <c r="E369" i="12" s="1" a="1"/>
  <c r="G361" i="6"/>
  <c r="E368" i="12" s="1" a="1"/>
  <c r="D360" i="6"/>
  <c r="G360" i="6" s="1"/>
  <c r="E367" i="12" s="1" a="1"/>
  <c r="G359" i="6"/>
  <c r="E366" i="12" s="1" a="1"/>
  <c r="G358" i="6"/>
  <c r="E365" i="12" s="1" a="1"/>
  <c r="G357" i="6"/>
  <c r="E364" i="12" s="1" a="1"/>
  <c r="G356" i="6"/>
  <c r="G355" i="6"/>
  <c r="G354" i="6"/>
  <c r="G353" i="6"/>
  <c r="G352" i="6"/>
  <c r="G351" i="6"/>
  <c r="F350" i="6"/>
  <c r="G350" i="6" s="1"/>
  <c r="E357" i="12" s="1" a="1"/>
  <c r="F349" i="6"/>
  <c r="G349" i="6" s="1"/>
  <c r="E356" i="12" s="1" a="1"/>
  <c r="E21" i="9" s="1"/>
  <c r="F21" i="9" s="1"/>
  <c r="F348" i="6"/>
  <c r="G348" i="6" s="1"/>
  <c r="E355" i="12" s="1" a="1"/>
  <c r="G347" i="6"/>
  <c r="E354" i="12" s="1" a="1"/>
  <c r="G346" i="6"/>
  <c r="E353" i="12" s="1" a="1"/>
  <c r="G345" i="6"/>
  <c r="E352" i="12" s="1" a="1"/>
  <c r="J344" i="6"/>
  <c r="G344" i="6"/>
  <c r="E351" i="12" s="1" a="1"/>
  <c r="G343" i="6"/>
  <c r="E350" i="12" s="1" a="1"/>
  <c r="G342" i="6"/>
  <c r="E349" i="12" s="1" a="1"/>
  <c r="G341" i="6"/>
  <c r="E348" i="12" s="1" a="1"/>
  <c r="G340" i="6"/>
  <c r="E347" i="12" s="1" a="1"/>
  <c r="G339" i="6"/>
  <c r="E346" i="12" s="1" a="1"/>
  <c r="G338" i="6"/>
  <c r="E345" i="12" s="1" a="1"/>
  <c r="G337" i="6"/>
  <c r="E344" i="12" s="1" a="1"/>
  <c r="G336" i="6"/>
  <c r="E343" i="12" s="1" a="1"/>
  <c r="G335" i="6"/>
  <c r="E342" i="12" s="1" a="1"/>
  <c r="G334" i="6"/>
  <c r="G333" i="6"/>
  <c r="E340" i="12" s="1" a="1"/>
  <c r="E339" i="12" a="1"/>
  <c r="E337" i="12" a="1"/>
  <c r="E336" i="12" a="1"/>
  <c r="G332" i="6"/>
  <c r="G331" i="6"/>
  <c r="E334" i="12" s="1" a="1"/>
  <c r="G330" i="6"/>
  <c r="E333" i="12" s="1" a="1"/>
  <c r="G329" i="6"/>
  <c r="E332" i="12" s="1" a="1"/>
  <c r="G328" i="6"/>
  <c r="G327" i="6"/>
  <c r="G326" i="6"/>
  <c r="E329" i="12" s="1" a="1"/>
  <c r="F325" i="6"/>
  <c r="G325" i="6" s="1"/>
  <c r="E328" i="12" s="1" a="1"/>
  <c r="G324" i="6"/>
  <c r="E327" i="12" s="1" a="1"/>
  <c r="F323" i="6"/>
  <c r="G323" i="6" s="1"/>
  <c r="E326" i="12" s="1" a="1"/>
  <c r="F322" i="6"/>
  <c r="G322" i="6" s="1"/>
  <c r="E325" i="12" s="1" a="1"/>
  <c r="G321" i="6"/>
  <c r="E324" i="12" s="1" a="1"/>
  <c r="G320" i="6"/>
  <c r="G319" i="6"/>
  <c r="F318" i="6"/>
  <c r="G318" i="6" s="1"/>
  <c r="E320" i="12" s="1" a="1"/>
  <c r="G317" i="6"/>
  <c r="F316" i="6"/>
  <c r="G316" i="6" s="1"/>
  <c r="E318" i="12" s="1" a="1"/>
  <c r="G315" i="6"/>
  <c r="E317" i="12" s="1" a="1"/>
  <c r="F314" i="6"/>
  <c r="G314" i="6" s="1"/>
  <c r="E316" i="12" s="1" a="1"/>
  <c r="F313" i="6"/>
  <c r="G313" i="6" s="1"/>
  <c r="E315" i="12" s="1" a="1"/>
  <c r="F312" i="6"/>
  <c r="G312" i="6" s="1"/>
  <c r="E314" i="12" s="1" a="1"/>
  <c r="F311" i="6"/>
  <c r="G311" i="6" s="1"/>
  <c r="E313" i="12" s="1" a="1"/>
  <c r="F310" i="6"/>
  <c r="G310" i="6" s="1"/>
  <c r="E312" i="12" s="1" a="1"/>
  <c r="G309" i="6"/>
  <c r="E311" i="12" s="1" a="1"/>
  <c r="G308" i="6"/>
  <c r="E310" i="12" s="1" a="1"/>
  <c r="G307" i="6"/>
  <c r="E309" i="12" s="1" a="1"/>
  <c r="G306" i="6"/>
  <c r="E308" i="12" s="1" a="1"/>
  <c r="G305" i="6"/>
  <c r="E307" i="12" s="1" a="1"/>
  <c r="G304" i="6"/>
  <c r="E306" i="12" s="1" a="1"/>
  <c r="G303" i="6"/>
  <c r="E305" i="12" s="1" a="1"/>
  <c r="G302" i="6"/>
  <c r="E304" i="12" s="1" a="1"/>
  <c r="F301" i="6"/>
  <c r="G301" i="6" s="1"/>
  <c r="E303" i="12" s="1" a="1"/>
  <c r="G300" i="6"/>
  <c r="F299" i="6"/>
  <c r="G299" i="6" s="1"/>
  <c r="E301" i="12" s="1" a="1"/>
  <c r="F298" i="6"/>
  <c r="G298" i="6" s="1"/>
  <c r="F297" i="6"/>
  <c r="G297" i="6" s="1"/>
  <c r="E299" i="12" s="1" a="1"/>
  <c r="F296" i="6"/>
  <c r="G296" i="6" s="1"/>
  <c r="E298" i="12" s="1" a="1"/>
  <c r="G295" i="6"/>
  <c r="E297" i="12" s="1" a="1"/>
  <c r="F294" i="6"/>
  <c r="G294" i="6" s="1"/>
  <c r="E296" i="12" s="1" a="1"/>
  <c r="F293" i="6"/>
  <c r="G293" i="6" s="1"/>
  <c r="E295" i="12" s="1" a="1"/>
  <c r="F292" i="6"/>
  <c r="G292" i="6" s="1"/>
  <c r="E294" i="12" s="1" a="1"/>
  <c r="F291" i="6"/>
  <c r="G291" i="6" s="1"/>
  <c r="E293" i="12" s="1" a="1"/>
  <c r="E15" i="9" s="1"/>
  <c r="F15" i="9" s="1"/>
  <c r="F290" i="6"/>
  <c r="G290" i="6" s="1"/>
  <c r="E292" i="12" s="1" a="1"/>
  <c r="F289" i="6"/>
  <c r="G289" i="6" s="1"/>
  <c r="E291" i="12" s="1" a="1"/>
  <c r="F288" i="6"/>
  <c r="G288" i="6" s="1"/>
  <c r="E290" i="12" s="1" a="1"/>
  <c r="F287" i="6"/>
  <c r="G287" i="6" s="1"/>
  <c r="E289" i="12" s="1" a="1"/>
  <c r="G286" i="6"/>
  <c r="E288" i="12" s="1" a="1"/>
  <c r="E16" i="9" s="1"/>
  <c r="F16" i="9" s="1"/>
  <c r="F285" i="6"/>
  <c r="G285" i="6" s="1"/>
  <c r="E287" i="12" s="1" a="1"/>
  <c r="F284" i="6"/>
  <c r="G284" i="6" s="1"/>
  <c r="E286" i="12" s="1" a="1"/>
  <c r="F283" i="6"/>
  <c r="G283" i="6" s="1"/>
  <c r="E285" i="12" s="1" a="1"/>
  <c r="F282" i="6"/>
  <c r="G282" i="6" s="1"/>
  <c r="E284" i="12" s="1" a="1"/>
  <c r="G281" i="6"/>
  <c r="E283" i="12" s="1" a="1"/>
  <c r="E17" i="9" s="1"/>
  <c r="F17" i="9" s="1"/>
  <c r="G280" i="6"/>
  <c r="E282" i="12" s="1" a="1"/>
  <c r="G279" i="6"/>
  <c r="E281" i="12" s="1" a="1"/>
  <c r="E20" i="9" s="1"/>
  <c r="F20" i="9" s="1"/>
  <c r="F278" i="6"/>
  <c r="G278" i="6" s="1"/>
  <c r="E280" i="12" s="1" a="1"/>
  <c r="G276" i="6"/>
  <c r="E278" i="12" s="1" a="1"/>
  <c r="D275" i="6"/>
  <c r="G274" i="6"/>
  <c r="E276" i="12" s="1" a="1"/>
  <c r="G273" i="6"/>
  <c r="E275" i="12" s="1" a="1"/>
  <c r="G272" i="6"/>
  <c r="E274" i="12" s="1" a="1"/>
  <c r="G271" i="6"/>
  <c r="E273" i="12" s="1" a="1"/>
  <c r="G270" i="6"/>
  <c r="E272" i="12" s="1" a="1"/>
  <c r="F269" i="6"/>
  <c r="D269" i="6"/>
  <c r="F268" i="6"/>
  <c r="G268" i="6" s="1"/>
  <c r="E270" i="12" s="1" a="1"/>
  <c r="E19" i="9" s="1"/>
  <c r="F19" i="9" s="1"/>
  <c r="F267" i="6"/>
  <c r="G267" i="6" s="1"/>
  <c r="E269" i="12" s="1" a="1"/>
  <c r="E18" i="9" s="1"/>
  <c r="F18" i="9" s="1"/>
  <c r="G266" i="6"/>
  <c r="F265" i="6"/>
  <c r="G265" i="6" s="1"/>
  <c r="E267" i="12" s="1" a="1"/>
  <c r="E42" i="9" s="1"/>
  <c r="F42" i="9" s="1"/>
  <c r="G264" i="6"/>
  <c r="E266" i="12" s="1" a="1"/>
  <c r="G263" i="6"/>
  <c r="E265" i="12" s="1" a="1"/>
  <c r="G262" i="6"/>
  <c r="E264" i="12" s="1" a="1"/>
  <c r="G261" i="6"/>
  <c r="E263" i="12" s="1" a="1"/>
  <c r="G260" i="6"/>
  <c r="E262" i="12" s="1" a="1"/>
  <c r="F259" i="6"/>
  <c r="G259" i="6" s="1"/>
  <c r="E261" i="12" s="1" a="1"/>
  <c r="F258" i="6"/>
  <c r="G258" i="6" s="1"/>
  <c r="E260" i="12" s="1" a="1"/>
  <c r="G257" i="6"/>
  <c r="F256" i="6"/>
  <c r="G256" i="6" s="1"/>
  <c r="E258" i="12" s="1" a="1"/>
  <c r="F255" i="6"/>
  <c r="G255" i="6" s="1"/>
  <c r="E257" i="12" s="1" a="1"/>
  <c r="F254" i="6"/>
  <c r="G254" i="6" s="1"/>
  <c r="E256" i="12" s="1" a="1"/>
  <c r="F253" i="6"/>
  <c r="G253" i="6" s="1"/>
  <c r="E255" i="12" s="1" a="1"/>
  <c r="F252" i="6"/>
  <c r="G252" i="6" s="1"/>
  <c r="E254" i="12" s="1" a="1"/>
  <c r="F251" i="6"/>
  <c r="G251" i="6" s="1"/>
  <c r="E253" i="12" s="1" a="1"/>
  <c r="F250" i="6"/>
  <c r="G250" i="6" s="1"/>
  <c r="E252" i="12" s="1" a="1"/>
  <c r="F249" i="6"/>
  <c r="G249" i="6" s="1"/>
  <c r="E251" i="12" s="1" a="1"/>
  <c r="E49" i="9" s="1"/>
  <c r="F49" i="9" s="1"/>
  <c r="F248" i="6"/>
  <c r="G248" i="6" s="1"/>
  <c r="E250" i="12" s="1" a="1"/>
  <c r="E13" i="9" s="1"/>
  <c r="F13" i="9" s="1"/>
  <c r="F247" i="6"/>
  <c r="G247" i="6" s="1"/>
  <c r="E249" i="12" s="1" a="1"/>
  <c r="G246" i="6"/>
  <c r="E248" i="12" s="1" a="1"/>
  <c r="G245" i="6"/>
  <c r="E247" i="12" s="1" a="1"/>
  <c r="G244" i="6"/>
  <c r="E246" i="12" s="1" a="1"/>
  <c r="E14" i="9" s="1"/>
  <c r="F14" i="9" s="1"/>
  <c r="G243" i="6"/>
  <c r="E245" i="12" s="1" a="1"/>
  <c r="F242" i="6"/>
  <c r="G242" i="6" s="1"/>
  <c r="E244" i="12" s="1" a="1"/>
  <c r="F241" i="6"/>
  <c r="G241" i="6" s="1"/>
  <c r="E243" i="12" s="1" a="1"/>
  <c r="G240" i="6"/>
  <c r="E242" i="12" s="1" a="1"/>
  <c r="F239" i="6"/>
  <c r="D239" i="6"/>
  <c r="G239" i="6" s="1"/>
  <c r="E241" i="12" s="1" a="1"/>
  <c r="G238" i="6"/>
  <c r="E240" i="12" s="1" a="1"/>
  <c r="F237" i="6"/>
  <c r="G237" i="6" s="1"/>
  <c r="E239" i="12" s="1" a="1"/>
  <c r="G236" i="6"/>
  <c r="E238" i="12" s="1" a="1"/>
  <c r="F235" i="6"/>
  <c r="G235" i="6" s="1"/>
  <c r="E237" i="12" s="1" a="1"/>
  <c r="F234" i="6"/>
  <c r="G234" i="6" s="1"/>
  <c r="E236" i="12" s="1" a="1"/>
  <c r="G233" i="6"/>
  <c r="E235" i="12" s="1" a="1"/>
  <c r="F232" i="6"/>
  <c r="G232" i="6" s="1"/>
  <c r="E234" i="12" s="1" a="1"/>
  <c r="G231" i="6"/>
  <c r="E233" i="12" s="1" a="1"/>
  <c r="F230" i="6"/>
  <c r="G230" i="6" s="1"/>
  <c r="E232" i="12" s="1" a="1"/>
  <c r="F229" i="6"/>
  <c r="G229" i="6" s="1"/>
  <c r="E231" i="12" s="1" a="1"/>
  <c r="F228" i="6"/>
  <c r="G228" i="6" s="1"/>
  <c r="E230" i="12" s="1" a="1"/>
  <c r="F227" i="6"/>
  <c r="G227" i="6" s="1"/>
  <c r="E229" i="12" s="1" a="1"/>
  <c r="G226" i="6"/>
  <c r="E228" i="12" s="1" a="1"/>
  <c r="F225" i="6"/>
  <c r="G225" i="6" s="1"/>
  <c r="E227" i="12" s="1" a="1"/>
  <c r="F224" i="6"/>
  <c r="G224" i="6" s="1"/>
  <c r="E226" i="12" s="1" a="1"/>
  <c r="F223" i="6"/>
  <c r="G223" i="6" s="1"/>
  <c r="E225" i="12" s="1" a="1"/>
  <c r="F222" i="6"/>
  <c r="G222" i="6" s="1"/>
  <c r="E224" i="12" s="1" a="1"/>
  <c r="F221" i="6"/>
  <c r="G221" i="6" s="1"/>
  <c r="E223" i="12" s="1" a="1"/>
  <c r="G220" i="6"/>
  <c r="E222" i="12" s="1" a="1"/>
  <c r="G219" i="6"/>
  <c r="E221" i="12" s="1" a="1"/>
  <c r="G218" i="6"/>
  <c r="E220" i="12" s="1" a="1"/>
  <c r="F217" i="6"/>
  <c r="G217" i="6" s="1"/>
  <c r="E219" i="12" s="1" a="1"/>
  <c r="G215" i="6"/>
  <c r="D213" i="6"/>
  <c r="G213" i="6" s="1"/>
  <c r="E214" i="12" s="1" a="1"/>
  <c r="G210" i="6"/>
  <c r="G209" i="6"/>
  <c r="G208" i="6"/>
  <c r="G207" i="6"/>
  <c r="G206" i="6"/>
  <c r="D205" i="6"/>
  <c r="G205" i="6" s="1"/>
  <c r="E206" i="12" s="1" a="1"/>
  <c r="G204" i="6"/>
  <c r="G203" i="6"/>
  <c r="E203" i="12" s="1" a="1"/>
  <c r="G202" i="6"/>
  <c r="E202" i="12" s="1" a="1"/>
  <c r="G201" i="6"/>
  <c r="E201" i="12" s="1" a="1"/>
  <c r="G200" i="6"/>
  <c r="E200" i="12" s="1" a="1"/>
  <c r="F199" i="6"/>
  <c r="G199" i="6" s="1"/>
  <c r="E199" i="12" s="1" a="1"/>
  <c r="F198" i="6"/>
  <c r="G198" i="6" s="1"/>
  <c r="E198" i="12" s="1" a="1"/>
  <c r="F197" i="6"/>
  <c r="G197" i="6" s="1"/>
  <c r="E197" i="12" s="1" a="1"/>
  <c r="G196" i="6"/>
  <c r="E196" i="12" s="1" a="1"/>
  <c r="G195" i="6"/>
  <c r="E195" i="12" s="1" a="1"/>
  <c r="F194" i="6"/>
  <c r="G194" i="6" s="1"/>
  <c r="E194" i="12" s="1" a="1"/>
  <c r="E45" i="9" s="1"/>
  <c r="F45" i="9" s="1"/>
  <c r="F193" i="6"/>
  <c r="G193" i="6" s="1"/>
  <c r="E193" i="12" s="1" a="1"/>
  <c r="F192" i="6"/>
  <c r="G192" i="6" s="1"/>
  <c r="E192" i="12" s="1" a="1"/>
  <c r="F191" i="6"/>
  <c r="G191" i="6" s="1"/>
  <c r="E191" i="12" s="1" a="1"/>
  <c r="F190" i="6"/>
  <c r="G190" i="6" s="1"/>
  <c r="E190" i="12" s="1" a="1"/>
  <c r="E47" i="9" s="1"/>
  <c r="F47" i="9" s="1"/>
  <c r="F189" i="6"/>
  <c r="G189" i="6" s="1"/>
  <c r="E189" i="12" s="1" a="1"/>
  <c r="F188" i="6"/>
  <c r="G188" i="6" s="1"/>
  <c r="E188" i="12" s="1" a="1"/>
  <c r="F187" i="6"/>
  <c r="G187" i="6" s="1"/>
  <c r="E187" i="12" s="1" a="1"/>
  <c r="F186" i="6"/>
  <c r="G186" i="6" s="1"/>
  <c r="E186" i="12" s="1" a="1"/>
  <c r="F185" i="6"/>
  <c r="G185" i="6" s="1"/>
  <c r="E185" i="12" s="1" a="1"/>
  <c r="F184" i="6"/>
  <c r="G184" i="6" s="1"/>
  <c r="E184" i="12" s="1" a="1"/>
  <c r="G183" i="6"/>
  <c r="G182" i="6"/>
  <c r="E182" i="12" s="1" a="1"/>
  <c r="F181" i="6"/>
  <c r="G181" i="6" s="1"/>
  <c r="E181" i="12" s="1" a="1"/>
  <c r="F180" i="6"/>
  <c r="G180" i="6" s="1"/>
  <c r="E180" i="12" s="1" a="1"/>
  <c r="F179" i="6"/>
  <c r="G179" i="6" s="1"/>
  <c r="E179" i="12" s="1" a="1"/>
  <c r="F178" i="6"/>
  <c r="G178" i="6" s="1"/>
  <c r="E178" i="12" s="1" a="1"/>
  <c r="F177" i="6"/>
  <c r="G177" i="6" s="1"/>
  <c r="E177" i="12" s="1" a="1"/>
  <c r="F176" i="6"/>
  <c r="G176" i="6" s="1"/>
  <c r="E176" i="12" s="1" a="1"/>
  <c r="F175" i="6"/>
  <c r="G175" i="6" s="1"/>
  <c r="E175" i="12" s="1" a="1"/>
  <c r="F174" i="6"/>
  <c r="G174" i="6" s="1"/>
  <c r="E174" i="12" s="1" a="1"/>
  <c r="F173" i="6"/>
  <c r="G173" i="6" s="1"/>
  <c r="E173" i="12" s="1" a="1"/>
  <c r="F172" i="6"/>
  <c r="G172" i="6" s="1"/>
  <c r="E172" i="12" s="1" a="1"/>
  <c r="F171" i="6"/>
  <c r="G171" i="6" s="1"/>
  <c r="E171" i="12" s="1" a="1"/>
  <c r="F170" i="6"/>
  <c r="G170" i="6" s="1"/>
  <c r="E170" i="12" s="1" a="1"/>
  <c r="G169" i="6"/>
  <c r="E169" i="12" s="1" a="1"/>
  <c r="G168" i="6"/>
  <c r="E168" i="12" s="1" a="1"/>
  <c r="F167" i="6"/>
  <c r="G167" i="6" s="1"/>
  <c r="E167" i="12" s="1" a="1"/>
  <c r="F166" i="6"/>
  <c r="G166" i="6" s="1"/>
  <c r="E166" i="12" s="1" a="1"/>
  <c r="F165" i="6"/>
  <c r="G165" i="6" s="1"/>
  <c r="E165" i="12" s="1" a="1"/>
  <c r="G164" i="6"/>
  <c r="F163" i="6"/>
  <c r="G163" i="6" s="1"/>
  <c r="E163" i="12" s="1" a="1"/>
  <c r="F162" i="6"/>
  <c r="G162" i="6" s="1"/>
  <c r="F161" i="6"/>
  <c r="G161" i="6" s="1"/>
  <c r="E161" i="12" s="1" a="1"/>
  <c r="F160" i="6"/>
  <c r="G160" i="6" s="1"/>
  <c r="E160" i="12" s="1" a="1"/>
  <c r="E48" i="9" s="1"/>
  <c r="F48" i="9" s="1"/>
  <c r="F159" i="6"/>
  <c r="G159" i="6" s="1"/>
  <c r="E159" i="12" s="1" a="1"/>
  <c r="G158" i="6"/>
  <c r="F157" i="6"/>
  <c r="G157" i="6" s="1"/>
  <c r="E157" i="12" s="1" a="1"/>
  <c r="F156" i="6"/>
  <c r="G156" i="6" s="1"/>
  <c r="E156" i="12" s="1" a="1"/>
  <c r="F155" i="6"/>
  <c r="G155" i="6" s="1"/>
  <c r="E155" i="12" s="1" a="1"/>
  <c r="F154" i="6"/>
  <c r="G154" i="6" s="1"/>
  <c r="E154" i="12" s="1" a="1"/>
  <c r="F153" i="6"/>
  <c r="G153" i="6" s="1"/>
  <c r="E153" i="12" s="1" a="1"/>
  <c r="G152" i="6"/>
  <c r="E152" i="12" s="1" a="1"/>
  <c r="G151" i="6"/>
  <c r="E151" i="12" s="1" a="1"/>
  <c r="G150" i="6"/>
  <c r="E150" i="12" s="1" a="1"/>
  <c r="F149" i="6"/>
  <c r="G149" i="6" s="1"/>
  <c r="E149" i="12" s="1" a="1"/>
  <c r="G148" i="6"/>
  <c r="E148" i="12" s="1" a="1"/>
  <c r="G147" i="6"/>
  <c r="G146" i="6"/>
  <c r="E146" i="12" s="1" a="1"/>
  <c r="G145" i="6"/>
  <c r="E145" i="12" s="1" a="1"/>
  <c r="G144" i="6"/>
  <c r="E144" i="12" s="1" a="1"/>
  <c r="G143" i="6"/>
  <c r="E143" i="12" s="1" a="1"/>
  <c r="G142" i="6"/>
  <c r="E142" i="12" s="1" a="1"/>
  <c r="G141" i="6"/>
  <c r="E141" i="12" s="1" a="1"/>
  <c r="G140" i="6"/>
  <c r="E140" i="12" s="1" a="1"/>
  <c r="G139" i="6"/>
  <c r="E139" i="12" s="1" a="1"/>
  <c r="G138" i="6"/>
  <c r="E138" i="12" s="1" a="1"/>
  <c r="F137" i="6"/>
  <c r="G137" i="6" s="1"/>
  <c r="E137" i="12" s="1" a="1"/>
  <c r="G136" i="6"/>
  <c r="E136" i="12" s="1" a="1"/>
  <c r="G135" i="6"/>
  <c r="E135" i="12" s="1" a="1"/>
  <c r="F134" i="6"/>
  <c r="G134" i="6" s="1"/>
  <c r="E134" i="12" s="1" a="1"/>
  <c r="F133" i="6"/>
  <c r="G133" i="6" s="1"/>
  <c r="E133" i="12" s="1" a="1"/>
  <c r="F132" i="6"/>
  <c r="G132" i="6" s="1"/>
  <c r="E132" i="12" s="1" a="1"/>
  <c r="F131" i="6"/>
  <c r="G131" i="6" s="1"/>
  <c r="E131" i="12" s="1" a="1"/>
  <c r="F130" i="6"/>
  <c r="G130" i="6" s="1"/>
  <c r="E130" i="12" s="1" a="1"/>
  <c r="F129" i="6"/>
  <c r="G129" i="6" s="1"/>
  <c r="E129" i="12" s="1" a="1"/>
  <c r="F128" i="6"/>
  <c r="G128" i="6" s="1"/>
  <c r="E128" i="12" s="1" a="1"/>
  <c r="F127" i="6"/>
  <c r="G127" i="6" s="1"/>
  <c r="E127" i="12" s="1" a="1"/>
  <c r="F126" i="6"/>
  <c r="G126" i="6" s="1"/>
  <c r="E126" i="12" s="1" a="1"/>
  <c r="F125" i="6"/>
  <c r="G125" i="6" s="1"/>
  <c r="E125" i="12" s="1" a="1"/>
  <c r="G124" i="6"/>
  <c r="E124" i="12" s="1" a="1"/>
  <c r="G123" i="6"/>
  <c r="E123" i="12" s="1" a="1"/>
  <c r="G122" i="6"/>
  <c r="E122" i="12" s="1" a="1"/>
  <c r="E12" i="9" s="1"/>
  <c r="F12" i="9" s="1"/>
  <c r="G121" i="6"/>
  <c r="E121" i="12" s="1" a="1"/>
  <c r="G120" i="6"/>
  <c r="E120" i="12" s="1" a="1"/>
  <c r="E11" i="9" s="1"/>
  <c r="F11" i="9" s="1"/>
  <c r="G119" i="6"/>
  <c r="E119" i="12" s="1" a="1"/>
  <c r="E8" i="9" s="1"/>
  <c r="F8" i="9" s="1"/>
  <c r="G118" i="6"/>
  <c r="E118" i="12" s="1" a="1"/>
  <c r="E10" i="9" s="1"/>
  <c r="F10" i="9" s="1"/>
  <c r="G117" i="6"/>
  <c r="E117" i="12" s="1" a="1"/>
  <c r="F116" i="6"/>
  <c r="G116" i="6" s="1"/>
  <c r="E116" i="12" s="1" a="1"/>
  <c r="G115" i="6"/>
  <c r="E115" i="12" s="1" a="1"/>
  <c r="G114" i="6"/>
  <c r="E114" i="12" s="1" a="1"/>
  <c r="F113" i="6"/>
  <c r="G113" i="6" s="1"/>
  <c r="E113" i="12" s="1" a="1"/>
  <c r="G112" i="6"/>
  <c r="F111" i="6"/>
  <c r="G111" i="6" s="1"/>
  <c r="E111" i="12" s="1" a="1"/>
  <c r="F110" i="6"/>
  <c r="G110" i="6" s="1"/>
  <c r="E110" i="12" s="1" a="1"/>
  <c r="F109" i="6"/>
  <c r="G109" i="6" s="1"/>
  <c r="E109" i="12" s="1" a="1"/>
  <c r="G108" i="6"/>
  <c r="E108" i="12" s="1" a="1"/>
  <c r="G107" i="6"/>
  <c r="E107" i="12" s="1" a="1"/>
  <c r="G106" i="6"/>
  <c r="E106" i="12" s="1" a="1"/>
  <c r="G105" i="6"/>
  <c r="E105" i="12" s="1" a="1"/>
  <c r="D104" i="6"/>
  <c r="G104" i="6" s="1"/>
  <c r="E104" i="12" s="1" a="1"/>
  <c r="G103" i="6"/>
  <c r="E103" i="12" s="1" a="1"/>
  <c r="G102" i="6"/>
  <c r="E102" i="12" s="1" a="1"/>
  <c r="G101" i="6"/>
  <c r="E101" i="12" s="1" a="1"/>
  <c r="G100" i="6"/>
  <c r="E100" i="12" s="1" a="1"/>
  <c r="D99" i="6"/>
  <c r="G99" i="6" s="1"/>
  <c r="E99" i="12" s="1" a="1"/>
  <c r="G98" i="6"/>
  <c r="G97" i="6"/>
  <c r="E97" i="12" s="1" a="1"/>
  <c r="G96" i="6"/>
  <c r="G95" i="6"/>
  <c r="E95" i="12" s="1" a="1"/>
  <c r="G94" i="6"/>
  <c r="E94" i="12" s="1" a="1"/>
  <c r="G93" i="6"/>
  <c r="G92" i="6"/>
  <c r="G91" i="6"/>
  <c r="E91" i="12" s="1" a="1"/>
  <c r="G90" i="6"/>
  <c r="E90" i="12" s="1" a="1"/>
  <c r="G89" i="6"/>
  <c r="E89" i="12" s="1" a="1"/>
  <c r="G88" i="6"/>
  <c r="E88" i="12" s="1" a="1"/>
  <c r="G87" i="6"/>
  <c r="E87" i="12" s="1" a="1"/>
  <c r="G86" i="6"/>
  <c r="E86" i="12" s="1" a="1"/>
  <c r="G85" i="6"/>
  <c r="E85" i="12" s="1" a="1"/>
  <c r="G84" i="6"/>
  <c r="E84" i="12" s="1" a="1"/>
  <c r="G83" i="6"/>
  <c r="E83" i="12" s="1" a="1"/>
  <c r="G82" i="6"/>
  <c r="E82" i="12" s="1" a="1"/>
  <c r="G81" i="6"/>
  <c r="F80" i="6"/>
  <c r="G80" i="6" s="1"/>
  <c r="E80" i="12" s="1" a="1"/>
  <c r="G79" i="6"/>
  <c r="E79" i="12" s="1" a="1"/>
  <c r="F78" i="6"/>
  <c r="G78" i="6" s="1"/>
  <c r="E78" i="12" s="1" a="1"/>
  <c r="F77" i="6"/>
  <c r="G77" i="6" s="1"/>
  <c r="E77" i="12" s="1" a="1"/>
  <c r="F76" i="6"/>
  <c r="G76" i="6" s="1"/>
  <c r="E76" i="12" s="1" a="1"/>
  <c r="F75" i="6"/>
  <c r="G75" i="6" s="1"/>
  <c r="E75" i="12" s="1" a="1"/>
  <c r="F74" i="6"/>
  <c r="G74" i="6" s="1"/>
  <c r="E74" i="12" s="1" a="1"/>
  <c r="F73" i="6"/>
  <c r="G73" i="6" s="1"/>
  <c r="E73" i="12" s="1" a="1"/>
  <c r="F72" i="6"/>
  <c r="G72" i="6" s="1"/>
  <c r="E72" i="12" s="1" a="1"/>
  <c r="F71" i="6"/>
  <c r="G71" i="6" s="1"/>
  <c r="E71" i="12" s="1" a="1"/>
  <c r="F70" i="6"/>
  <c r="G70" i="6" s="1"/>
  <c r="E70" i="12" s="1" a="1"/>
  <c r="E7" i="9" s="1"/>
  <c r="F7" i="9" s="1"/>
  <c r="G69" i="6"/>
  <c r="E69" i="12" s="1" a="1"/>
  <c r="G68" i="6"/>
  <c r="E68" i="12" s="1" a="1"/>
  <c r="G67" i="6"/>
  <c r="G66" i="6"/>
  <c r="G65" i="6"/>
  <c r="E65" i="12" s="1" a="1"/>
  <c r="E6" i="9" s="1"/>
  <c r="F6" i="9" s="1"/>
  <c r="F64" i="6"/>
  <c r="G64" i="6" s="1"/>
  <c r="E64" i="12" s="1" a="1"/>
  <c r="F63" i="6"/>
  <c r="G63" i="6" s="1"/>
  <c r="E63" i="12" s="1" a="1"/>
  <c r="G62" i="6"/>
  <c r="E62" i="12" s="1" a="1"/>
  <c r="G61" i="6"/>
  <c r="E61" i="12" s="1" a="1"/>
  <c r="F60" i="6"/>
  <c r="G60" i="6" s="1"/>
  <c r="E60" i="12" s="1" a="1"/>
  <c r="F59" i="6"/>
  <c r="G59" i="6" s="1"/>
  <c r="E59" i="12" s="1" a="1"/>
  <c r="F58" i="6"/>
  <c r="G58" i="6" s="1"/>
  <c r="E58" i="12" s="1" a="1"/>
  <c r="E58" i="9" s="1"/>
  <c r="F58" i="9" s="1"/>
  <c r="F57" i="6"/>
  <c r="G57" i="6" s="1"/>
  <c r="E57" i="12" s="1" a="1"/>
  <c r="F56" i="6"/>
  <c r="G56" i="6" s="1"/>
  <c r="E56" i="12" s="1" a="1"/>
  <c r="F55" i="6"/>
  <c r="G55" i="6" s="1"/>
  <c r="E55" i="12" s="1" a="1"/>
  <c r="F54" i="6"/>
  <c r="G54" i="6" s="1"/>
  <c r="E54" i="12" s="1" a="1"/>
  <c r="F53" i="6"/>
  <c r="G53" i="6" s="1"/>
  <c r="E53" i="12" s="1" a="1"/>
  <c r="F52" i="6"/>
  <c r="G52" i="6" s="1"/>
  <c r="E52" i="12" s="1" a="1"/>
  <c r="E59" i="9" s="1"/>
  <c r="F59" i="9" s="1"/>
  <c r="F51" i="6"/>
  <c r="G51" i="6" s="1"/>
  <c r="E51" i="12" s="1" a="1"/>
  <c r="E4" i="9" s="1"/>
  <c r="F4" i="9" s="1"/>
  <c r="G50" i="6"/>
  <c r="E50" i="12" s="1" a="1"/>
  <c r="G49" i="6"/>
  <c r="E49" i="12" s="1" a="1"/>
  <c r="F48" i="6"/>
  <c r="G48" i="6" s="1"/>
  <c r="E48" i="12" s="1" a="1"/>
  <c r="E5" i="9" s="1"/>
  <c r="F5" i="9" s="1"/>
  <c r="G47" i="6"/>
  <c r="E47" i="12" s="1" a="1"/>
  <c r="F46" i="6"/>
  <c r="G46" i="6" s="1"/>
  <c r="E46" i="12" s="1" a="1"/>
  <c r="G45" i="6"/>
  <c r="E45" i="12" s="1" a="1"/>
  <c r="G44" i="6"/>
  <c r="G43" i="6"/>
  <c r="E43" i="12" s="1" a="1"/>
  <c r="F42" i="6"/>
  <c r="G42" i="6" s="1"/>
  <c r="E42" i="12" s="1" a="1"/>
  <c r="F41" i="6"/>
  <c r="G41" i="6" s="1"/>
  <c r="E41" i="12" s="1" a="1"/>
  <c r="E2" i="9" s="1"/>
  <c r="F2" i="9" s="1"/>
  <c r="F39" i="6"/>
  <c r="G39" i="6" s="1"/>
  <c r="E39" i="12" s="1" a="1"/>
  <c r="F38" i="6"/>
  <c r="G38" i="6" s="1"/>
  <c r="E38" i="12" s="1" a="1"/>
  <c r="F36" i="6"/>
  <c r="G36" i="6" s="1"/>
  <c r="E36" i="12" s="1" a="1"/>
  <c r="F35" i="6"/>
  <c r="G35" i="6" s="1"/>
  <c r="E35" i="12" s="1" a="1"/>
  <c r="F33" i="6"/>
  <c r="G33" i="6" s="1"/>
  <c r="E33" i="12" s="1" a="1"/>
  <c r="F31" i="6"/>
  <c r="G31" i="6" s="1"/>
  <c r="E31" i="12" s="1" a="1"/>
  <c r="F30" i="6"/>
  <c r="G30" i="6" s="1"/>
  <c r="E30" i="12" s="1" a="1"/>
  <c r="E3" i="9" s="1"/>
  <c r="F3" i="9" s="1"/>
  <c r="F29" i="6"/>
  <c r="G29" i="6" s="1"/>
  <c r="E29" i="12" s="1" a="1"/>
  <c r="F28" i="6"/>
  <c r="G28" i="6" s="1"/>
  <c r="E28" i="12" s="1" a="1"/>
  <c r="F27" i="6"/>
  <c r="G27" i="6" s="1"/>
  <c r="E27" i="12" s="1" a="1"/>
  <c r="F26" i="6"/>
  <c r="G26" i="6" s="1"/>
  <c r="E26" i="12" s="1" a="1"/>
  <c r="G25" i="6"/>
  <c r="E25" i="12" s="1" a="1"/>
  <c r="F24" i="6"/>
  <c r="G24" i="6" s="1"/>
  <c r="E24" i="12" s="1" a="1"/>
  <c r="F23" i="6"/>
  <c r="G23" i="6" s="1"/>
  <c r="E23" i="12" s="1" a="1"/>
  <c r="F22" i="6"/>
  <c r="G22" i="6" s="1"/>
  <c r="E22" i="12" s="1" a="1"/>
  <c r="F21" i="6"/>
  <c r="G21" i="6" s="1"/>
  <c r="E21" i="12" s="1" a="1"/>
  <c r="G19" i="6"/>
  <c r="E19" i="12" s="1" a="1"/>
  <c r="G18" i="6"/>
  <c r="E18" i="12" s="1" a="1"/>
  <c r="F17" i="6"/>
  <c r="G17" i="6" s="1"/>
  <c r="E17" i="12" s="1" a="1"/>
  <c r="G16" i="6"/>
  <c r="E16" i="12" s="1" a="1"/>
  <c r="G15" i="6"/>
  <c r="E15" i="12" s="1" a="1"/>
  <c r="G14" i="6"/>
  <c r="E14" i="12" s="1" a="1"/>
  <c r="F13" i="6"/>
  <c r="G13" i="6" s="1"/>
  <c r="E13" i="12" s="1" a="1"/>
  <c r="G12" i="6"/>
  <c r="E12" i="12" s="1" a="1"/>
  <c r="F11" i="6"/>
  <c r="G11" i="6" s="1"/>
  <c r="E11" i="12" s="1" a="1"/>
  <c r="G10" i="6"/>
  <c r="E10" i="12" s="1" a="1"/>
  <c r="F9" i="6"/>
  <c r="G9" i="6" s="1"/>
  <c r="E9" i="12" s="1" a="1"/>
  <c r="G8" i="6"/>
  <c r="E8" i="12" s="1" a="1"/>
  <c r="G7" i="6"/>
  <c r="E7" i="12" s="1" a="1"/>
  <c r="G6" i="6"/>
  <c r="E6" i="12" s="1" a="1"/>
  <c r="G5" i="6"/>
  <c r="E5" i="12" s="1" a="1"/>
  <c r="G4" i="6"/>
  <c r="E4" i="12" s="1" a="1"/>
  <c r="G3" i="6"/>
  <c r="E3" i="12" s="1" a="1"/>
  <c r="G2" i="6"/>
  <c r="E2" i="12" s="1" a="1"/>
  <c r="E527" i="5"/>
  <c r="F520" i="5"/>
  <c r="E502" i="5"/>
  <c r="E479" i="5"/>
  <c r="E362" i="5"/>
  <c r="E361" i="5"/>
  <c r="E360" i="5"/>
  <c r="F245" i="5"/>
  <c r="G243" i="5"/>
  <c r="F193" i="5"/>
  <c r="D172" i="5"/>
  <c r="E172" i="5" s="1"/>
  <c r="E158" i="5"/>
  <c r="F152" i="5"/>
  <c r="E50" i="5"/>
  <c r="E46" i="5"/>
  <c r="E45" i="5"/>
  <c r="D44" i="5"/>
  <c r="E44" i="5" s="1"/>
  <c r="E43" i="5"/>
  <c r="E42" i="5"/>
  <c r="E41" i="5"/>
  <c r="E39" i="5"/>
  <c r="D38" i="5"/>
  <c r="E38" i="5" s="1"/>
  <c r="D36" i="5"/>
  <c r="E36" i="5" s="1"/>
  <c r="D35" i="5"/>
  <c r="E35" i="5" s="1"/>
  <c r="D34" i="5"/>
  <c r="E34" i="5" s="1"/>
  <c r="D33" i="5"/>
  <c r="E33" i="5" s="1"/>
  <c r="D32" i="5"/>
  <c r="E32" i="5" s="1"/>
  <c r="E31" i="5"/>
  <c r="D29" i="5"/>
  <c r="E29" i="5" s="1"/>
  <c r="D28" i="5"/>
  <c r="E28" i="5" s="1"/>
  <c r="D27" i="5"/>
  <c r="E27" i="5" s="1"/>
  <c r="D17" i="5"/>
  <c r="E17" i="5" s="1"/>
  <c r="D16" i="5"/>
  <c r="E16" i="5" s="1"/>
  <c r="D14" i="5"/>
  <c r="E14" i="5" s="1"/>
  <c r="E510" i="2"/>
  <c r="E486" i="2"/>
  <c r="E463" i="2"/>
  <c r="E349" i="2"/>
  <c r="E348" i="2"/>
  <c r="E347" i="2"/>
  <c r="D166" i="2"/>
  <c r="E166" i="2" s="1"/>
  <c r="E152" i="2"/>
  <c r="E47" i="2"/>
  <c r="E43" i="2"/>
  <c r="E42" i="2"/>
  <c r="D41" i="2"/>
  <c r="E41" i="2" s="1"/>
  <c r="E40" i="2"/>
  <c r="E39" i="2"/>
  <c r="E38" i="2"/>
  <c r="E37" i="2"/>
  <c r="D36" i="2"/>
  <c r="E36" i="2" s="1"/>
  <c r="D35" i="2"/>
  <c r="E35" i="2" s="1"/>
  <c r="D34" i="2"/>
  <c r="E34" i="2" s="1"/>
  <c r="D33" i="2"/>
  <c r="E33" i="2" s="1"/>
  <c r="D32" i="2"/>
  <c r="E32" i="2" s="1"/>
  <c r="D31" i="2"/>
  <c r="E31" i="2" s="1"/>
  <c r="E30" i="2"/>
  <c r="D29" i="2"/>
  <c r="E29" i="2" s="1"/>
  <c r="D28" i="2"/>
  <c r="E28" i="2" s="1"/>
  <c r="D27" i="2"/>
  <c r="E27" i="2" s="1"/>
  <c r="D17" i="2"/>
  <c r="E17" i="2" s="1"/>
  <c r="D16" i="2"/>
  <c r="E16" i="2" s="1"/>
  <c r="D14" i="2"/>
  <c r="E14" i="2" s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J2" i="1"/>
  <c r="K2" i="1" s="1"/>
  <c r="I2" i="1"/>
  <c r="E34" i="9" l="1"/>
  <c r="F34" i="9" s="1"/>
  <c r="E56" i="9"/>
  <c r="F56" i="9" s="1"/>
  <c r="E39" i="9"/>
  <c r="F39" i="9" s="1"/>
  <c r="E55" i="9"/>
  <c r="F55" i="9" s="1"/>
  <c r="G275" i="6"/>
  <c r="E277" i="12" s="1" a="1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E54" i="9"/>
  <c r="F54" i="9" s="1"/>
  <c r="G748" i="6"/>
  <c r="E792" i="12" s="1" a="1"/>
  <c r="G560" i="6"/>
  <c r="E584" i="12" s="1" a="1"/>
  <c r="G429" i="6"/>
  <c r="E452" i="12" s="1" a="1"/>
  <c r="E29" i="9"/>
  <c r="F29" i="9" s="1"/>
  <c r="E53" i="9"/>
  <c r="F53" i="9" s="1"/>
  <c r="G269" i="6"/>
  <c r="E271" i="12" s="1" a="1"/>
  <c r="G537" i="6"/>
  <c r="E561" i="12" s="1" a="1"/>
  <c r="E338" i="12" a="1"/>
  <c r="E300" i="12" a="1"/>
  <c r="E162" i="12" a="1"/>
  <c r="E686" i="12" a="1"/>
  <c r="E680" i="12" a="1"/>
  <c r="E669" i="12" a="1"/>
  <c r="E417" i="12" a="1"/>
  <c r="E414" i="12" a="1"/>
  <c r="E413" i="12" a="1"/>
  <c r="E633" i="12" a="1"/>
  <c r="E424" i="12" a="1"/>
  <c r="E422" i="12" a="1"/>
  <c r="E421" i="12" a="1"/>
  <c r="E412" i="12" a="1"/>
  <c r="E96" i="12" a="1"/>
  <c r="E419" i="12" l="1" a="1"/>
  <c r="A1" i="14" s="1" a="1"/>
  <c r="E952" i="12"/>
  <c r="E951" i="12"/>
  <c r="E950" i="12"/>
  <c r="E949" i="12"/>
  <c r="E948" i="12"/>
  <c r="E947" i="12"/>
  <c r="E946" i="12"/>
  <c r="E945" i="12"/>
  <c r="E944" i="12"/>
  <c r="E943" i="12"/>
  <c r="E942" i="12"/>
  <c r="E941" i="12"/>
  <c r="E940" i="12"/>
  <c r="E939" i="12"/>
  <c r="E938" i="12"/>
  <c r="E937" i="12"/>
  <c r="E936" i="12"/>
  <c r="E935" i="12"/>
  <c r="E934" i="12"/>
  <c r="E933" i="12"/>
  <c r="E932" i="12"/>
  <c r="E931" i="12"/>
  <c r="E930" i="12"/>
  <c r="E929" i="12"/>
  <c r="E928" i="12"/>
  <c r="E927" i="12"/>
  <c r="E926" i="12"/>
  <c r="E925" i="12"/>
  <c r="E924" i="12"/>
  <c r="E923" i="12"/>
  <c r="E922" i="12"/>
  <c r="E921" i="12"/>
  <c r="E920" i="12"/>
  <c r="E919" i="12"/>
  <c r="E918" i="12"/>
  <c r="E917" i="12"/>
  <c r="E916" i="12"/>
  <c r="E915" i="12"/>
  <c r="E914" i="12"/>
  <c r="E913" i="12"/>
  <c r="E912" i="12"/>
  <c r="E911" i="12"/>
  <c r="E910" i="12"/>
  <c r="E909" i="12"/>
  <c r="E908" i="12"/>
  <c r="E907" i="12"/>
  <c r="E906" i="12"/>
  <c r="E905" i="12"/>
  <c r="E904" i="12"/>
  <c r="E903" i="12"/>
  <c r="E902" i="12"/>
  <c r="E901" i="12"/>
  <c r="E900" i="12"/>
  <c r="E899" i="12"/>
  <c r="E898" i="12"/>
  <c r="E897" i="12"/>
  <c r="E896" i="12"/>
  <c r="E895" i="12"/>
  <c r="E894" i="12"/>
  <c r="E893" i="12"/>
  <c r="E892" i="12"/>
  <c r="E891" i="12"/>
  <c r="E890" i="12"/>
  <c r="E889" i="12"/>
  <c r="E888" i="12"/>
  <c r="E887" i="12"/>
  <c r="E886" i="12"/>
  <c r="E885" i="12"/>
  <c r="E884" i="12"/>
  <c r="E883" i="12"/>
  <c r="E882" i="12"/>
  <c r="E881" i="12"/>
  <c r="E880" i="12"/>
  <c r="E879" i="12"/>
  <c r="E878" i="12"/>
  <c r="E877" i="12"/>
  <c r="E876" i="12"/>
  <c r="E875" i="12"/>
  <c r="E874" i="12"/>
  <c r="E873" i="12"/>
  <c r="E872" i="12"/>
  <c r="E871" i="12"/>
  <c r="E870" i="12"/>
  <c r="E869" i="12"/>
  <c r="E868" i="12"/>
  <c r="E867" i="12"/>
  <c r="E866" i="12"/>
  <c r="E865" i="12"/>
  <c r="E864" i="12"/>
  <c r="E863" i="12"/>
  <c r="E862" i="12"/>
  <c r="E861" i="12"/>
  <c r="E860" i="12"/>
  <c r="E859" i="12"/>
  <c r="E858" i="12"/>
  <c r="E857" i="12"/>
  <c r="E856" i="12"/>
  <c r="E855" i="12"/>
  <c r="E854" i="12"/>
  <c r="E853" i="12"/>
  <c r="E852" i="12"/>
  <c r="E851" i="12"/>
  <c r="E850" i="12"/>
  <c r="E849" i="12"/>
  <c r="E848" i="12"/>
  <c r="E847" i="12"/>
  <c r="E846" i="12"/>
  <c r="E845" i="12"/>
  <c r="E844" i="12"/>
  <c r="E843" i="12"/>
  <c r="E842" i="12"/>
  <c r="E841" i="12"/>
  <c r="E840" i="12"/>
  <c r="E839" i="12"/>
  <c r="E838" i="12"/>
  <c r="E837" i="12"/>
  <c r="E836" i="12"/>
  <c r="E835" i="12"/>
  <c r="E834" i="12"/>
  <c r="E833" i="12"/>
  <c r="E832" i="12"/>
  <c r="E831" i="12"/>
  <c r="E830" i="12"/>
  <c r="E829" i="12"/>
  <c r="E828" i="12"/>
  <c r="E827" i="12"/>
  <c r="E826" i="12"/>
  <c r="E825" i="12"/>
  <c r="E824" i="12"/>
  <c r="E823" i="12"/>
  <c r="E822" i="12"/>
  <c r="E821" i="12"/>
  <c r="E820" i="12"/>
  <c r="E819" i="12"/>
  <c r="E818" i="12"/>
  <c r="E817" i="12"/>
  <c r="E816" i="12"/>
  <c r="E815" i="12"/>
  <c r="E814" i="12"/>
  <c r="E813" i="12"/>
  <c r="E812" i="12"/>
  <c r="E811" i="12"/>
  <c r="E810" i="12"/>
  <c r="E809" i="12"/>
  <c r="E808" i="12"/>
  <c r="E807" i="12"/>
  <c r="E806" i="12"/>
  <c r="E805" i="12"/>
  <c r="E804" i="12"/>
  <c r="E803" i="12"/>
  <c r="E802" i="12"/>
  <c r="E801" i="12"/>
  <c r="E800" i="12"/>
  <c r="E799" i="12"/>
  <c r="E798" i="12"/>
  <c r="E797" i="12"/>
  <c r="E796" i="12"/>
  <c r="E795" i="12"/>
  <c r="E794" i="12"/>
  <c r="E793" i="12"/>
  <c r="E792" i="12"/>
  <c r="E791" i="12"/>
  <c r="E790" i="12"/>
  <c r="E789" i="12"/>
  <c r="E788" i="12"/>
  <c r="E787" i="12"/>
  <c r="E786" i="12"/>
  <c r="E785" i="12"/>
  <c r="E784" i="12"/>
  <c r="E783" i="12"/>
  <c r="E782" i="12"/>
  <c r="E781" i="12"/>
  <c r="E780" i="12"/>
  <c r="E779" i="12"/>
  <c r="E778" i="12"/>
  <c r="E777" i="12"/>
  <c r="E776" i="12"/>
  <c r="E775" i="12"/>
  <c r="E774" i="12"/>
  <c r="E773" i="12"/>
  <c r="E772" i="12"/>
  <c r="E771" i="12"/>
  <c r="E770" i="12"/>
  <c r="E769" i="12"/>
  <c r="E768" i="12"/>
  <c r="E767" i="12"/>
  <c r="E766" i="12"/>
  <c r="E765" i="12"/>
  <c r="E764" i="12"/>
  <c r="E763" i="12"/>
  <c r="E762" i="12"/>
  <c r="E761" i="12"/>
  <c r="E760" i="12"/>
  <c r="E759" i="12"/>
  <c r="E757" i="12"/>
  <c r="E756" i="12"/>
  <c r="E755" i="12"/>
  <c r="E754" i="12"/>
  <c r="E753" i="12"/>
  <c r="E752" i="12"/>
  <c r="E751" i="12"/>
  <c r="E750" i="12"/>
  <c r="E749" i="12"/>
  <c r="E748" i="12"/>
  <c r="E747" i="12"/>
  <c r="E746" i="12"/>
  <c r="E745" i="12"/>
  <c r="E744" i="12"/>
  <c r="E743" i="12"/>
  <c r="E742" i="12"/>
  <c r="E741" i="12"/>
  <c r="E740" i="12"/>
  <c r="E739" i="12"/>
  <c r="E738" i="12"/>
  <c r="E737" i="12"/>
  <c r="E736" i="12"/>
  <c r="E735" i="12"/>
  <c r="E734" i="12"/>
  <c r="E733" i="12"/>
  <c r="E732" i="12"/>
  <c r="E731" i="12"/>
  <c r="E730" i="12"/>
  <c r="E729" i="12"/>
  <c r="E728" i="12"/>
  <c r="E727" i="12"/>
  <c r="E726" i="12"/>
  <c r="E725" i="12"/>
  <c r="E724" i="12"/>
  <c r="E723" i="12"/>
  <c r="E722" i="12"/>
  <c r="E721" i="12"/>
  <c r="E720" i="12"/>
  <c r="E719" i="12"/>
  <c r="E718" i="12"/>
  <c r="E717" i="12"/>
  <c r="E716" i="12"/>
  <c r="E715" i="12"/>
  <c r="E714" i="12"/>
  <c r="E713" i="12"/>
  <c r="E712" i="12"/>
  <c r="E711" i="12"/>
  <c r="E710" i="12"/>
  <c r="E709" i="12"/>
  <c r="E708" i="12"/>
  <c r="E707" i="12"/>
  <c r="E706" i="12"/>
  <c r="E705" i="12"/>
  <c r="E704" i="12"/>
  <c r="E703" i="12"/>
  <c r="E702" i="12"/>
  <c r="E701" i="12"/>
  <c r="E700" i="12"/>
  <c r="E699" i="12"/>
  <c r="E698" i="12"/>
  <c r="E697" i="12"/>
  <c r="E696" i="12"/>
  <c r="E695" i="12"/>
  <c r="E694" i="12"/>
  <c r="E693" i="12"/>
  <c r="E692" i="12"/>
  <c r="E691" i="12"/>
  <c r="E690" i="12"/>
  <c r="E689" i="12"/>
  <c r="E688" i="12"/>
  <c r="E687" i="12"/>
  <c r="E686" i="12"/>
  <c r="E685" i="12"/>
  <c r="E684" i="12"/>
  <c r="E683" i="12"/>
  <c r="E682" i="12"/>
  <c r="E681" i="12"/>
  <c r="E680" i="12"/>
  <c r="E679" i="12"/>
  <c r="E678" i="12"/>
  <c r="E677" i="12"/>
  <c r="E676" i="12"/>
  <c r="E675" i="12"/>
  <c r="E674" i="12"/>
  <c r="E673" i="12"/>
  <c r="E672" i="12"/>
  <c r="E671" i="12"/>
  <c r="E670" i="12"/>
  <c r="E669" i="12"/>
  <c r="E668" i="12"/>
  <c r="E667" i="12"/>
  <c r="E666" i="12"/>
  <c r="E665" i="12"/>
  <c r="E664" i="12"/>
  <c r="E663" i="12"/>
  <c r="E662" i="12"/>
  <c r="E661" i="12"/>
  <c r="E660" i="12"/>
  <c r="E659" i="12"/>
  <c r="E657" i="12"/>
  <c r="E656" i="12"/>
  <c r="E655" i="12"/>
  <c r="E654" i="12"/>
  <c r="E653" i="12"/>
  <c r="E652" i="12"/>
  <c r="E651" i="12"/>
  <c r="E650" i="12"/>
  <c r="E649" i="12"/>
  <c r="E648" i="12"/>
  <c r="E647" i="12"/>
  <c r="E646" i="12"/>
  <c r="E645" i="12"/>
  <c r="E644" i="12"/>
  <c r="E643" i="12"/>
  <c r="E642" i="12"/>
  <c r="E641" i="12"/>
  <c r="E640" i="12"/>
  <c r="E639" i="12"/>
  <c r="E638" i="12"/>
  <c r="E637" i="12"/>
  <c r="E636" i="12"/>
  <c r="E635" i="12"/>
  <c r="E634" i="12"/>
  <c r="E633" i="12"/>
  <c r="E632" i="12"/>
  <c r="E631" i="12"/>
  <c r="E630" i="12"/>
  <c r="E629" i="12"/>
  <c r="E628" i="12"/>
  <c r="E627" i="12"/>
  <c r="E626" i="12"/>
  <c r="E625" i="12"/>
  <c r="E624" i="12"/>
  <c r="E623" i="12"/>
  <c r="E622" i="12"/>
  <c r="E621" i="12"/>
  <c r="E620" i="12"/>
  <c r="E619" i="12"/>
  <c r="E618" i="12"/>
  <c r="E617" i="12"/>
  <c r="E616" i="12"/>
  <c r="E615" i="12"/>
  <c r="E614" i="12"/>
  <c r="E613" i="12"/>
  <c r="E612" i="12"/>
  <c r="E611" i="12"/>
  <c r="E610" i="12"/>
  <c r="E609" i="12"/>
  <c r="E608" i="12"/>
  <c r="E607" i="12"/>
  <c r="E606" i="12"/>
  <c r="E605" i="12"/>
  <c r="E603" i="12"/>
  <c r="E602" i="12"/>
  <c r="E601" i="12"/>
  <c r="E600" i="12"/>
  <c r="E599" i="12"/>
  <c r="E598" i="12"/>
  <c r="E597" i="12"/>
  <c r="E596" i="12"/>
  <c r="E595" i="12"/>
  <c r="E594" i="12"/>
  <c r="E593" i="12"/>
  <c r="E592" i="12"/>
  <c r="E591" i="12"/>
  <c r="E590" i="12"/>
  <c r="E589" i="12"/>
  <c r="E588" i="12"/>
  <c r="E587" i="12"/>
  <c r="E586" i="12"/>
  <c r="E585" i="12"/>
  <c r="E584" i="12"/>
  <c r="E583" i="12"/>
  <c r="E582" i="12"/>
  <c r="E581" i="12"/>
  <c r="E580" i="12"/>
  <c r="E579" i="12"/>
  <c r="E578" i="12"/>
  <c r="E577" i="12"/>
  <c r="E576" i="12"/>
  <c r="E575" i="12"/>
  <c r="E574" i="12"/>
  <c r="E573" i="12"/>
  <c r="E572" i="12"/>
  <c r="E571" i="12"/>
  <c r="E570" i="12"/>
  <c r="E569" i="12"/>
  <c r="E568" i="12"/>
  <c r="E567" i="12"/>
  <c r="E566" i="12"/>
  <c r="E565" i="12"/>
  <c r="E564" i="12"/>
  <c r="E563" i="12"/>
  <c r="E562" i="12"/>
  <c r="E561" i="12"/>
  <c r="E560" i="12"/>
  <c r="E559" i="12"/>
  <c r="E558" i="12"/>
  <c r="E557" i="12"/>
  <c r="E556" i="12"/>
  <c r="E555" i="12"/>
  <c r="E554" i="12"/>
  <c r="E553" i="12"/>
  <c r="E552" i="12"/>
  <c r="E551" i="12"/>
  <c r="E550" i="12"/>
  <c r="E549" i="12"/>
  <c r="E548" i="12"/>
  <c r="E547" i="12"/>
  <c r="E546" i="12"/>
  <c r="E545" i="12"/>
  <c r="E544" i="12"/>
  <c r="E543" i="12"/>
  <c r="E542" i="12"/>
  <c r="E541" i="12"/>
  <c r="E540" i="12"/>
  <c r="E539" i="12"/>
  <c r="E538" i="12"/>
  <c r="E537" i="12"/>
  <c r="E536" i="12"/>
  <c r="E535" i="12"/>
  <c r="E534" i="12"/>
  <c r="E533" i="12"/>
  <c r="E532" i="12"/>
  <c r="E531" i="12"/>
  <c r="E530" i="12"/>
  <c r="E529" i="12"/>
  <c r="E528" i="12"/>
  <c r="E527" i="12"/>
  <c r="E526" i="12"/>
  <c r="E525" i="12"/>
  <c r="E524" i="12"/>
  <c r="E523" i="12"/>
  <c r="E522" i="12"/>
  <c r="E521" i="12"/>
  <c r="E520" i="12"/>
  <c r="E519" i="12"/>
  <c r="E518" i="12"/>
  <c r="E517" i="12"/>
  <c r="E516" i="12"/>
  <c r="E515" i="12"/>
  <c r="E514" i="12"/>
  <c r="E513" i="12"/>
  <c r="E512" i="12"/>
  <c r="E511" i="12"/>
  <c r="E510" i="12"/>
  <c r="E509" i="12"/>
  <c r="E508" i="12"/>
  <c r="E507" i="12"/>
  <c r="E506" i="12"/>
  <c r="E505" i="12"/>
  <c r="E504" i="12"/>
  <c r="E503" i="12"/>
  <c r="E502" i="12"/>
  <c r="E501" i="12"/>
  <c r="E500" i="12"/>
  <c r="E499" i="12"/>
  <c r="E498" i="12"/>
  <c r="E497" i="12"/>
  <c r="E496" i="12"/>
  <c r="E495" i="12"/>
  <c r="E494" i="12"/>
  <c r="E493" i="12"/>
  <c r="E492" i="12"/>
  <c r="E491" i="12"/>
  <c r="E490" i="12"/>
  <c r="E489" i="12"/>
  <c r="E488" i="12"/>
  <c r="E487" i="12"/>
  <c r="E486" i="12"/>
  <c r="E485" i="12"/>
  <c r="E484" i="12"/>
  <c r="E483" i="12"/>
  <c r="E482" i="12"/>
  <c r="E481" i="12"/>
  <c r="E480" i="12"/>
  <c r="E479" i="12"/>
  <c r="E478" i="12"/>
  <c r="E477" i="12"/>
  <c r="E476" i="12"/>
  <c r="E475" i="12"/>
  <c r="E474" i="12"/>
  <c r="E473" i="12"/>
  <c r="E472" i="12"/>
  <c r="E471" i="12"/>
  <c r="E470" i="12"/>
  <c r="E469" i="12"/>
  <c r="E468" i="12"/>
  <c r="E467" i="12"/>
  <c r="E466" i="12"/>
  <c r="E465" i="12"/>
  <c r="E464" i="12"/>
  <c r="E463" i="12"/>
  <c r="E462" i="12"/>
  <c r="E461" i="12"/>
  <c r="E460" i="12"/>
  <c r="E459" i="12"/>
  <c r="E458" i="12"/>
  <c r="E457" i="12"/>
  <c r="E456" i="12"/>
  <c r="E455" i="12"/>
  <c r="E454" i="12"/>
  <c r="E453" i="12"/>
  <c r="E452" i="12"/>
  <c r="E451" i="12"/>
  <c r="E450" i="12"/>
  <c r="E449" i="12"/>
  <c r="E448" i="12"/>
  <c r="E447" i="12"/>
  <c r="E446" i="12"/>
  <c r="E445" i="12"/>
  <c r="E444" i="12"/>
  <c r="E443" i="12"/>
  <c r="E442" i="12"/>
  <c r="E441" i="12"/>
  <c r="E440" i="12"/>
  <c r="E438" i="12"/>
  <c r="E437" i="12"/>
  <c r="E436" i="12"/>
  <c r="E435" i="12"/>
  <c r="E434" i="12"/>
  <c r="E433" i="12"/>
  <c r="E432" i="12"/>
  <c r="E431" i="12"/>
  <c r="E430" i="12"/>
  <c r="E429" i="12"/>
  <c r="E428" i="12"/>
  <c r="E427" i="12"/>
  <c r="E426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11" i="12"/>
  <c r="E410" i="12"/>
  <c r="E409" i="12"/>
  <c r="E408" i="12"/>
  <c r="E407" i="12"/>
  <c r="E406" i="12"/>
  <c r="E405" i="12"/>
  <c r="E404" i="12"/>
  <c r="E403" i="12"/>
  <c r="E402" i="12"/>
  <c r="E401" i="12"/>
  <c r="E400" i="12"/>
  <c r="E399" i="12"/>
  <c r="E398" i="12"/>
  <c r="E397" i="12"/>
  <c r="E396" i="12"/>
  <c r="E395" i="12"/>
  <c r="E394" i="12"/>
  <c r="E393" i="12"/>
  <c r="E392" i="12"/>
  <c r="E391" i="12"/>
  <c r="E390" i="12"/>
  <c r="E389" i="12"/>
  <c r="E388" i="12"/>
  <c r="E387" i="12"/>
  <c r="E386" i="12"/>
  <c r="E385" i="12"/>
  <c r="E384" i="12"/>
  <c r="E383" i="12"/>
  <c r="E382" i="12"/>
  <c r="E381" i="12"/>
  <c r="E380" i="12"/>
  <c r="E379" i="12"/>
  <c r="E378" i="12"/>
  <c r="E377" i="12"/>
  <c r="E376" i="12"/>
  <c r="E375" i="12"/>
  <c r="E374" i="12"/>
  <c r="E373" i="12"/>
  <c r="E372" i="12"/>
  <c r="E371" i="12"/>
  <c r="E370" i="12"/>
  <c r="E369" i="12"/>
  <c r="E368" i="12"/>
  <c r="E367" i="12"/>
  <c r="E366" i="12"/>
  <c r="E365" i="12"/>
  <c r="E364" i="12"/>
  <c r="E363" i="12"/>
  <c r="E362" i="12"/>
  <c r="E361" i="12"/>
  <c r="E360" i="12"/>
  <c r="E359" i="12"/>
  <c r="E358" i="12"/>
  <c r="E357" i="12"/>
  <c r="E356" i="12"/>
  <c r="E355" i="12"/>
  <c r="E354" i="12"/>
  <c r="E353" i="12"/>
  <c r="E352" i="12"/>
  <c r="E351" i="12"/>
  <c r="E350" i="12"/>
  <c r="E349" i="12"/>
  <c r="E348" i="12"/>
  <c r="E347" i="12"/>
  <c r="E346" i="12"/>
  <c r="E345" i="12"/>
  <c r="E344" i="12"/>
  <c r="E343" i="12"/>
  <c r="E342" i="12"/>
  <c r="E341" i="12"/>
  <c r="E340" i="12"/>
  <c r="E339" i="12"/>
  <c r="E338" i="12"/>
  <c r="E337" i="12"/>
  <c r="E336" i="12"/>
  <c r="E335" i="12"/>
  <c r="E334" i="12"/>
  <c r="E333" i="12"/>
  <c r="E332" i="12"/>
  <c r="E331" i="12"/>
  <c r="E330" i="12"/>
  <c r="E329" i="12"/>
  <c r="E328" i="12"/>
  <c r="E327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E314" i="12"/>
  <c r="E313" i="12"/>
  <c r="E312" i="12"/>
  <c r="E311" i="12"/>
  <c r="E310" i="12"/>
  <c r="E309" i="12"/>
  <c r="E308" i="12"/>
  <c r="E307" i="12"/>
  <c r="E306" i="12"/>
  <c r="E305" i="12"/>
  <c r="E304" i="12"/>
  <c r="E303" i="12"/>
  <c r="E302" i="12"/>
  <c r="E301" i="12"/>
  <c r="E300" i="12"/>
  <c r="E299" i="12"/>
  <c r="E298" i="12"/>
  <c r="E297" i="12"/>
  <c r="E296" i="12"/>
  <c r="E295" i="12"/>
  <c r="E294" i="12"/>
  <c r="E293" i="12"/>
  <c r="E292" i="12"/>
  <c r="E291" i="12"/>
  <c r="E290" i="12"/>
  <c r="E289" i="12"/>
  <c r="E288" i="12"/>
  <c r="E287" i="12"/>
  <c r="E286" i="12"/>
  <c r="E285" i="12"/>
  <c r="E284" i="12"/>
  <c r="E283" i="12"/>
  <c r="E282" i="12"/>
  <c r="E281" i="12"/>
  <c r="E280" i="12"/>
  <c r="E279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65" i="12"/>
  <c r="E264" i="12"/>
  <c r="E263" i="12"/>
  <c r="E262" i="12"/>
  <c r="E261" i="12"/>
  <c r="E260" i="12"/>
  <c r="E259" i="12"/>
  <c r="E258" i="12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J2" i="9"/>
  <c r="A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  <author>Omar Sánchez</author>
  </authors>
  <commentList>
    <comment ref="F450" authorId="0" shapeId="0" xr:uid="{E0313B46-AE8D-4DB5-867C-AFCBF9DFB055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Se pone precio de 1-1/4x1</t>
        </r>
      </text>
    </comment>
    <comment ref="F451" authorId="0" shapeId="0" xr:uid="{3FBE5D6A-D0C9-41BC-96B1-08FDB23A6BAF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Se pone precio de 3x2</t>
        </r>
      </text>
    </comment>
    <comment ref="F497" authorId="0" shapeId="0" xr:uid="{E5B27B17-C73E-438C-8494-6762CBA05D74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Lo cotizado por Tecnifluidos es de 3/4x1/2"</t>
        </r>
      </text>
    </comment>
    <comment ref="A500" authorId="0" shapeId="0" xr:uid="{C330D0BD-E1E2-4BEC-BB17-47BE00B9193E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pendiente validar la dimensión</t>
        </r>
      </text>
    </comment>
    <comment ref="D643" authorId="1" shapeId="0" xr:uid="{908EEA67-0D4E-4083-9298-DF15C6378D2D}">
      <text>
        <r>
          <rPr>
            <b/>
            <sz val="9"/>
            <color indexed="81"/>
            <rFont val="Tahoma"/>
            <family val="2"/>
          </rPr>
          <t xml:space="preserve">antes 11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16" authorId="0" shapeId="0" xr:uid="{695B1320-D5BE-426F-86BD-AB6BD2ED256F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Cotizadas Helbert</t>
        </r>
      </text>
    </comment>
    <comment ref="F817" authorId="0" shapeId="0" xr:uid="{7514B710-B5A5-4949-B731-AC1F50AB0FC4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Cotizadas Helbert</t>
        </r>
      </text>
    </comment>
    <comment ref="B855" authorId="0" shapeId="0" xr:uid="{405CED62-FB7B-4892-B08B-122CE099760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Latón forjado (Aleacion de cobre y zinc)</t>
        </r>
      </text>
    </comment>
    <comment ref="B857" authorId="0" shapeId="0" xr:uid="{8FF11D65-9863-44BB-9B4A-9D91920C2439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Latón forjado (Aleacion de cobre y zinc)</t>
        </r>
      </text>
    </comment>
    <comment ref="B858" authorId="0" shapeId="0" xr:uid="{48048ED9-70A9-4A0B-BAB2-4CD06AE04A7A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Latón forjado (Aleacion de cobre y zinc)</t>
        </r>
      </text>
    </comment>
    <comment ref="B861" authorId="0" shapeId="0" xr:uid="{BFBEC00A-081E-4F9C-A763-454204EF0242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Latón forjado (Aleacion de cobre y zinc)</t>
        </r>
      </text>
    </comment>
    <comment ref="B863" authorId="0" shapeId="0" xr:uid="{D50BA7A9-0927-4596-B530-2DB1ADC6AFC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Latón forjado (Aleacion de cobre y zinc)</t>
        </r>
      </text>
    </comment>
    <comment ref="B864" authorId="0" shapeId="0" xr:uid="{87F1B3BF-4545-4F0D-A3F1-609C1F2AA9D8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Latón forjado (Aleacion de cobre y zinc)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tc={73CF8634-E84E-441F-BECF-8C72715A86B0}</author>
  </authors>
  <commentList>
    <comment ref="B1" authorId="0" shapeId="0" xr:uid="{73CF8634-E84E-441F-BECF-8C72715A86B0}">
      <text>
        <t>[Threaded comment]
Your version of Excel allows you to read this threaded comment; however, any edits to it will get removed if the file is opened in a newer version of Excel. Learn more: https://go.microsoft.com/fwlink/?linkid=870924
Comment:
    Si la celda toma un fondo Naranja, es porque las existencias en el Inventario estan en negativo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<sst xmlns="http://schemas.openxmlformats.org/spreadsheetml/2006/main" count="11966" uniqueCount="2169">
  <si>
    <t>No. Caja</t>
  </si>
  <si>
    <t>Fecha</t>
  </si>
  <si>
    <t>Elemento</t>
  </si>
  <si>
    <t>Cantidad</t>
  </si>
  <si>
    <t>Material</t>
  </si>
  <si>
    <t xml:space="preserve">entrada </t>
  </si>
  <si>
    <t>salida</t>
  </si>
  <si>
    <t>Imusa</t>
  </si>
  <si>
    <t xml:space="preserve">cantidad actual </t>
  </si>
  <si>
    <t>COSTEO UNIDAD</t>
  </si>
  <si>
    <t>TOTAL</t>
  </si>
  <si>
    <t>DATO</t>
  </si>
  <si>
    <t>Codo 90° Inox 304 SCH-10 soldar 2-1/2"</t>
  </si>
  <si>
    <t>Inox 304</t>
  </si>
  <si>
    <t>OC-02439</t>
  </si>
  <si>
    <t>Codo 90° Inox 304 L SCH-10 soldar 2-1/2"</t>
  </si>
  <si>
    <t>Inox 304 L</t>
  </si>
  <si>
    <t>Codo 90° Inox 304 SCH-10 soldar 3"</t>
  </si>
  <si>
    <t>Codo 45° Inox 304  SCH-10 soldar 4"</t>
  </si>
  <si>
    <t>Codo 45° Inox 304 L  SCH-10 soldar 4"</t>
  </si>
  <si>
    <t>TEE inox 304 L SCH-10 soldar 4"</t>
  </si>
  <si>
    <t>TEE inox 304 L SCH-10 soldar 3"</t>
  </si>
  <si>
    <t>TEE inox 304 L SCH-10 soldar 2-1/2"</t>
  </si>
  <si>
    <t>Brida ciega inox 304 6"</t>
  </si>
  <si>
    <t>Reduccion tuerca inox 304 4x3"</t>
  </si>
  <si>
    <t>TEE inox 304 SCH-10 soldar 1-1/2"</t>
  </si>
  <si>
    <t>TEE inox 304 L SCH-10 soldar 1-1/2"</t>
  </si>
  <si>
    <t>Codo 90° Inox 304 SCH-10 soldar 1-1/2"</t>
  </si>
  <si>
    <t>Codo 90° Inox 304 L SCH-10 soldar 1-1/2"</t>
  </si>
  <si>
    <t>Codo 45° Inox 304 SCH-10 soldar 1-1/2"</t>
  </si>
  <si>
    <t>Codo 45° Inox 304 L SCH-10 soldar 1-1/2"</t>
  </si>
  <si>
    <t>TEE PVC presion SCH-40 1-1/4"</t>
  </si>
  <si>
    <t>PVC presion</t>
  </si>
  <si>
    <t>TEE PVC presion SCH-80 1-1/4"</t>
  </si>
  <si>
    <t>Tapon roscado PVC presion SCH-40 1-1/4"</t>
  </si>
  <si>
    <t>Tapon liso PVC presion SCH-40 1-1/4"</t>
  </si>
  <si>
    <t>Codo 90° PVC presion SCH-40  1-1/4"</t>
  </si>
  <si>
    <t>Codo 90° PVC presion SCH-80  1-1/4"</t>
  </si>
  <si>
    <t>Codo 45° PVC presion SCH-40  1-1/4"</t>
  </si>
  <si>
    <t>Hembra PVC presion SCH-40 1-1/4"</t>
  </si>
  <si>
    <t>Macho PVC presion SCH-40 1-1/4"</t>
  </si>
  <si>
    <t>Macho PVC presion SCH-80 1-1/4"</t>
  </si>
  <si>
    <t>Union lisa PVC presion SCH-40 1-1/4"</t>
  </si>
  <si>
    <t>Union roscada PVC presion SCH-40 1-1/4"</t>
  </si>
  <si>
    <t>Union roscada PVC presion SCH-80 1-1/4"</t>
  </si>
  <si>
    <t>Hembra PVC presion SCH-40 1"</t>
  </si>
  <si>
    <t>Macho PVC presion SCH-40 1"</t>
  </si>
  <si>
    <t>TEE PVC presion SCH-80 1"</t>
  </si>
  <si>
    <t>Tapon PVC presion SCH-40 1"</t>
  </si>
  <si>
    <t>Tapon PVC presion SCH-80 1"</t>
  </si>
  <si>
    <t>Union roscada PVC presion SCH-40 1"</t>
  </si>
  <si>
    <t>Codo 90° PVC presion SCH-40  3/4"</t>
  </si>
  <si>
    <t>Codo 45° PVC presion SCH-40  3/4"</t>
  </si>
  <si>
    <t>TEE PVC presion SCH-40 3/4"</t>
  </si>
  <si>
    <t>TEE PVC presion SCH-80 3/4"</t>
  </si>
  <si>
    <t>Hembra PVC presion SCH-40 3/4"</t>
  </si>
  <si>
    <t>Hembra PVC presion SCH-80 3/4"</t>
  </si>
  <si>
    <t>Macho PVC presion SCH-40 3/4"</t>
  </si>
  <si>
    <t>Tapon PVC presion SCH-40 3/4"</t>
  </si>
  <si>
    <t>Pasatanquues PVC presion 3/4"</t>
  </si>
  <si>
    <t>Union lisa PVC presion SCH-40 3/4"</t>
  </si>
  <si>
    <t>Codo 90° PVC presion SCH-40  1/2"</t>
  </si>
  <si>
    <t>Tapon PVC presion SCH-40 1/2"</t>
  </si>
  <si>
    <t>Union lisa PVC presion SCH-40 1/2"</t>
  </si>
  <si>
    <t>Union lisa PVC presion SCH-80 1/2"</t>
  </si>
  <si>
    <t>Hembra PVC presion SCH-40 1/2"</t>
  </si>
  <si>
    <t>Macho PVC presion SCH-40 1/2"</t>
  </si>
  <si>
    <t>TEE PVC presion SCH-40 1/2"</t>
  </si>
  <si>
    <t>Union roscada PVC presion SCH-40 1/2"</t>
  </si>
  <si>
    <t>Union roscada PVC presion SCH-80 1/2"</t>
  </si>
  <si>
    <t>Union roscada PVC presion SCH-40 1-1/2"</t>
  </si>
  <si>
    <t>Union roscada PVC presion SCH-80 1-1/2"</t>
  </si>
  <si>
    <t>Codo 45° PVC presion SCH-40  1-1/2"</t>
  </si>
  <si>
    <t>Tapon PVC presion SCH-40 1-1/2"</t>
  </si>
  <si>
    <t>Union lisa PVC presion SCH-40 1-1/2"</t>
  </si>
  <si>
    <t>Union lisa PVC presion SCH-80 1-1/2"</t>
  </si>
  <si>
    <t>TEE inox 304 SCH-10 soldar 1"</t>
  </si>
  <si>
    <t>TEE inox 304 SCH-10 soldar 1/2"</t>
  </si>
  <si>
    <t>Codo 45° Inox 304 SCH-10 soldar 1"</t>
  </si>
  <si>
    <t>Reduccion tuerca inox 304 1x1/2"</t>
  </si>
  <si>
    <t>Acople Manguera inox 304 1/2x15</t>
  </si>
  <si>
    <t>Reduccion concentrica inox 304 SCH-10 1/4x1"</t>
  </si>
  <si>
    <t>Reduccion concentrica inox 304 SCH-10 2-1/2x2"</t>
  </si>
  <si>
    <t>Reduccion concentrica inox 304 SCH-10 3x1"</t>
  </si>
  <si>
    <t>Reduccion concentrica inox 304 SCH-10 1-1/2x1"</t>
  </si>
  <si>
    <t>Reduccion concentrica inox 304 SCH-10 2-1/2x1"</t>
  </si>
  <si>
    <t>Reduccion concentrica inox 304 SCH-10 3x2"</t>
  </si>
  <si>
    <t>Reduccion concentrica inox 304 SCH-10 3x1-1/2"</t>
  </si>
  <si>
    <t>Reduccion concentrica inox 304 SCH-10 2x1"</t>
  </si>
  <si>
    <t>Reduccion excentrica inox 304 SCH-10 3x1-1/2"</t>
  </si>
  <si>
    <t>Reduccion excentrica inox 304 SCH-10 3x2"</t>
  </si>
  <si>
    <t>TEE inox 304 SCH-10 soldar 2-1/2"</t>
  </si>
  <si>
    <t>Codo 90° roscado Inox 304 SCH-10 1/2"</t>
  </si>
  <si>
    <t>Codo 90° roscado Inox 304 SCH-10 3/4"</t>
  </si>
  <si>
    <t>Codo  90° roscado Inox 304 SCH-10 1"</t>
  </si>
  <si>
    <t>Codo 45° roscado Inox 304 SCH-10 1-1/2"</t>
  </si>
  <si>
    <t>TEE roscada Inox 304 SCH-10 1-1/2"</t>
  </si>
  <si>
    <t>TEE roscada Inox 304 SCH-10 1"</t>
  </si>
  <si>
    <t>TEE roscada Inox 304 SCH-10 1/2"</t>
  </si>
  <si>
    <t>Reduccion concentrica roscada inox 304 SCH-10 1-1/4x1"</t>
  </si>
  <si>
    <t>Acople Manguera inox 304 1x15</t>
  </si>
  <si>
    <t>Union roscada inox 304 3/4"</t>
  </si>
  <si>
    <t>Union roscada inox 304 1"</t>
  </si>
  <si>
    <t>Union roscada inox 304 1-1/4"</t>
  </si>
  <si>
    <t>Union roscada inox 304 1-1/2"</t>
  </si>
  <si>
    <t>Union roscada inox 304 2"</t>
  </si>
  <si>
    <t>Union roscada inox 304 2-1/2"</t>
  </si>
  <si>
    <t>Reduccion tuerca inox 304 1/2x1/4"</t>
  </si>
  <si>
    <t>Reduccion tuerca inox 304 1x3/4"</t>
  </si>
  <si>
    <t>Reduccion tuerca inox 304 1-1/2x1-1/4"</t>
  </si>
  <si>
    <t>Reduccion tuerca inox 304 2x1-1/2"</t>
  </si>
  <si>
    <t>Reduccion tuerca inox 304 1-1/2x1/2"</t>
  </si>
  <si>
    <t>Reduccion tuerca inox 304 1-1/4x3/4"</t>
  </si>
  <si>
    <t>Universal inox 304 1/2"</t>
  </si>
  <si>
    <t>Universal inox 304 3/4"</t>
  </si>
  <si>
    <t>Universal inox 304 1"</t>
  </si>
  <si>
    <t>Universal inox 304 1-1/4"</t>
  </si>
  <si>
    <t>Universal inox 304 1-1/2"</t>
  </si>
  <si>
    <t>Universal inox 304 2"</t>
  </si>
  <si>
    <t>S inox 304</t>
  </si>
  <si>
    <t>Esposas inox 304 4"</t>
  </si>
  <si>
    <t>Esposas inox 304 2-1/2"</t>
  </si>
  <si>
    <t>Cheque enclapetado Inox 316 2-1/2"</t>
  </si>
  <si>
    <t>Inox 316</t>
  </si>
  <si>
    <t>Hembra PVC presion SCH-40 1-1/2"</t>
  </si>
  <si>
    <t>Macho PVC presion SCH-40 1-1/2"</t>
  </si>
  <si>
    <t>Macho PVC presion SCH-80 1-1/2"</t>
  </si>
  <si>
    <t>Codo 90° PVC presion SCH-40 1"</t>
  </si>
  <si>
    <t>Codo 45° PVC presion SCH-40 1"</t>
  </si>
  <si>
    <t>Codo 45° PVC presion SCH-80 1"</t>
  </si>
  <si>
    <t>Union roscada PVC presion SCH-40 2"</t>
  </si>
  <si>
    <t>Codo 45° PVC presion SCH-40 2"</t>
  </si>
  <si>
    <t>Tapon liso PVC presion SCH-40 2"</t>
  </si>
  <si>
    <t>Tapon roscado PVC presion SCH-40 2"</t>
  </si>
  <si>
    <t>Hembra PVC presion SCH-40 2"</t>
  </si>
  <si>
    <t>Macho PVC presion SCH-40 2"</t>
  </si>
  <si>
    <t>Codo 90° PVC presion SCH-80  2"</t>
  </si>
  <si>
    <t>Buje liso PVC presion SCH-40 2x1/2"</t>
  </si>
  <si>
    <t>Buje liso PVC presion SCH-40 2x3/4"</t>
  </si>
  <si>
    <t>Buje liso PVC presion SCH-40 3/4x1/8"</t>
  </si>
  <si>
    <t>Buje liso PVC presion SCH-40 1/4x1"</t>
  </si>
  <si>
    <t>Buje liso PVC presion SCH-40 2x3"</t>
  </si>
  <si>
    <t>Buje liso PVC presion SCH-40 1-1/4x1/2"</t>
  </si>
  <si>
    <t>Buje liso PVC presion SCH-40 2x1"</t>
  </si>
  <si>
    <t>Buje liso PVC presion SCH-40 1-1/4x3/4"</t>
  </si>
  <si>
    <t>Buje liso PVC presion SCH-40 1-1/2x1"</t>
  </si>
  <si>
    <t>Buje liso PVC presion SCH-40 2-1/2x2</t>
  </si>
  <si>
    <t>Buje liso PVC presion SCH-40 1-1/2x1-1/4"</t>
  </si>
  <si>
    <t>Buje liso PVC presion SCH-40 1/2x3/4"</t>
  </si>
  <si>
    <t>Buje liso PVC presion SCH-80 1-1/2x1/2"</t>
  </si>
  <si>
    <t>Buje liso PVC presion SCH-80 1-1/2x1"</t>
  </si>
  <si>
    <t>Buje liso PVC presion SCH-80 1/4x1"</t>
  </si>
  <si>
    <t>Brida normal PVC presion SCH-40 8"</t>
  </si>
  <si>
    <t>Brida normal PVC presion SCH-40 6"</t>
  </si>
  <si>
    <t>Brida normal PVC presion SCH-80 6"</t>
  </si>
  <si>
    <t xml:space="preserve">  </t>
  </si>
  <si>
    <t>Buje roscado PVC presion  SCH-40 1x3/4"</t>
  </si>
  <si>
    <t>Buje roscado PVC presion  SCH-40 1-1/4x3/4"</t>
  </si>
  <si>
    <t>Buje roscado PVC presion  SCH-40 1-1/2x3/4"</t>
  </si>
  <si>
    <t>Buje roscado PVC presion  SCH-40 1-1/4x1/2"</t>
  </si>
  <si>
    <t>Buje roscado PVC presion  SCH-40 2x1/2"</t>
  </si>
  <si>
    <t>Buje roscado PVC presion  SCH-40 1-1/2x1/2"</t>
  </si>
  <si>
    <t>Buje roscado PVC presion  SCH-40 1-1/2x1"</t>
  </si>
  <si>
    <t>Buje roscado PVC presion  SCH-40 1x1/2"</t>
  </si>
  <si>
    <t>Buje roscado PVC presion  SCH-40 2x3/4"</t>
  </si>
  <si>
    <t>Buje roscado PVC presion  SCH-40 2x1-1/2"</t>
  </si>
  <si>
    <t>Buje roscado PVC presion  SCH-40 2x1"</t>
  </si>
  <si>
    <t>Hembra PVC presion  SCH-40 1/2"</t>
  </si>
  <si>
    <t>Buje roscado PVC presion  SCH-80 2x1"</t>
  </si>
  <si>
    <t>Buje roscado PVC presion  SCH-80 1x1/2"</t>
  </si>
  <si>
    <t xml:space="preserve">Filtro  de agua </t>
  </si>
  <si>
    <t>TEE CPVC  SCH-40 1"</t>
  </si>
  <si>
    <t>CPVC</t>
  </si>
  <si>
    <t>TEE CPVC SCH-40 1-1/4"</t>
  </si>
  <si>
    <t>TEE CPVC SCH-40 1-1/2"</t>
  </si>
  <si>
    <t>TEE CPVC SCH-40 2"</t>
  </si>
  <si>
    <t>Codo 90° CPVC SCH-40  1"</t>
  </si>
  <si>
    <t>Codo 90° CPVC SCH-40  1-1/4"</t>
  </si>
  <si>
    <t>Codo 90° CPVC SCH-40  1-1/2"</t>
  </si>
  <si>
    <t>Codo 90° CPVC SCH-40  2"</t>
  </si>
  <si>
    <t>Union lisa CPVC SCH-40 1-1/2"</t>
  </si>
  <si>
    <t>Union lisa CPVC SCH-40 1"</t>
  </si>
  <si>
    <t>Hembra CPVC SCH-40 1"</t>
  </si>
  <si>
    <t>Macho CPVC SCH-40 2"</t>
  </si>
  <si>
    <t>Macho CPVC SCH-40 1"</t>
  </si>
  <si>
    <t>Tapon liso CPVC SCH-40 1-1/2"</t>
  </si>
  <si>
    <t>Buje liso CPVC SCH-40 1-1/2x1/2"</t>
  </si>
  <si>
    <t>Buje liso CPVC SCH-40 1x1/2"</t>
  </si>
  <si>
    <t>Buje liso CPVC SCH-40 1-1/4x1"</t>
  </si>
  <si>
    <t>Buje liso CPVC SCH-40 1-1/4x1/2"</t>
  </si>
  <si>
    <t>Buje liso CPVC SCH-40 2x1-1/2"</t>
  </si>
  <si>
    <t>Buje liso con tuerca CPVC SCH-40 1"</t>
  </si>
  <si>
    <t>TEE PVC sanitario  6"</t>
  </si>
  <si>
    <t>PVC sanitario</t>
  </si>
  <si>
    <t>Codo 90° PVC sanitario  6"rev 2"</t>
  </si>
  <si>
    <t>Codo 90° PVC sanitario  6"</t>
  </si>
  <si>
    <t>Codo 45° PVC sanitario  4"</t>
  </si>
  <si>
    <t>Union lisa PVC sanitario  4"</t>
  </si>
  <si>
    <t>Union lisa PVC sanitario  6"</t>
  </si>
  <si>
    <t>Union lisa CPVC SCH-40 4"</t>
  </si>
  <si>
    <t>Union lisa CPVC SCH-40 3"</t>
  </si>
  <si>
    <t>Hembra PVC presion SCH-40 4"</t>
  </si>
  <si>
    <t>Hembra PVC presion SCH-40 3"</t>
  </si>
  <si>
    <t>Macho PVC presion SCH-40 3"</t>
  </si>
  <si>
    <t>Tapon roscado PVC presion SCH-40 3"</t>
  </si>
  <si>
    <t>TEE PVC presion SCH-40 6"</t>
  </si>
  <si>
    <t>Code 45° PVC presion SCH-10 6"</t>
  </si>
  <si>
    <t>Union lisa PVC presion SCH-80 6"</t>
  </si>
  <si>
    <t>TEE PVC presion SCH-40 2-1/2"</t>
  </si>
  <si>
    <t>Codo 90° PVC presion SCH-40 2-1/2"</t>
  </si>
  <si>
    <t>Codo 45° PVC presion SCH-40 2-1/2"</t>
  </si>
  <si>
    <t>Tapon liso PVC sanitario  6"</t>
  </si>
  <si>
    <t>Codo 90° PVC sanitario  3"</t>
  </si>
  <si>
    <t>TEE PVC presion SCH-40 5"</t>
  </si>
  <si>
    <t>Codo 90° PVC presion SCH-40 3"</t>
  </si>
  <si>
    <t>Codo 90° PVC presion SCH-40 4"</t>
  </si>
  <si>
    <t>Union lisa PVC presion SCH-40 4"</t>
  </si>
  <si>
    <t>Union lisa PVC presion SCH-40 6"</t>
  </si>
  <si>
    <t>Codo 90° PVC presion SCH-40 6"</t>
  </si>
  <si>
    <t>Codo 45° PVC presion SCH-40 6"</t>
  </si>
  <si>
    <t>buje liso PVC presion SCH-40 8x4"</t>
  </si>
  <si>
    <t>Unionliso PVC sanitario  2"</t>
  </si>
  <si>
    <t>Unionliso PVC sanitario  1-1/2"</t>
  </si>
  <si>
    <t>TEE PVC sanitario  2"</t>
  </si>
  <si>
    <t>TEE PVC sanitario  1-1/2"</t>
  </si>
  <si>
    <t>Codo 90° PVC sanitario  2"</t>
  </si>
  <si>
    <t>Codo 90° PVC sanitario  1-1/2"</t>
  </si>
  <si>
    <t>Codo 45° PVC sanitario  1-1/2"</t>
  </si>
  <si>
    <t>Cruz PVC sanitario  1-1/2"</t>
  </si>
  <si>
    <t>Reduccion tuerca lisa PVC sanitario  2x1-1/2"</t>
  </si>
  <si>
    <t>Reduccion tuerca roscada PVC sanitario  2x1-1/2"</t>
  </si>
  <si>
    <t>Valvula de bola doble Universal PVC presion SCH-40 1/2"</t>
  </si>
  <si>
    <t>Valvula de bola doble Universal PVC presion SCH-40 3/4"</t>
  </si>
  <si>
    <t>UnionUnion roscada cheque PVC presion SCH-40 1"</t>
  </si>
  <si>
    <t>Valvula de pie PVC presion SCH-40 1"</t>
  </si>
  <si>
    <t>Valvula de bola doble Universal PVC presion SCH-40 1"</t>
  </si>
  <si>
    <t>Valvula de bola doble Universal PVC presion SCH-40 1-1/4"</t>
  </si>
  <si>
    <t>Valvula de bola doble Universal PVC presion SCH-40 2"</t>
  </si>
  <si>
    <t>Valvula de bola doble Universal PVC presion SCH-40 1-1/2"</t>
  </si>
  <si>
    <t>Valvula de bola doble lisa PVC presion SCH-40 1/2"</t>
  </si>
  <si>
    <t>Valvula de bola doble roscada PVC presion SCH-40 1/2"</t>
  </si>
  <si>
    <t>Valvula de bola doble lisa PVC presion SCH-40 3/4"</t>
  </si>
  <si>
    <t>Valvula de bola doble lisa PVC presion SCH-40 1"</t>
  </si>
  <si>
    <t>Valvula de bola doble lisa PVC presion SCH-40 1-1/4"</t>
  </si>
  <si>
    <t>Valvula de bola doble rocada PVC presion SCH-40 1-1/4"</t>
  </si>
  <si>
    <t>Valvula de bola doble lisa PVC presion SCH-40 1-1/2"</t>
  </si>
  <si>
    <t>Valvula de bola doble roscada PVC presion SCH-40 1-1/2"</t>
  </si>
  <si>
    <t>Valvula de bola doble lisa PVC presion SCH-40 2"</t>
  </si>
  <si>
    <t>Valvula de bola doble roscada PVC presion SCH-40 2"</t>
  </si>
  <si>
    <t>Brida normal PVC presion SCH-40 1"</t>
  </si>
  <si>
    <t>Brida normal PVC presion SCH-40 1-1/2"</t>
  </si>
  <si>
    <t>Brida normal PVC presion SCH-80 1-1/2"</t>
  </si>
  <si>
    <t>Brida normal PVC presion SCH-40 2"</t>
  </si>
  <si>
    <t>Brida normal PVC presion SCH-80 2"</t>
  </si>
  <si>
    <t>Brida normal PVC presion SCH-40 2-1/2"</t>
  </si>
  <si>
    <t>Brida normal PVC presion SCH-80 2-1/2"</t>
  </si>
  <si>
    <t>Brida normal PVC presion SCH-40 3"</t>
  </si>
  <si>
    <t>Brida ciega PVC presion SCH-80 3"</t>
  </si>
  <si>
    <t>Brida normal PVC presion SCH-40 4"</t>
  </si>
  <si>
    <t>Brida normal PVC presion SCH-80 4"</t>
  </si>
  <si>
    <t>Cruz PVC presion SCH-40 2"</t>
  </si>
  <si>
    <t>TEE PVC presion SCH-40 4"</t>
  </si>
  <si>
    <t>TEE PVC presion SCH-80 4"</t>
  </si>
  <si>
    <t>Macho PVC presion SCH-40 4"</t>
  </si>
  <si>
    <r>
      <t>Tapon liso PVC presion SCH-40 4</t>
    </r>
    <r>
      <rPr>
        <b/>
        <sz val="11"/>
        <color theme="1"/>
        <rFont val="Aptos Narrow"/>
        <family val="2"/>
        <scheme val="minor"/>
      </rPr>
      <t>"</t>
    </r>
  </si>
  <si>
    <t>Union roscada PVC presion SCH-40 2-1/2"</t>
  </si>
  <si>
    <t>Hembra PVC presion SCH-40 2-1/2"</t>
  </si>
  <si>
    <t>Macho PVC presion SCH-40 2-1/2"</t>
  </si>
  <si>
    <t>Tapon liso PVC presion SCH-40 2-1/2"</t>
  </si>
  <si>
    <t>Tapon roscado PVC presion SCH-40 2-1/2"</t>
  </si>
  <si>
    <t>Cruz PVC presion SCH-40 3"</t>
  </si>
  <si>
    <t>TEE PVC presion SCH-40 3"</t>
  </si>
  <si>
    <t>Codo 45° PVC presion SCH-40 3"</t>
  </si>
  <si>
    <t>Conduleta tipo T 3/4"</t>
  </si>
  <si>
    <t>Aluminio</t>
  </si>
  <si>
    <t>Conduleta tipo U 3/4"</t>
  </si>
  <si>
    <t>Conduleta tipo L 3/4"</t>
  </si>
  <si>
    <t>Conduleta tipo T 1"</t>
  </si>
  <si>
    <t>Conduleta tipo L 1"</t>
  </si>
  <si>
    <t>Conduleta tipo L 2"</t>
  </si>
  <si>
    <t>Buje polipropileno azul 32x20</t>
  </si>
  <si>
    <t>Polipropileno</t>
  </si>
  <si>
    <t>Hembra polipropileno azul 32x1"</t>
  </si>
  <si>
    <t>polipropileno</t>
  </si>
  <si>
    <t>Hembra polipropileno verde 32x1"</t>
  </si>
  <si>
    <t>Macho polipropileno azul 32x1"</t>
  </si>
  <si>
    <t>Macho polipropileno verde 32x1"</t>
  </si>
  <si>
    <t>Macho polipropileno azul 50x50</t>
  </si>
  <si>
    <t>Union lisa polipropileno azul 32x32</t>
  </si>
  <si>
    <t>TEE polipropileno azul 32</t>
  </si>
  <si>
    <t>TEE polipropileno verde 32</t>
  </si>
  <si>
    <t>TEE polipropileno azul 50</t>
  </si>
  <si>
    <t>Codo 90° polipropileno azul 32x32</t>
  </si>
  <si>
    <t>Codo 90° polipropileno azul 50x50</t>
  </si>
  <si>
    <t>Codo 90° polipropileno verde 32x32</t>
  </si>
  <si>
    <t>Valvula de bola doble  polipropileno azul 32</t>
  </si>
  <si>
    <t>TEE polipropileno azul 20</t>
  </si>
  <si>
    <t xml:space="preserve">Codo 90° polipropileno azul 20x20 </t>
  </si>
  <si>
    <t xml:space="preserve">Codo 45° polipropileno verde 20x20 </t>
  </si>
  <si>
    <t>Valvula de bola doble polipropileno azul 20</t>
  </si>
  <si>
    <t>valvula de bola doble polipropileno verde 20</t>
  </si>
  <si>
    <t>Macho polipropileno azul 20x1/2</t>
  </si>
  <si>
    <t>Macho polipropileno verde 20x1/2</t>
  </si>
  <si>
    <t>Hembra polipropileno azul 20x1/2</t>
  </si>
  <si>
    <t>Hembra polipropileno verde 20x1/2</t>
  </si>
  <si>
    <t>Union lisa polipropileno verde 20x20</t>
  </si>
  <si>
    <t>Union lisa polipropileno azul 20x20</t>
  </si>
  <si>
    <t>Union roscada polipropileno Verde 20</t>
  </si>
  <si>
    <t>Union roscada polipropileno azul 20</t>
  </si>
  <si>
    <t>Valvula de bola inox 316 1-1/2"</t>
  </si>
  <si>
    <t>valvula paso libre inox 316 1-1/2"</t>
  </si>
  <si>
    <t>inox 316</t>
  </si>
  <si>
    <t>Valvula de bola inox 316 1"</t>
  </si>
  <si>
    <t>valvula paso libre inox 316  1"</t>
  </si>
  <si>
    <t>Valvula de bola inox 316 3/4"</t>
  </si>
  <si>
    <t>Valvula de bola inox 316 3/8"</t>
  </si>
  <si>
    <t>Valvula de bola inox 316 1/2"</t>
  </si>
  <si>
    <t>Valvula paso libre inox 316 1/2"</t>
  </si>
  <si>
    <t>Valvula de bola inox 316 1/4"</t>
  </si>
  <si>
    <t>Valvula paso libre inox 316 3/4"</t>
  </si>
  <si>
    <t xml:space="preserve">Fijador mecano para tubo 1/2"o 50 </t>
  </si>
  <si>
    <t xml:space="preserve">Galvanizado </t>
  </si>
  <si>
    <t xml:space="preserve">Fijador mecano para tubo 3/4"o 75 </t>
  </si>
  <si>
    <t xml:space="preserve">Fijador mecano para tubo 1"o 100 </t>
  </si>
  <si>
    <t xml:space="preserve">Fijador mecano para tubo 1-1/4"o 125 </t>
  </si>
  <si>
    <t xml:space="preserve">Fijador mecano para tubo 1-1/2"o 150 </t>
  </si>
  <si>
    <t xml:space="preserve">Fijador mecano para tubo 2"o 200 </t>
  </si>
  <si>
    <t xml:space="preserve">Fijador mecano para tubo 2-1/2"o 250 </t>
  </si>
  <si>
    <t xml:space="preserve">Fijador mecano para tubo 3"o 300 </t>
  </si>
  <si>
    <t>28/11/1015</t>
  </si>
  <si>
    <t xml:space="preserve">Fijador mecano para tubo 4"o 400 </t>
  </si>
  <si>
    <t xml:space="preserve">Fijador mecano para tubo 6"o 600 </t>
  </si>
  <si>
    <t>Tubo PVC conduit gris SCH-40 3/4"</t>
  </si>
  <si>
    <t>PVC conduit</t>
  </si>
  <si>
    <t>Tubo PVC conduit gris SCH-40 1/2"</t>
  </si>
  <si>
    <t>Tubo PVC conduit azul SCH-40 1"</t>
  </si>
  <si>
    <t>Tubo PVC conduit azul SCH-40 3/4"</t>
  </si>
  <si>
    <t>Tubo PVC presion SCH-80 2"</t>
  </si>
  <si>
    <t>Tubo PVC presion SCH-80 3/4"</t>
  </si>
  <si>
    <t>Tubo PVC presion RDE 11 3/4"</t>
  </si>
  <si>
    <t>Tubo PVC presion RDE 21 3/4"</t>
  </si>
  <si>
    <t>Tubo PVC presion RDE 21 2-1/2"</t>
  </si>
  <si>
    <t>Tubo PVC presion RDE 21  4"</t>
  </si>
  <si>
    <t>Tubo PVC presion RDE 21 1-1/4"</t>
  </si>
  <si>
    <t>Tubo PVC sanitario   3"</t>
  </si>
  <si>
    <t>Tubo CPVC SCH-80 4"</t>
  </si>
  <si>
    <t>Tubo inox 304 SCH-10 1/2"</t>
  </si>
  <si>
    <t>Tubo CPCV RDE 11 1-1/2"</t>
  </si>
  <si>
    <t>Tubo CPCV RDE 11 1-1/4"</t>
  </si>
  <si>
    <t>INVENTARIO IMUSA</t>
  </si>
  <si>
    <t>Abrazaderas acero inox 1"</t>
  </si>
  <si>
    <t xml:space="preserve">Inox </t>
  </si>
  <si>
    <t>Abrazaderas acero inox 1/2"</t>
  </si>
  <si>
    <t>Abrazaderas acero inox 2"</t>
  </si>
  <si>
    <t>Base para mecano galvanizado</t>
  </si>
  <si>
    <t>Galvanizado</t>
  </si>
  <si>
    <t>Brida lisa acero inox  3"</t>
  </si>
  <si>
    <t>Buje acero inox Soldar 2x1-1/2"</t>
  </si>
  <si>
    <t>Buje acero inox soldar 3/4x1/2"</t>
  </si>
  <si>
    <t>Buje liso PVC presion 1-1/2x1/2"</t>
  </si>
  <si>
    <t xml:space="preserve">PVC presion </t>
  </si>
  <si>
    <t>Buje liso PVC presion 1-1/2x3/4"</t>
  </si>
  <si>
    <t>Buje liso PVC presion 2-1/2x1-1/2"</t>
  </si>
  <si>
    <t>Buje liso PVC presion 2x1-1/2"</t>
  </si>
  <si>
    <t>Buje liso PVC presion 4x2"</t>
  </si>
  <si>
    <t>Buje liso PVC presion 4x3"</t>
  </si>
  <si>
    <t>Buje roscado PVC presion 3/4x1/2"</t>
  </si>
  <si>
    <t>Cheque en bronce 1-1/2"</t>
  </si>
  <si>
    <t>Bronce</t>
  </si>
  <si>
    <t>Codo 45° acero inox soldar 2"</t>
  </si>
  <si>
    <t>Codo 45° PVC sanitario soldar 3"</t>
  </si>
  <si>
    <t>Codo 90"acero inox soldar 2"</t>
  </si>
  <si>
    <t>Codo 90"PVC sanitario soldar 4"</t>
  </si>
  <si>
    <t>Empaque Neopreno 2"</t>
  </si>
  <si>
    <t>Neopreno</t>
  </si>
  <si>
    <t>Jaco PVC presion 1/2"</t>
  </si>
  <si>
    <t>Macho acero inox 1/2"</t>
  </si>
  <si>
    <t>Macho PVC presion SCH-80 2-1/2"</t>
  </si>
  <si>
    <t>Manometro 0-100</t>
  </si>
  <si>
    <t>Manometro 0-60</t>
  </si>
  <si>
    <t>Mensula 25 cm galvanizado</t>
  </si>
  <si>
    <t>Mensula 40 cm galvanizado</t>
  </si>
  <si>
    <t>Niple acero inox 1/2"x 20 cm</t>
  </si>
  <si>
    <t>Platina en L 4x4 cm galvanizado</t>
  </si>
  <si>
    <t>Reduccion concentrica acero inox soldar 3x2-1/2"</t>
  </si>
  <si>
    <t>Reduccion concentrica roscada acero inox 1-1/2x1/2"</t>
  </si>
  <si>
    <t>Tapon roscado PVC presion 4"</t>
  </si>
  <si>
    <t>TEE PVC sanitario soldar 4"</t>
  </si>
  <si>
    <t>TEE roscada acero inox 2"</t>
  </si>
  <si>
    <t>Tornillo acero inox 3/8x1-1/2"</t>
  </si>
  <si>
    <t>Tornillo acero inox 5/8x3-1/2"</t>
  </si>
  <si>
    <t>Tubo PVC presion RDE 21 1-1/2"</t>
  </si>
  <si>
    <t>Tubo PVC presion RDE 21 2"</t>
  </si>
  <si>
    <t>Tubo PVC sanitario 6"</t>
  </si>
  <si>
    <t>Union roscada acero inox 1/2"</t>
  </si>
  <si>
    <t>UnionPVC presion soldar 3"</t>
  </si>
  <si>
    <t>UnionPVC sanitario soldar 3"</t>
  </si>
  <si>
    <t>Union roscada polipropileno 1"</t>
  </si>
  <si>
    <t xml:space="preserve">Polipropileno </t>
  </si>
  <si>
    <t>Valvula compuerta bronce 1-1/2"</t>
  </si>
  <si>
    <t>Valvula compuerta bronce 2"</t>
  </si>
  <si>
    <t>Valvula solenoide UW-15 volts 110 1/2"</t>
  </si>
  <si>
    <t>INVENTARIO 2026</t>
  </si>
  <si>
    <t>Codo 45° Inox SCH-10 8"</t>
  </si>
  <si>
    <t xml:space="preserve">inox </t>
  </si>
  <si>
    <t>TEE Inox SCH-10 6"</t>
  </si>
  <si>
    <t>Codo 45° Inox SCH-10 6"</t>
  </si>
  <si>
    <t>Reduccion concentrica Inox SCH-10</t>
  </si>
  <si>
    <t>Buje liso PVC sanitario 6x4"</t>
  </si>
  <si>
    <t>Buje liso PVC sanitario 4x3"</t>
  </si>
  <si>
    <t>Buje liso PVC presion 4x2-1/2"</t>
  </si>
  <si>
    <t>Buje roscado PVC presion 4x2"</t>
  </si>
  <si>
    <t>collarin Polietileno 6x1-1/2"</t>
  </si>
  <si>
    <t>Polietileno</t>
  </si>
  <si>
    <t>collarin Polietileno 6x1-1/4"</t>
  </si>
  <si>
    <t>collarin Polietileno 6x1"</t>
  </si>
  <si>
    <t>Filtro en Y polipropileno 1-1/2"</t>
  </si>
  <si>
    <t>Filtro en Y polipropileno 1"</t>
  </si>
  <si>
    <t>collarin PVC presion 3x1"</t>
  </si>
  <si>
    <t>collarin PVC presion 3x1/2"</t>
  </si>
  <si>
    <t>Manometro 0-150</t>
  </si>
  <si>
    <t>Tornillo galvanizado 3/4x7"</t>
  </si>
  <si>
    <t>Tornillo galvanizado 3/4x6"</t>
  </si>
  <si>
    <t>Tornillo galvanizado 3/4x5-1/2"</t>
  </si>
  <si>
    <t>Tornillo galvanizado 3/4x5"</t>
  </si>
  <si>
    <t>Tornillo galvanizado 3/4x4"</t>
  </si>
  <si>
    <t>Tornillo galvanizado 3/4x3-1/2"</t>
  </si>
  <si>
    <t>Tornillo galvanizado 3/4x3"</t>
  </si>
  <si>
    <t>Tornillo galvanizado 5/8x6"</t>
  </si>
  <si>
    <t>Tornillo galvanizado 5/8x5-1/2"</t>
  </si>
  <si>
    <t>Tornillo galvanizado 5/8x5"</t>
  </si>
  <si>
    <t>Tornillo galvanizado 5/8x3-1/2"</t>
  </si>
  <si>
    <t>Tornillo galvanizado 5/8x3"</t>
  </si>
  <si>
    <t>Tornillo galvanizado 5/8x2-1/2"</t>
  </si>
  <si>
    <t>Tornillo galvanizado 5/8x2"</t>
  </si>
  <si>
    <t>Tornillo galvanizado 1/2x5"</t>
  </si>
  <si>
    <t>Tornillo galvanizado 1/2x4"</t>
  </si>
  <si>
    <t>Tornillo galvanizado 1/2x3"</t>
  </si>
  <si>
    <t>Tornillo galvanizado 1/2x2-1/2"</t>
  </si>
  <si>
    <t>Tornillo galvanizado 1/2x2"</t>
  </si>
  <si>
    <t>Tornillo galvanizado 1/2x1-1/2"</t>
  </si>
  <si>
    <t>Tuerca 3/4"</t>
  </si>
  <si>
    <t>Tuerca 5/8"</t>
  </si>
  <si>
    <t>Tuerca 1/2"</t>
  </si>
  <si>
    <t>Arandela 3/4"</t>
  </si>
  <si>
    <t>Arandela 5/8"</t>
  </si>
  <si>
    <t>Arandela 1/2"</t>
  </si>
  <si>
    <t>Brida lisa inox 6"</t>
  </si>
  <si>
    <t>Inox</t>
  </si>
  <si>
    <t>Brida lisa inox 4"</t>
  </si>
  <si>
    <t>Brida lisa inox 3"</t>
  </si>
  <si>
    <t>Brida lisa inox 2-1/2"</t>
  </si>
  <si>
    <t>Brida lisa inox 2"</t>
  </si>
  <si>
    <t>Brida lisa inox 1-1/2"</t>
  </si>
  <si>
    <t>Brida lisa inox 1-1/4"</t>
  </si>
  <si>
    <t>Brida lisa inox 1"</t>
  </si>
  <si>
    <t>Brida roscada inox 2"</t>
  </si>
  <si>
    <t>Brida roscada inox 1-1/2"</t>
  </si>
  <si>
    <t>Brida roscada inox 1"</t>
  </si>
  <si>
    <t>Brida lisa acero al carbon 4"</t>
  </si>
  <si>
    <t>AC</t>
  </si>
  <si>
    <t>Brida roscada acero al carbon 4"</t>
  </si>
  <si>
    <t>Brida ciega acero al carbon 4"</t>
  </si>
  <si>
    <t>Brida roscada acero al carbon 2"</t>
  </si>
  <si>
    <t>Brida roscada acero al carbon 1-1/2"</t>
  </si>
  <si>
    <t>Brida roscada acero al carbon 1"</t>
  </si>
  <si>
    <t>Valvula compuerta bronce 3"</t>
  </si>
  <si>
    <t>Valvula compuerta bronce 2-1/2"</t>
  </si>
  <si>
    <t>Valvula compuerta bronce 1-1/4"</t>
  </si>
  <si>
    <t>Valvula compuerta bronce 1"</t>
  </si>
  <si>
    <t>Valvula compuerta bronce 3/4"</t>
  </si>
  <si>
    <t>Valvula compuerta bronce 1/2"</t>
  </si>
  <si>
    <t>Valvula compuerta bronce 1/4"</t>
  </si>
  <si>
    <t>Valvula compuerta de globo bronce 1-1/2"</t>
  </si>
  <si>
    <t>Valvula compuerta de globo bronce 1"</t>
  </si>
  <si>
    <t>Valvula compuerta de globo bronce 3/4"</t>
  </si>
  <si>
    <t>Cheque de bola bronce 1-1/2"</t>
  </si>
  <si>
    <t>Cheque de maya bronce 1-1/2"</t>
  </si>
  <si>
    <t>Cheque de tapa bronce 1-1/2"</t>
  </si>
  <si>
    <t>Cheque de tapa bronce 1"</t>
  </si>
  <si>
    <t>Cheque de maya bronce 1"</t>
  </si>
  <si>
    <t>Valvula alivio bronce 2"</t>
  </si>
  <si>
    <t>Valvula alivio bronce 1"</t>
  </si>
  <si>
    <t>Valvula alivio bronce 1/2"</t>
  </si>
  <si>
    <t>Codo hembra macho bronce 3/4"</t>
  </si>
  <si>
    <t>Cheque vertical bronce 3/4"</t>
  </si>
  <si>
    <t>Buje roscado en bronce 2x1/2"</t>
  </si>
  <si>
    <t>Canillas bronce 1/2"</t>
  </si>
  <si>
    <t>Canillas galvanizada 1/2"</t>
  </si>
  <si>
    <t>Pistola para manguera de riego 1/2"</t>
  </si>
  <si>
    <t>Valvula compuerta inox 2"</t>
  </si>
  <si>
    <t>Valvula compuerta inox 3/4"</t>
  </si>
  <si>
    <t>Valvula de globo inoxx 1-1/2"</t>
  </si>
  <si>
    <t>Cheque maya inox 1-1/4"</t>
  </si>
  <si>
    <t>Valvula de bola inox 3"</t>
  </si>
  <si>
    <t>Valvula reguladora de bola inox 2"</t>
  </si>
  <si>
    <t>Valvula de bola metal 1-1/2"</t>
  </si>
  <si>
    <t>Metal</t>
  </si>
  <si>
    <t>Valvula de bola metal 1"</t>
  </si>
  <si>
    <t>Valvula de bola metal 1/2"</t>
  </si>
  <si>
    <t>Valvula de bola metal 1/4"</t>
  </si>
  <si>
    <t>Valvula de bola metal macho hembra 3/4"</t>
  </si>
  <si>
    <t>Niple acero inox 4"x 10 cm</t>
  </si>
  <si>
    <t>Niple acero inox 2-1/2"x 30 cm</t>
  </si>
  <si>
    <t>Niple acero inox 2-1/2"x 10 cm</t>
  </si>
  <si>
    <t>Niple acero inox 2"x 20 cm</t>
  </si>
  <si>
    <t>Niple acero inox 2"x 15 cm</t>
  </si>
  <si>
    <t>Niple acero inox 2"x 10 cm</t>
  </si>
  <si>
    <t>Niple acero inox 1-1/2"x 40 cm</t>
  </si>
  <si>
    <t>Niple acero inox 1-1/2"x 30 cm</t>
  </si>
  <si>
    <t>Niple acero inox 1-1/2"x 25 cm</t>
  </si>
  <si>
    <t>Niple acero inox 1-1/2"x 20 cm</t>
  </si>
  <si>
    <t>Niple acero inox 1-1/2"x 15 cm</t>
  </si>
  <si>
    <t>Niple acero inox 1-1/2"x 10 cm</t>
  </si>
  <si>
    <t>Niple acero inox 1-1/4"x 20 cm</t>
  </si>
  <si>
    <t>Niple acero inox 1-1/4"x 10 cm</t>
  </si>
  <si>
    <t>Niple acero inox 1-1/4"x 7 cm</t>
  </si>
  <si>
    <t>Niple acero inox 1"x 40 cm</t>
  </si>
  <si>
    <t>Niple acero inox 1"x 30 cm</t>
  </si>
  <si>
    <t>Niple acero inox 1"x 10 cm</t>
  </si>
  <si>
    <t>Niple acero inox 1"x 8 cm</t>
  </si>
  <si>
    <t>Niple acero inox 3/4"x 10 cm</t>
  </si>
  <si>
    <t>Niple acero inox 1/2"x 10 cm</t>
  </si>
  <si>
    <t>Codo 90° acero al carbon 4"</t>
  </si>
  <si>
    <t>Tornillo galvanizado 1x6"</t>
  </si>
  <si>
    <t>Tornillo galvanizado 7/8x7"</t>
  </si>
  <si>
    <t>Tornillo galvanizado 13/16x8"</t>
  </si>
  <si>
    <t>Tornillo galvanizado 1x3-1/2"</t>
  </si>
  <si>
    <t>Tornillo galvanizado 13/16x5-1/2"</t>
  </si>
  <si>
    <t>Tornillo galvanizado 13/16x2-1/2"</t>
  </si>
  <si>
    <t>Tuercas galvanizado 1"</t>
  </si>
  <si>
    <t>Tuercas galvanizado 13/16"</t>
  </si>
  <si>
    <t>Arandela galvanizado 1"</t>
  </si>
  <si>
    <t>Arandela galvanizado 13/16"</t>
  </si>
  <si>
    <t>Tornillo acero inox 1x4-1/2"</t>
  </si>
  <si>
    <t>Tornillo acero inox 13/16x4"</t>
  </si>
  <si>
    <t>Tornillo acero inox 7/8x2"</t>
  </si>
  <si>
    <t>Tuerca acero inox A2 - 70 1"</t>
  </si>
  <si>
    <t>Tuerca acero inox 1"</t>
  </si>
  <si>
    <t>Tuerca acero inox 7/8"</t>
  </si>
  <si>
    <t>Arandela acero inox 1"</t>
  </si>
  <si>
    <t>Esparragos acero inox 1"x64 cm</t>
  </si>
  <si>
    <t>Esparragos acero inox 1"x32 cm</t>
  </si>
  <si>
    <t>Esparragos acero inox 1"x29 cm</t>
  </si>
  <si>
    <t>Esparragos acero inox 1"x21 cm</t>
  </si>
  <si>
    <t>Esparragos acero inox 1"x18 cm</t>
  </si>
  <si>
    <t>Esparragos acero inox 1"x16,5 cm</t>
  </si>
  <si>
    <t>Platina acero inox 30x25x20mm</t>
  </si>
  <si>
    <t>Platina acero inox 15x10x10mm</t>
  </si>
  <si>
    <t>Tuerca acero al carbon 13/16"</t>
  </si>
  <si>
    <t>TEE acero al carbon 2"</t>
  </si>
  <si>
    <t>TEE acero al carbon 1-1/2"</t>
  </si>
  <si>
    <t>TEE acero al carbon 1/2"</t>
  </si>
  <si>
    <t>Union roscada acero al carbon 1-1/2"</t>
  </si>
  <si>
    <t>Buje acero al carbon 1-1/2x1/4</t>
  </si>
  <si>
    <t>Tubo acero al carbon 1-1/2"</t>
  </si>
  <si>
    <t>Codo 90° galvanizado 2-1/2"</t>
  </si>
  <si>
    <t>Codo 90° galvanizado 2"</t>
  </si>
  <si>
    <t>Codo 90° galvanizado 1-1/2"</t>
  </si>
  <si>
    <t>Codo 90° galvanizado 1-1/4"</t>
  </si>
  <si>
    <t>Codo 90° galvanizado 1"</t>
  </si>
  <si>
    <t>Codo 90° galvanizado 1/2"</t>
  </si>
  <si>
    <t>Codo 45° galvanizado 2"</t>
  </si>
  <si>
    <t>Codo 45° galvanizado 1-1/2"</t>
  </si>
  <si>
    <t>Codo 45° galvanizado 1-1/4"</t>
  </si>
  <si>
    <t>Codo 45° galvanizado 3/4"</t>
  </si>
  <si>
    <t>Codo 45° galvanizado 1/2"</t>
  </si>
  <si>
    <t>TEE galvanizada 2-1/2"</t>
  </si>
  <si>
    <t>TEE galvanizada 2"</t>
  </si>
  <si>
    <t>TEE galvanizada 1-1/2"</t>
  </si>
  <si>
    <t>TEE galvanizada 1-1/4"</t>
  </si>
  <si>
    <t>TEE galvanizada 1"</t>
  </si>
  <si>
    <t>TEE galvanizada 1/2"</t>
  </si>
  <si>
    <t>Universal galvanizada 2-1/2"</t>
  </si>
  <si>
    <t>Universal galvanizada 2"</t>
  </si>
  <si>
    <t>Universal galvanizada 1-1/2"</t>
  </si>
  <si>
    <t>Universal galvanizada 1-1/4"</t>
  </si>
  <si>
    <t>Universal galvanizada 1"</t>
  </si>
  <si>
    <t>Universal galvanizada 1/2"</t>
  </si>
  <si>
    <t>Union roscada galvanizada 2-1/2"</t>
  </si>
  <si>
    <t>Union roscada galvanizada 2"</t>
  </si>
  <si>
    <t>Union roscada galvanizada 1-1/2"</t>
  </si>
  <si>
    <t>Union roscada galvanizada 1-1/4"</t>
  </si>
  <si>
    <t>Union roscada galvanizada 1"</t>
  </si>
  <si>
    <t>Union roscada galvanizada 1/2"</t>
  </si>
  <si>
    <t>Buje galvanizado 2-1/2x2"</t>
  </si>
  <si>
    <t>Buje galvanizado 2-1/2x1-1/2"</t>
  </si>
  <si>
    <t>Buje galvanizado 2x1/2"</t>
  </si>
  <si>
    <t>Buje galvanizado 1-1/2x1-1/4"</t>
  </si>
  <si>
    <t>Buje galvanizado 1-1/2x1"</t>
  </si>
  <si>
    <t>Buje galvanizado 1-1/4x1/2"</t>
  </si>
  <si>
    <t>Buje galvanizado 1x1/2"</t>
  </si>
  <si>
    <t>Buje galvanizado 3/4x1/2"</t>
  </si>
  <si>
    <t>Buje galvanizado 1/2x3/8"</t>
  </si>
  <si>
    <t>Buje galvanizado 1/2x1/4"</t>
  </si>
  <si>
    <t>Tapon galvanizado 1"</t>
  </si>
  <si>
    <t>Tapon galvanizado 1/2"</t>
  </si>
  <si>
    <t>Tapon galvanizado 3"</t>
  </si>
  <si>
    <t>Reduccion concentrica roscada galvanizada 3x2-1/2"</t>
  </si>
  <si>
    <t>Reduccion concentrica roscada galvanizada 1-1/4x3/4"</t>
  </si>
  <si>
    <t>Tornillo acero inox 3/4x6"</t>
  </si>
  <si>
    <t>Tornillo acero inox 3/4x3-1/2"</t>
  </si>
  <si>
    <t>Tornillo acero inox 5/8x4"</t>
  </si>
  <si>
    <t>Tornillo acero inox 5/8x3"</t>
  </si>
  <si>
    <t>Tornillo acero inox 5/8x2"</t>
  </si>
  <si>
    <t>Tornillo acero inox 9/16x4"</t>
  </si>
  <si>
    <t>Tornillo acero inox 9/16x3-1/2"</t>
  </si>
  <si>
    <t>Tornillo acero inox 9/16x2-1/2"</t>
  </si>
  <si>
    <t>Tornillo acero inox 9/16x2"</t>
  </si>
  <si>
    <t>Tornillo acero inox 9/16x1-1/2"</t>
  </si>
  <si>
    <t>Tornillo acero inox 1/2x1-1/2"</t>
  </si>
  <si>
    <t>Tornillo acero inox 3/8x5"</t>
  </si>
  <si>
    <t>Tornillo acero inox 3/8x3-1/2"</t>
  </si>
  <si>
    <t>Tornillo acero inox 3/8x2-1/2"</t>
  </si>
  <si>
    <t>Tornillo acero inox 7/8x6"</t>
  </si>
  <si>
    <t>Tornillo acero inox 1x3-1/2"</t>
  </si>
  <si>
    <t>Tornillo acero inox 3/4x4"</t>
  </si>
  <si>
    <t>Tornillo acero inox 3/4x3"</t>
  </si>
  <si>
    <t>Tornillo acero inox 3/4x2"</t>
  </si>
  <si>
    <t>Tornillo acero inox 5/8x2-1/2"</t>
  </si>
  <si>
    <t>Tornillo acero inox 1/2x5"</t>
  </si>
  <si>
    <t>Tornillo acero inox 1/2x3-1/2"</t>
  </si>
  <si>
    <t>Tornillo acero inox 1/2x2-1/2"</t>
  </si>
  <si>
    <t>Tornillo acero inox 1/2x2"</t>
  </si>
  <si>
    <t>Tornillo acero inox 1/2x1"</t>
  </si>
  <si>
    <t>Tornillo acero inox 7/16x2"</t>
  </si>
  <si>
    <t>Tornillo acero inox 7/16x1-1/2"</t>
  </si>
  <si>
    <t>Tornillo acero inox 3/8x6"</t>
  </si>
  <si>
    <t>Tornillo acero inox 3/8x3"</t>
  </si>
  <si>
    <t>Tornillo acero inox 3/8x2"</t>
  </si>
  <si>
    <t>Tornillo acero inox 3/8x1"</t>
  </si>
  <si>
    <t>Tornillo acero inox 5/16x2"</t>
  </si>
  <si>
    <t>Tornillo acero inox 5/16x1-1/2"</t>
  </si>
  <si>
    <t>Tornillo acero inox 5/16x1"</t>
  </si>
  <si>
    <t>Tornillo acero inox 5/16x1/2"</t>
  </si>
  <si>
    <t>Tornillo acero inox 1/4x2"</t>
  </si>
  <si>
    <t>Tornillo acero inox 1/4x1-1/2"</t>
  </si>
  <si>
    <t>Tornillo acero inox 1/4x1-1/4"</t>
  </si>
  <si>
    <t>Buje acero inox 1-1/2x1-1/4"</t>
  </si>
  <si>
    <t>Buje acero inox 1-1/4x3/4"</t>
  </si>
  <si>
    <r>
      <t xml:space="preserve">Base para mecano galvanizado </t>
    </r>
    <r>
      <rPr>
        <sz val="11"/>
        <color rgb="FFFF0000"/>
        <rFont val="Aptos Narrow"/>
        <family val="2"/>
        <scheme val="minor"/>
      </rPr>
      <t>(referencia)</t>
    </r>
  </si>
  <si>
    <t>Brida loca PVC presion SCH-40 1"</t>
  </si>
  <si>
    <t>ok</t>
  </si>
  <si>
    <t>Stud end</t>
  </si>
  <si>
    <t>Brida loca PVC presion SCH-40 1-1/2"</t>
  </si>
  <si>
    <t>Stud end Una usada</t>
  </si>
  <si>
    <t>Brida loca PVC presion SCH-40 2"</t>
  </si>
  <si>
    <t>Stud end. Una sin stud</t>
  </si>
  <si>
    <t>Brida loca PVC presion SCH-40 2-1/2"</t>
  </si>
  <si>
    <t>Brida loca PVC presion SCH-40 3"</t>
  </si>
  <si>
    <t>Brida loca PVC presion SCH-40 4"</t>
  </si>
  <si>
    <t>Brida loca PVC presion SCH-40 6"</t>
  </si>
  <si>
    <t>Brida loca PVC presion SCH-40 8"</t>
  </si>
  <si>
    <t>Brida loca PVC presion SCH-80 1-1/2"</t>
  </si>
  <si>
    <t>Brida loca PVC presion SCH-80 2"</t>
  </si>
  <si>
    <t>Brida loca PVC presion SCH-80 2-1/2"</t>
  </si>
  <si>
    <t>Brida loca PVC presion SCH-80 4"</t>
  </si>
  <si>
    <t>Brida loca PVC presion SCH-80 6"</t>
  </si>
  <si>
    <t>(150 ó 300 PSI?)</t>
  </si>
  <si>
    <t>Brida roscada inox 1" (150 ó 300 PSI?)</t>
  </si>
  <si>
    <t>Santinario no es SCH 40</t>
  </si>
  <si>
    <t xml:space="preserve">Aluminio </t>
  </si>
  <si>
    <t xml:space="preserve">fijador mecano para tubo 6"o 600 </t>
  </si>
  <si>
    <t>Macho acero inoxn 304 1/2"</t>
  </si>
  <si>
    <t>Niple acero inox 304 1"x 10 cm</t>
  </si>
  <si>
    <t>SCH</t>
  </si>
  <si>
    <t>Niple acero inox 304 1"x 30 cm</t>
  </si>
  <si>
    <t>Niple acero inox 304 1"x 40 cm</t>
  </si>
  <si>
    <t>Niple acero inox 304 1"x 8 cm</t>
  </si>
  <si>
    <t>Niple acero inox 304 1/2"x 10 cm</t>
  </si>
  <si>
    <t>Niple acero inox 304 1/2"x 20 cm</t>
  </si>
  <si>
    <t xml:space="preserve">Inox 304 </t>
  </si>
  <si>
    <t>Niple acero inox 304 1-1/2"x 10 cm</t>
  </si>
  <si>
    <t>Niple acero inox 304 1-1/2"x 15 cm</t>
  </si>
  <si>
    <t>Niple acero inox 304 1-1/2"x 20 cm</t>
  </si>
  <si>
    <t>Niple acero inox 304 1-1/2"x 25 cm</t>
  </si>
  <si>
    <t>Niple acero inox 304 1-1/2"x 30 cm</t>
  </si>
  <si>
    <t>Niple acero inox 304 1-1/2"x 40 cm</t>
  </si>
  <si>
    <t>Niple acero inox 304 1-1/4"x 10 cm</t>
  </si>
  <si>
    <t>Niple acero inox 304 1-1/4"x 20 cm</t>
  </si>
  <si>
    <t>Niple acero inox 304 1-1/4"x 7 cm</t>
  </si>
  <si>
    <t>Niple acero inox 304 2"x 10 cm</t>
  </si>
  <si>
    <t>Niple acero inox 304 2"x 15 cm</t>
  </si>
  <si>
    <t>Niple acero inox 304 2"x 20 cm</t>
  </si>
  <si>
    <t>Niple acero inox 304 2-1/2"x 10 cm</t>
  </si>
  <si>
    <t>Niple acero inox 304 2-1/2"x 30 cm</t>
  </si>
  <si>
    <t>Niple acero inox 304 3/4"x 10 cm</t>
  </si>
  <si>
    <t>Niple acero inox 304 4"x 10 cm</t>
  </si>
  <si>
    <t>Reduccion concentrica soldar inox 304 SCH-10 3x2-1/2"</t>
  </si>
  <si>
    <t>Reduccion concentrica soldar inox 304 SCH-10 1/4x1"</t>
  </si>
  <si>
    <t>Reduccion concentrica soldar inox 304 SCH-10 1-1/2x1"</t>
  </si>
  <si>
    <t>Reduccion concentrica soldar inox 304 SCH-10 2-1/2x1"</t>
  </si>
  <si>
    <t>Reduccion concentrica soldar inox 304 SCH-10 2-1/2x2"</t>
  </si>
  <si>
    <t>Reduccion concentrica soldar inox 304 SCH-10 2x1"</t>
  </si>
  <si>
    <t>Reduccion concentrica soldar inox 304 SCH-10 3x1"</t>
  </si>
  <si>
    <t>Reduccion concentrica soldar inox 304 SCH-10 3x1-1/2"</t>
  </si>
  <si>
    <t>Reduccion concentrica soldar inox 304 SCH-10 3x2"</t>
  </si>
  <si>
    <t>Reduccion concentrica soldar inox 304 SCH-10</t>
  </si>
  <si>
    <t>dimensión</t>
  </si>
  <si>
    <t>Reduccion excentrica soldar inox 304 SCH-10 3x1-1/2"</t>
  </si>
  <si>
    <t>Reduccion excentrica soldar inox 304 SCH-10 3x2"</t>
  </si>
  <si>
    <t>Ganchos carniceros para filtro de bolsas inox 304</t>
  </si>
  <si>
    <t>Tapon liso PVC presion SCH-40 1"</t>
  </si>
  <si>
    <t>Soldar?</t>
  </si>
  <si>
    <t>Tapon liso PVC presion SCH-40 1/2"</t>
  </si>
  <si>
    <t>Tapon liso PVC presion SCH-40 1-1/2"</t>
  </si>
  <si>
    <t>Tapon liso PVC presion SCH-40 3/4"</t>
  </si>
  <si>
    <t>Tapon liso PVC presion SCH-80 1"</t>
  </si>
  <si>
    <t>TEE Inox 304 SCH-10 6"</t>
  </si>
  <si>
    <t>Lisas</t>
  </si>
  <si>
    <t>TEE roscada inox 304 2"</t>
  </si>
  <si>
    <t>RDE</t>
  </si>
  <si>
    <t>Union roscada inox 304 SCH-10 3/4"</t>
  </si>
  <si>
    <t>Union lisa PVC sanitario  1-1/2"</t>
  </si>
  <si>
    <t>Union lisa PVC sanitario  2"</t>
  </si>
  <si>
    <t>Union PVC sanitario soldar 3"</t>
  </si>
  <si>
    <t>Union roscada cheque PVC presion SCH-40 1"</t>
  </si>
  <si>
    <t>en 4 prearmado (pegadas). No registradas en inventario inicial</t>
  </si>
  <si>
    <t>sin en stud</t>
  </si>
  <si>
    <t>Brida loca PVC presion SCH-80 1-1/4"</t>
  </si>
  <si>
    <t>No registradas en inventario inicial</t>
  </si>
  <si>
    <t>Brida ciega PVC presion SCH-80 2-1/2"</t>
  </si>
  <si>
    <t>Sin stud end</t>
  </si>
  <si>
    <t>Buje liso PVC presion SHC-40 1-1/2x1/2"</t>
  </si>
  <si>
    <t>Buje liso PVC presion SHC-40 1-1/2x3/4"</t>
  </si>
  <si>
    <t>Buje liso PVC presion SHC-40 2-1/2x1-1/2"</t>
  </si>
  <si>
    <t>Buje liso PVC presion SHC-40 2x1-1/2"</t>
  </si>
  <si>
    <t>Buje liso PVC presion SHC-40 4x2"</t>
  </si>
  <si>
    <t>Buje liso PVC presion SHC-40 4x2-1/2"</t>
  </si>
  <si>
    <t>Buje liso PVC presion SHC-40 4x3"</t>
  </si>
  <si>
    <t>Buje liso PVC presion SCH-40 3/4x1/2</t>
  </si>
  <si>
    <t>Buje liso PVC presion SCH-40 1x3/4"</t>
  </si>
  <si>
    <t>Buje liso PVC presion SCH-40 3x2"</t>
  </si>
  <si>
    <t>Buje liso PVC presion SCH-80 11/4"x1"</t>
  </si>
  <si>
    <t>Buje roscado PVC presion SCH-40 2/1x3/8"</t>
  </si>
  <si>
    <t>No registrado en inventario inicial</t>
  </si>
  <si>
    <t>Buje roscado PVC presion SCH-40 3/4x1/2"</t>
  </si>
  <si>
    <t>Buje roscado PVC presion SCH-40 4x2"</t>
  </si>
  <si>
    <t>Codo 45° PVC presion SCH-40 1/2"</t>
  </si>
  <si>
    <t>No registrados en inventario inicial</t>
  </si>
  <si>
    <t>Cristian debe buscar dos que embolató</t>
  </si>
  <si>
    <t>Codo 45° PVC sanitario  1-1/2" radio corto</t>
  </si>
  <si>
    <t>Codo 45° PVC sanitario  1-1/2" radio largo</t>
  </si>
  <si>
    <t>Codo 45° PVC sanitario  4" CxC</t>
  </si>
  <si>
    <t>Codo 45° PVC sanitario  4" CxE</t>
  </si>
  <si>
    <t>Codo 45° PVC sanitario soldar 3" CxC</t>
  </si>
  <si>
    <t>Codo 90"PVC sanitario soldar 4" reventidalo 2"</t>
  </si>
  <si>
    <t>Codo 90° PVC presion SCH-40  1-1/2"</t>
  </si>
  <si>
    <t>Codo 90° PVC presion SCH-40 2"</t>
  </si>
  <si>
    <t>Codo 90° PVC sanitario  1-1/2" CxC</t>
  </si>
  <si>
    <t>Codo 90° PVC sanitario  2" CxC</t>
  </si>
  <si>
    <t>Codo 90° PVC sanitario  6" CxC</t>
  </si>
  <si>
    <t>collarin PVC presion 3x1" Charlot</t>
  </si>
  <si>
    <t>collarin PVC presion 3x1/2" Pavco</t>
  </si>
  <si>
    <t xml:space="preserve">collarin PVC presion SCH 80 2x1/2" </t>
  </si>
  <si>
    <t xml:space="preserve">collarin PVC presion SCH 80 2x1" </t>
  </si>
  <si>
    <t>Jaco PVC presion 1/2"x1/2</t>
  </si>
  <si>
    <t>caja 18</t>
  </si>
  <si>
    <t>Pasatanques PVC presion 1"</t>
  </si>
  <si>
    <t>No registrados en el inventario inicial</t>
  </si>
  <si>
    <t>Pasatanques PVC presion 1/2"</t>
  </si>
  <si>
    <t>buje liso PVC sanitario  2x1-1/2"</t>
  </si>
  <si>
    <t>Tapon roscado PVC presion SCH-40 1/2" hembra</t>
  </si>
  <si>
    <t>Tapon roscado PVC presion SCH-40 2" hembra</t>
  </si>
  <si>
    <t>Tapon roscado PVC presion SCH-40 2-1/2" hembra</t>
  </si>
  <si>
    <t>Tapon roscado PVC presion SCH-40 1" hembra</t>
  </si>
  <si>
    <t>No registrado en inventario iicial</t>
  </si>
  <si>
    <t>TEE PVC presion SCH-40 2"</t>
  </si>
  <si>
    <t>No registradas en inventaro inicial</t>
  </si>
  <si>
    <t xml:space="preserve">TEE PVC presion SCH-40 6" </t>
  </si>
  <si>
    <t>lisas</t>
  </si>
  <si>
    <t>TEE PVC presion SCH-40 6" CxC</t>
  </si>
  <si>
    <t>TEE PVC sanitario  1-1/2" CxC</t>
  </si>
  <si>
    <t>TEE PVC sanitario  2" CxC</t>
  </si>
  <si>
    <t>TEE PVC sanitario  6" CxC</t>
  </si>
  <si>
    <t>TEE PVC sanitario soldar 3" CxC</t>
  </si>
  <si>
    <t>No registrada en inventario inicial</t>
  </si>
  <si>
    <t>TEE PVC sanitario soldar 4" CxC</t>
  </si>
  <si>
    <t>Union lisa PVC presion SCH-40 1"</t>
  </si>
  <si>
    <t>Contadas como hembras (Borrar)</t>
  </si>
  <si>
    <t>Union PVC presion soldar 3"</t>
  </si>
  <si>
    <t>Cheque PVC doble universal presion SCH-40 1"</t>
  </si>
  <si>
    <t>Jaco PVC presion 1/4"x5/16</t>
  </si>
  <si>
    <t>Jaco PVC presion 5/16"x5/16</t>
  </si>
  <si>
    <t>ELEMENTO</t>
  </si>
  <si>
    <t>MATERIAL</t>
  </si>
  <si>
    <t>CANTIDAD</t>
  </si>
  <si>
    <t>UNIDAD</t>
  </si>
  <si>
    <t>INVENTARIO</t>
  </si>
  <si>
    <t>COMENTARIOS</t>
  </si>
  <si>
    <t>Abrazadera industrial Inox 304 27-29 mm (1")</t>
  </si>
  <si>
    <t>UND</t>
  </si>
  <si>
    <t>OC-03616</t>
  </si>
  <si>
    <t>Abrazadera industrial Inox 304 27-30 mm (1")</t>
  </si>
  <si>
    <t>Abrazadera industrial Inox 304 31-34 mm (1-1/4")</t>
  </si>
  <si>
    <t>OC-02583</t>
  </si>
  <si>
    <t>Abrazadera industrial Inox 304 36-39 mm (1-1/2")</t>
  </si>
  <si>
    <t>OC-02088</t>
  </si>
  <si>
    <t>Abrazadera industrial Inox 304 38-41 mm (1-1/2")</t>
  </si>
  <si>
    <t>Abrazadera industrial Inox 304 60-63 mm (2")</t>
  </si>
  <si>
    <t>OC-03212</t>
  </si>
  <si>
    <t>Abrazadera sin fin Inox 304 11-20 mm (1/2")</t>
  </si>
  <si>
    <t>OC-01188</t>
  </si>
  <si>
    <t>Abrazadera sin fin Inox 304 16-32 mm (3/4")</t>
  </si>
  <si>
    <t>OC-02431</t>
  </si>
  <si>
    <t>Abrazadera sin fin Inox 304 17-38 mm  (1")</t>
  </si>
  <si>
    <t>Abrazadera sin fin Inox 304 18-38 mm (3/4")</t>
  </si>
  <si>
    <t>Abrazadera sin fin Inox 304 19-44 mm (3/4")</t>
  </si>
  <si>
    <t>Abrazadera sin fin Inox 304 21-38 mm (1")</t>
  </si>
  <si>
    <t>OC-02698</t>
  </si>
  <si>
    <t>Abrazadera sin fin Inox 304 25-38 mm (1")</t>
  </si>
  <si>
    <t>Abrazadera sin fin Inox 304 29-51 mm (1-1/2")</t>
  </si>
  <si>
    <t>Abrazadera sin fin Inox 304 32-50 mm (1-1/2")</t>
  </si>
  <si>
    <t>Abrazadera sin fin Inox 304 40-64 mm (2")</t>
  </si>
  <si>
    <t>OC-02711</t>
  </si>
  <si>
    <t>Abrazadera sin fin Inox 304 64-76 mm (2")</t>
  </si>
  <si>
    <t>Abrazadera sin fin Inox 304 91-114 mm (3-1/2")</t>
  </si>
  <si>
    <t>OC-02391</t>
  </si>
  <si>
    <t>Acople Manguera inox 304 1" 150 PSI</t>
  </si>
  <si>
    <t>150 PSI</t>
  </si>
  <si>
    <t>Cot 901395622 (Tecnifluidos)</t>
  </si>
  <si>
    <t>Acople Manguera inox 304 1/2" 150 PSI</t>
  </si>
  <si>
    <t>OC-03050</t>
  </si>
  <si>
    <t>Acople OPW Parte A Inox 316 1"</t>
  </si>
  <si>
    <t>OC-02642</t>
  </si>
  <si>
    <t>Acople OPW Parte A Inox 316 2"</t>
  </si>
  <si>
    <t>OC-02599</t>
  </si>
  <si>
    <t>Acople OPW Parte A Inox 316 3"</t>
  </si>
  <si>
    <t>OC-02932</t>
  </si>
  <si>
    <t>Acople OPW Parte A PP 1"</t>
  </si>
  <si>
    <t>PP</t>
  </si>
  <si>
    <t>PN 25</t>
  </si>
  <si>
    <t>OC-01214</t>
  </si>
  <si>
    <t>Acople OPW Parte A PP 1/2"</t>
  </si>
  <si>
    <t>OC-02955</t>
  </si>
  <si>
    <t>Acople OPW Parte A PP 1-1/2"</t>
  </si>
  <si>
    <t>Acople OPW Parte C Inox 316 1"</t>
  </si>
  <si>
    <t>OC-02584</t>
  </si>
  <si>
    <t>Acople OPW Parte C Inox 316 2-1/2"</t>
  </si>
  <si>
    <t>Acople OPW Parte C PP 1"</t>
  </si>
  <si>
    <t>OC-01526</t>
  </si>
  <si>
    <t>Acople OPW Parte C PP 1-1/2"</t>
  </si>
  <si>
    <t>OC-03351</t>
  </si>
  <si>
    <t>Acople OPW Parte C PP 1-1/4"</t>
  </si>
  <si>
    <t>Acople OPW Parte C PP 3/4"</t>
  </si>
  <si>
    <t>OC-02564</t>
  </si>
  <si>
    <t>Acople OPW Parte D Inox 316 3"</t>
  </si>
  <si>
    <t>Acople OPW Parte E PP 1"</t>
  </si>
  <si>
    <t>Acople OPW Parte E PP 3"</t>
  </si>
  <si>
    <t>Acople OPW Parte F Inox 316 1/2"</t>
  </si>
  <si>
    <t>Acople OPW Parte F Inox 316 1-1/2"</t>
  </si>
  <si>
    <t>OC-01810</t>
  </si>
  <si>
    <t>Acople OPW Parte F Inox 316 2-1/2"</t>
  </si>
  <si>
    <t>OC-02243</t>
  </si>
  <si>
    <t>Acople OPW Parte F Inox 3/4"</t>
  </si>
  <si>
    <t>Acople OPW Parte F PP 1"</t>
  </si>
  <si>
    <t>OC-02284</t>
  </si>
  <si>
    <t>Acople OPW Parte F PP 1-1/2"</t>
  </si>
  <si>
    <t>Acople OPW Parte F PP 3/4"</t>
  </si>
  <si>
    <t>Adaptador Hembra CPVC SCH 40 (Ultratemp) 1"</t>
  </si>
  <si>
    <t>SCH 40</t>
  </si>
  <si>
    <t>Validando Omar especificaciones</t>
  </si>
  <si>
    <t>Adaptador Hembra CPVC SCH 40  (Ultratemp) 1" CIM (Con Inserto Metalico)</t>
  </si>
  <si>
    <t>OC-00590</t>
  </si>
  <si>
    <t>Adaptador Hembra PP Azul 20mm (1/2") CIM (Con Inserto Metalico)</t>
  </si>
  <si>
    <t>OC-03485</t>
  </si>
  <si>
    <t>Adaptador Hembra PP Azul 20mm (1/2") SIM (Sin Inserto Metalico)</t>
  </si>
  <si>
    <t xml:space="preserve">Adaptador Hembra PP Azul 32mm (1") CIM (Con Inserto Metalico) </t>
  </si>
  <si>
    <t>OC-03371</t>
  </si>
  <si>
    <t>Adaptador Hembra PP Verde 20mm (1/2") CIM (Con Inserto Metalico)</t>
  </si>
  <si>
    <t>por informacion de tecnifluidos es valor es el mismo del azul</t>
  </si>
  <si>
    <t>Adaptador Hembra PP Verde 32mm (1" ) CIM (Con Inserto Metalico)</t>
  </si>
  <si>
    <t>Adaptador Hembra PVC Presion SCH 40 1"</t>
  </si>
  <si>
    <t>TOPACO</t>
  </si>
  <si>
    <t>Adaptador Hembra PVC Presion SCH 40 1/2"</t>
  </si>
  <si>
    <t>OC-03350</t>
  </si>
  <si>
    <t>Adaptador Hembra PVC Presion SCH 40 1-1/2"</t>
  </si>
  <si>
    <t>OC-02854</t>
  </si>
  <si>
    <t>Adaptador Hembra PVC Presion SCH 40 1-1/4"</t>
  </si>
  <si>
    <t>Adaptador Hembra PVC Presion SCH 40 2"</t>
  </si>
  <si>
    <t>Adaptador Hembra PVC Presion SCH 40 2-1/2"</t>
  </si>
  <si>
    <t>OC-02954</t>
  </si>
  <si>
    <t>Adaptador Hembra PVC Presion SCH 40 3"</t>
  </si>
  <si>
    <t>OC-03270</t>
  </si>
  <si>
    <t>Adaptador Hembra PVC Presion SCH 40 3/4"</t>
  </si>
  <si>
    <t>Adaptador Hembra PVC Presion SCH 40 4"</t>
  </si>
  <si>
    <t>Adaptador Hembra PVC Presion SCH 80 3/4"</t>
  </si>
  <si>
    <t>SCH 80</t>
  </si>
  <si>
    <t>Adaptador Macho CPVC SCH 40  (Ultratemp) 1"</t>
  </si>
  <si>
    <t>Adaptador Macho CPVC SCH 40 (Ultratemp) 2"</t>
  </si>
  <si>
    <t>OC-00782</t>
  </si>
  <si>
    <t>Adaptador Macho PP Azul 20mm (1/2") CIM (Con Inserto Metalico)</t>
  </si>
  <si>
    <t>Adaptador Macho PP Azul 32mm (1") CIM (Con Inserto Metalico)</t>
  </si>
  <si>
    <t>Adaptador Macho PP Azul 32mm (1") SIM (Sin Inserto Metalico)</t>
  </si>
  <si>
    <t>Adaptador Macho PP Azul 50mm (1-1/2") CIM (Con Inserto Metalico)</t>
  </si>
  <si>
    <t>Adaptador Macho PP Azul 50mm (1-1/2") SIM (Sin Inserto Metalico)</t>
  </si>
  <si>
    <t>Adaptador Macho PP Verde 20mm (1/2") CIM (Con Inserto Metalico)</t>
  </si>
  <si>
    <t>Adaptador Macho PP Verde 32mm (1") CIM (Con Inserto Metalico)</t>
  </si>
  <si>
    <t>Adaptador Macho PVC Presion SCH 40 1"</t>
  </si>
  <si>
    <t>Adaptador Macho PVC Presion SCH 40 1/2"</t>
  </si>
  <si>
    <t>Adaptador Macho PVC Presion SCH 40 1-1/2"</t>
  </si>
  <si>
    <t>Adaptador Macho PVC Presion SCH 40 1-1/4"</t>
  </si>
  <si>
    <t>Adaptador Macho PVC Presion SCH 40 2"</t>
  </si>
  <si>
    <t>Adaptador Macho PVC Presion SCH 40 2-1/2"</t>
  </si>
  <si>
    <t>Adaptador Macho PVC Presion SCH 40 3"</t>
  </si>
  <si>
    <t>Adaptador Macho PVC Presion SCH 40 3/4"</t>
  </si>
  <si>
    <t>Adaptador Macho PVC Presion SCH 40 4"</t>
  </si>
  <si>
    <t>Adaptador Macho PVC Presion SCH 80 1-1/2"</t>
  </si>
  <si>
    <t>OC-01386</t>
  </si>
  <si>
    <t>Adaptador Macho PVC Presion SCH 80 1-1/4"</t>
  </si>
  <si>
    <t>OC-02338</t>
  </si>
  <si>
    <t>Adaptador Macho PVC Presion SCH 80 2-1/2"</t>
  </si>
  <si>
    <t>Adaptador Rosca Hembra PF+UAD 1/2"</t>
  </si>
  <si>
    <t>Adaptador Rosca Macho PF+UAD 1/2"</t>
  </si>
  <si>
    <t>Arandela Plana Galvanizado Frio 3/8"</t>
  </si>
  <si>
    <t>Galvanizado en frio</t>
  </si>
  <si>
    <t>OC-02742</t>
  </si>
  <si>
    <t>RecuperACión</t>
  </si>
  <si>
    <t>Arandela Plana Galvanizado en caliente  1-1/8"</t>
  </si>
  <si>
    <t>Galvanizado en caliente</t>
  </si>
  <si>
    <t>Cotización Mundial tornillos BW 40182</t>
  </si>
  <si>
    <t>Stud end.</t>
  </si>
  <si>
    <t>Arandela Plana Galvanizado en caliente 1"</t>
  </si>
  <si>
    <t>OC-03022</t>
  </si>
  <si>
    <t>Arandela Plana Galvanizado en caliente 1/2"</t>
  </si>
  <si>
    <t>OC-02841</t>
  </si>
  <si>
    <t>Arandela Plana Galvanizado en caliente 3/4"</t>
  </si>
  <si>
    <t>OC-03486</t>
  </si>
  <si>
    <t>Arandela Plana Galvanizado en caliente 5/8"</t>
  </si>
  <si>
    <t>7/05/2026
11/05/2026</t>
  </si>
  <si>
    <t>OC-03354</t>
  </si>
  <si>
    <t>Arandela Plana Galvanizado en caliente 7/8"</t>
  </si>
  <si>
    <t>Arandela Plana Galvanizado Frio 3/4"</t>
  </si>
  <si>
    <t>OC-03211</t>
  </si>
  <si>
    <t>Arandela Plana Inox 304 1-1/4"</t>
  </si>
  <si>
    <t>Arandela Plana Inox 304 1"</t>
  </si>
  <si>
    <t>Arandela Plana Inox 304 1/2"</t>
  </si>
  <si>
    <t>Arandela Plana Inox 304 1/4"</t>
  </si>
  <si>
    <t>Arandela Plana Inox 304 3/4"</t>
  </si>
  <si>
    <t>Arandela Plana Inox 304 5/8"</t>
  </si>
  <si>
    <t>Arandela Plana Inox 304 7/8"</t>
  </si>
  <si>
    <t>Banda Soporte Para Tubo Flojo 1" BSFAG100</t>
  </si>
  <si>
    <t>Galvanizado en caliente AG</t>
  </si>
  <si>
    <t>EQUIELECT</t>
  </si>
  <si>
    <t>Banda Soporte Para Tubo Flojo 1/2" BSFAG012</t>
  </si>
  <si>
    <t>Banda Soporte Para Tubo Flojo 1-1/2" BSFAG112</t>
  </si>
  <si>
    <t>OC-00785</t>
  </si>
  <si>
    <t>Banda Soporte Para Tubo Flojo 2" BSFAG200</t>
  </si>
  <si>
    <t>PO00187</t>
  </si>
  <si>
    <t>Banda Soporte Para Tubo Flojo 3" BSFAG300</t>
  </si>
  <si>
    <t>Banda Soporte Para Tubo Flojo 3/4" BSFAG034</t>
  </si>
  <si>
    <t>Banda Soporte Para Tubo Flojo 4" BSFAG400</t>
  </si>
  <si>
    <t>Banda Soporte Para Tubo Flojo 6" BSFAG600</t>
  </si>
  <si>
    <t>Base Alta Para Perfil Doble Ref. BAPDAG45</t>
  </si>
  <si>
    <t>OC-02946</t>
  </si>
  <si>
    <t>Base Alta Para Perfil Sencillo Ref. BAPADAG45</t>
  </si>
  <si>
    <t>Equielect 01/06/2026</t>
  </si>
  <si>
    <t>Base Cuadrada Alta Para Perfil Sencillo Ref. BAPADAG90</t>
  </si>
  <si>
    <t>Se pone el mismo precio de la BAPADAG45 porque no se tiene en OC y Equielect no la maneja</t>
  </si>
  <si>
    <t>Brida Ciega AC 4" Clase 150</t>
  </si>
  <si>
    <t>OC-02204</t>
  </si>
  <si>
    <t>Brida Ciega Inox 304 6" Clase 150</t>
  </si>
  <si>
    <t>OC-02672</t>
  </si>
  <si>
    <t>Brida Ciega PVC Presion SCH 80 2-1/2"</t>
  </si>
  <si>
    <t>Brida Ciega PVC Presion SCH 80 3"</t>
  </si>
  <si>
    <t>Brida Ciega PVC Presion SCH 80 4"</t>
  </si>
  <si>
    <t>Brida Lisa AC 1-1/2" Clase 150</t>
  </si>
  <si>
    <t>OC-02933</t>
  </si>
  <si>
    <t>Brida Lisa AC 4" Clase 150</t>
  </si>
  <si>
    <t>Cot 726916 Tuvalrep</t>
  </si>
  <si>
    <t>Brida Lisa SO Inox 304 1-1/2" Clase 150</t>
  </si>
  <si>
    <t>OC-02838</t>
  </si>
  <si>
    <t>Brida Lisa SO Inox 304 1-1/4" Clase 150</t>
  </si>
  <si>
    <t>OC-01143</t>
  </si>
  <si>
    <t>Brida Lisa SO Inox 304 3" Clase 150</t>
  </si>
  <si>
    <t>Brida Lisa SO Inox 304 4" Clase 150</t>
  </si>
  <si>
    <t>OC-02839</t>
  </si>
  <si>
    <t>Brida Lisa SO Inox 304 6" Clase 150</t>
  </si>
  <si>
    <t>Brida Lisa SO Inox 304 L 1" Clase 150</t>
  </si>
  <si>
    <t>Brida Lisa SO Inox 304 L 2" Clase 150</t>
  </si>
  <si>
    <t>Brida Lisa SO Inox 304 L 2-1/2" Clase 150</t>
  </si>
  <si>
    <t>Brida Loca PPVC Presion SCH 40 3"</t>
  </si>
  <si>
    <t>Brida Loca PVC Presion SCH 40 1"</t>
  </si>
  <si>
    <t>Brida Loca PVC Presion SCH 40 1-1/2"</t>
  </si>
  <si>
    <t>Brida Loca PVC Presion SCH 40 2"</t>
  </si>
  <si>
    <t>Brida Loca PVC Presion SCH 40 2-1/2"</t>
  </si>
  <si>
    <t>OC-01783</t>
  </si>
  <si>
    <t>Brida Loca PVC Presion SCH 40 4"</t>
  </si>
  <si>
    <t>Brida Loca PVC Presion SCH 40 6"</t>
  </si>
  <si>
    <t>OC-02844</t>
  </si>
  <si>
    <t>Brida Loca PVC Presion SCH 40 8"</t>
  </si>
  <si>
    <t>Brida Loca PVC Presion SCH 80 1-1/2"</t>
  </si>
  <si>
    <t>Brida Loca PVC Presion SCH 80 1-1/4"</t>
  </si>
  <si>
    <t>Brida Loca PVC Presion SCH 80 2"</t>
  </si>
  <si>
    <t>OC-00534</t>
  </si>
  <si>
    <t>Brida Loca PVC Presion SCH 80 2-1/2"</t>
  </si>
  <si>
    <t>Brida Loca PVC Presion SCH 80 3"</t>
  </si>
  <si>
    <t>OC-03488</t>
  </si>
  <si>
    <t>Brida Loca PVC Presion SCH 80 4"</t>
  </si>
  <si>
    <t>OC-00248</t>
  </si>
  <si>
    <t>Brida Loca PVC Presion SCH 80 6"</t>
  </si>
  <si>
    <t>Brida Roscada AC 1" Clase 150</t>
  </si>
  <si>
    <t>OC-03432</t>
  </si>
  <si>
    <t>Brida Roscada AC 1-1/2" Clase 150</t>
  </si>
  <si>
    <t>Brida Roscada AC 1-1/4" Clase 150</t>
  </si>
  <si>
    <t>Brida Roscada AC 2" Clase 150</t>
  </si>
  <si>
    <t>OC-03283</t>
  </si>
  <si>
    <t>Brida Roscada AC 4" Clase 150</t>
  </si>
  <si>
    <t>Brida Roscada Inox 304 1-1/2" Clase 150</t>
  </si>
  <si>
    <t>Brida Roscada Inox 304 2" Clase 150</t>
  </si>
  <si>
    <t>OC-01402</t>
  </si>
  <si>
    <t>Buje Roscar Galvanizado SCH 40 1-1/2x1"</t>
  </si>
  <si>
    <t>Galvanizado o Zincado</t>
  </si>
  <si>
    <t>Buje Liso CPVC SCH 40 (Ultratemp)1 1/2x1/2"</t>
  </si>
  <si>
    <t>Buje Liso CPVC SCH 40 (Ultratemp)1-1/4x1"</t>
  </si>
  <si>
    <t>LISTADO 2026 CON UN 50% DE DESCUENTO PARA EFECTOS DE VALORIZACIÓN</t>
  </si>
  <si>
    <t>Buje Liso CPVC SCH 40 (Ultratemp)1-1/4x1/2"</t>
  </si>
  <si>
    <t>OC-00394</t>
  </si>
  <si>
    <t>Buje Liso CPVC SCH 40 (Ultratemp)1x1/2"</t>
  </si>
  <si>
    <t>OC-00604</t>
  </si>
  <si>
    <t>Buje Liso CPVC SCH 40 (Ultratemp)2x1-1/2"</t>
  </si>
  <si>
    <t>OC-1018</t>
  </si>
  <si>
    <t>Buje Liso PVC Presion SCH 40 1-1/2x1"</t>
  </si>
  <si>
    <t>OC-03476</t>
  </si>
  <si>
    <t>Buje Liso PVC Presion SCH 40 1-1/2x1-1/4"</t>
  </si>
  <si>
    <t>Buje Liso PVC Presion SCH 40 1-1/4x1"</t>
  </si>
  <si>
    <t>OC-02606</t>
  </si>
  <si>
    <t>Buje Liso PVC Presion SCH 40 1-1/4x1/2"</t>
  </si>
  <si>
    <t>Buje Liso PVC Presion SCH 40 1-1/4x3/4"</t>
  </si>
  <si>
    <t>Buje Liso PVC Presion SCH 40 1x3/4"</t>
  </si>
  <si>
    <t>Buje Liso PVC Presion SCH 40 2-1/2x2</t>
  </si>
  <si>
    <t>OC-02714</t>
  </si>
  <si>
    <t>Buje Liso PVC Presion SCH 40 2x1"</t>
  </si>
  <si>
    <t>OC-03473</t>
  </si>
  <si>
    <t>Buje Liso PVC Presion SCH 40 2x1/2"</t>
  </si>
  <si>
    <t>OC-02805</t>
  </si>
  <si>
    <t>Buje Liso PVC Presion SCH 40 2x3/4"</t>
  </si>
  <si>
    <t>Buje Liso PVC Presion SCH 40 3/4x1/2</t>
  </si>
  <si>
    <t>Buje Liso PVC Presion SCH 40 3/4x1/8"</t>
  </si>
  <si>
    <t>Buje Liso PVC Presion SCH 40 3x2"</t>
  </si>
  <si>
    <t>OC-03418</t>
  </si>
  <si>
    <t>Buje Liso PVC Presion SCH 40 6x3"</t>
  </si>
  <si>
    <t>Buje Liso PVC Presion SCH 40 6x4"</t>
  </si>
  <si>
    <t>Buje Liso PVC Presion SCH 80 1-1/2x1"</t>
  </si>
  <si>
    <t>OC-01421</t>
  </si>
  <si>
    <t>Buje Liso PVC Presion SCH 80 1-1/2x1/2"</t>
  </si>
  <si>
    <t>Buje Liso PVC Presion SCH 80 1-1/4x1"</t>
  </si>
  <si>
    <t>Buje Liso PVC Presion SCH 40 1-1/2x1/2"</t>
  </si>
  <si>
    <t>Buje Liso PVC Presion SCH 40 1-1/2x3/4"</t>
  </si>
  <si>
    <t>OC-03416</t>
  </si>
  <si>
    <t>Buje Liso PVC Presion SCH 40 2-1/2x1-1/2"</t>
  </si>
  <si>
    <t>Buje Liso PVC Presion SCH 40 2x1-1/2"</t>
  </si>
  <si>
    <t>OC-03551</t>
  </si>
  <si>
    <t>Buje Liso PVC Presion SCH 40 2x1-1/4"</t>
  </si>
  <si>
    <t>Buje Liso PVC Presion SCH 40 4x2"</t>
  </si>
  <si>
    <t>OC-03388</t>
  </si>
  <si>
    <t>Buje Liso PVC Presion SCH 40 4x2-1/2"</t>
  </si>
  <si>
    <t>Buje Liso PVC Presion SCH 40 4x3"</t>
  </si>
  <si>
    <t>Buje Liso PVC Sanitario 4x2"</t>
  </si>
  <si>
    <t>Sanitario</t>
  </si>
  <si>
    <t>Buje Liso PVC Sanitario 4x3"</t>
  </si>
  <si>
    <t>Buje Liso PVC Sanitario 6x4"</t>
  </si>
  <si>
    <t>Buje PP Azul 32x20</t>
  </si>
  <si>
    <t>OC-02219</t>
  </si>
  <si>
    <t>Buje Roscado bronce 2x1/2"</t>
  </si>
  <si>
    <t>Buje Roscado PVC Presion  SCH 40 1-1/2x1"</t>
  </si>
  <si>
    <t>Buje Roscado PVC Presion  SCH 40 1-1/2x1/2"</t>
  </si>
  <si>
    <t>Buje Roscado PVC Presion  SCH 40 1-1/2x3/4"</t>
  </si>
  <si>
    <t>Buje Roscado PVC Presion  SCH 40 1-1/4x1/2"</t>
  </si>
  <si>
    <t>Buje Roscado PVC Presion  SCH 40 1-1/4x3/4"</t>
  </si>
  <si>
    <t>Buje Roscado PVC Presion  SCH 40 1x1/2"</t>
  </si>
  <si>
    <t>Buje Roscado PVC Presion  SCH 40 1x3/4"</t>
  </si>
  <si>
    <t>OC-03266</t>
  </si>
  <si>
    <t>Buje Roscado PVC Presion  SCH 40 2x1"</t>
  </si>
  <si>
    <t>Buje Roscado PVC Presion  SCH 40 2x1/2"</t>
  </si>
  <si>
    <t>OC-02865</t>
  </si>
  <si>
    <t>Buje Roscado PVC Presion  SCH 40 2x1-1/2"</t>
  </si>
  <si>
    <t>Buje Roscado PVC Presion  SCH 40 2x3/4"</t>
  </si>
  <si>
    <t>Buje Roscado PVC Presion  SCH 80 1x1/2"</t>
  </si>
  <si>
    <t>Buje Roscado PVC Presion  SCH 80 2x1"</t>
  </si>
  <si>
    <t>Buje Roscado PVC Presion SCH 40 1/2x3/8"</t>
  </si>
  <si>
    <t>Buje Roscado PVC Presion SCH 40 3/4x1/2"</t>
  </si>
  <si>
    <t>Buje Roscado PVC Presion SCH 40 4x2"</t>
  </si>
  <si>
    <t>OC-02861</t>
  </si>
  <si>
    <t>Canillas bronce 1/2" Grival</t>
  </si>
  <si>
    <t>OC-00813</t>
  </si>
  <si>
    <t>Canillas Galvanizada 1/2" Double-Lin</t>
  </si>
  <si>
    <t>OC-00913</t>
  </si>
  <si>
    <t>PARA EFECTOS DE VALORIZACIÓN SE PONE UNA CANILLA GRIVAL</t>
  </si>
  <si>
    <t>Chazo Expansion Galvanizado Frio 3/8x4"</t>
  </si>
  <si>
    <t>Chazo Expansion Galvanizado Frio 1/2x2"</t>
  </si>
  <si>
    <t>Chazo Expansion Galvanizado Frio 1/2x4"</t>
  </si>
  <si>
    <t>Chazo Expansion Galvanizado Frio 1/2x3"</t>
  </si>
  <si>
    <t>Chazo Expansion Galvanizado Frio 3/8x2 -1/2"</t>
  </si>
  <si>
    <t>Chazo Expansion Galvanizado Frio 3/8x2"</t>
  </si>
  <si>
    <t>Chazo Expansion Galvanizado Frio 5/16x3"</t>
  </si>
  <si>
    <t>Chazo Expansion Galvanizado Frio 5/8x4"</t>
  </si>
  <si>
    <t>Chazo Expansion Inox 304 3/4x3"</t>
  </si>
  <si>
    <t>Chazo Tipo Cuña Galvanizado Frio 1/2x2"</t>
  </si>
  <si>
    <t>Chazo Tipo Cuña Galvanizado Frio 1/2x2-1/2"</t>
  </si>
  <si>
    <t>Chazo Tipo Cuña Galvanizado Frio 1/2x3"</t>
  </si>
  <si>
    <t>Chazo Tipo Cuña Galvanizado Frio 1/2x4"</t>
  </si>
  <si>
    <t>Chazo Tipo Cuña Galvanizado Frio 1/2x5"</t>
  </si>
  <si>
    <t>Chazo RL Galvanizado Frio 1/2x2"</t>
  </si>
  <si>
    <t>Cheque Bola bronce 1-1/2" Helbert</t>
  </si>
  <si>
    <t>Cheque Clapeta Inox 304 4" Rite 150 L</t>
  </si>
  <si>
    <t>150 L</t>
  </si>
  <si>
    <t>OC-02842</t>
  </si>
  <si>
    <t>Cheque tipo wafer Inox 316 2-1/2" (Sin Marca)</t>
  </si>
  <si>
    <t>OC-00649</t>
  </si>
  <si>
    <t>Cheque clapeta (Cortina) bronce 1-1/4" Toyo-RW</t>
  </si>
  <si>
    <t>OC-00497</t>
  </si>
  <si>
    <t>SE PONE VALOR DE CHEQUE DE 1-1/2 RW PARA EFECTOS DE VALORIZACIÓN</t>
  </si>
  <si>
    <t>Cheque clapeta (Cortina) bronce 1-1/4" Jenkins</t>
  </si>
  <si>
    <t>OC-03677</t>
  </si>
  <si>
    <t xml:space="preserve">Cheque liso PVC doble universal presion SCH 80 1-1/2" </t>
  </si>
  <si>
    <t xml:space="preserve">Cheque liso PVC doble universal presion SCH 40 1" </t>
  </si>
  <si>
    <t>Cheque liso PVC doble universal presion SCH 40 1" (Transparente) Spears</t>
  </si>
  <si>
    <t>Se pone ese valor para efectos de valorización</t>
  </si>
  <si>
    <t xml:space="preserve">Cheque liso PVC doble universal presion SCH 40 1-1/2" </t>
  </si>
  <si>
    <t>Cheque liso PVC doble universal presion SCH 40 3/4"Tecnoplastic</t>
  </si>
  <si>
    <t>PO00104</t>
  </si>
  <si>
    <t>Cheque Liso PVC Resorte Presion SCH 40 1"</t>
  </si>
  <si>
    <t>Filtro Y bronce 1" Grival</t>
  </si>
  <si>
    <t>SE PONE VALOR DE FILTRO ITAP PARA EFECTOS DE VALORIZACIÓN</t>
  </si>
  <si>
    <t>Filtro Y bronce 1-1/2" Double-Lin</t>
  </si>
  <si>
    <t>Cheque Clapeta (Cortina) bronce 1" Double-Lin</t>
  </si>
  <si>
    <t>OC-01847</t>
  </si>
  <si>
    <t>Cheque Vertical roscado bronce 3/4" Europa</t>
  </si>
  <si>
    <t>Codo  45° PVC Presion SCH 40 3"</t>
  </si>
  <si>
    <t>Codo  90°  Inox 304 SCH 10 Soldar 1"</t>
  </si>
  <si>
    <t>SCH 10</t>
  </si>
  <si>
    <t>OC-03676</t>
  </si>
  <si>
    <t>Codo  90° PVC Presion SCH 40 2-1/2"</t>
  </si>
  <si>
    <t>Codo  90° PVC Presion SCH 40 3"</t>
  </si>
  <si>
    <t>Codo 45° CPVC SCH 40 (Ultratemp) 1/2"</t>
  </si>
  <si>
    <t>OC-00684</t>
  </si>
  <si>
    <t>Codo 45° Inox 304  SCH 10 Soldar 4"</t>
  </si>
  <si>
    <t>Codo 45° Inox 304 L SCH 10 Soldar 1-1/2"</t>
  </si>
  <si>
    <t>Codo 45° Inox 304 SCH 10  Soldar 1-1/2"</t>
  </si>
  <si>
    <t>OC-02312</t>
  </si>
  <si>
    <t>Codo 45° Inox 304 SCH 10  Soldar 8"</t>
  </si>
  <si>
    <t>OC-00631</t>
  </si>
  <si>
    <t>Codo 45° Inox 304 SCH 10 Soldar 2"</t>
  </si>
  <si>
    <t>Codo 45° Inox 304 SCH 10 Soldar 6"</t>
  </si>
  <si>
    <t>OC-03493</t>
  </si>
  <si>
    <t>Codo 45° Inox 304 SCH 40 Roscar 1-1/2"</t>
  </si>
  <si>
    <t>OC-01363</t>
  </si>
  <si>
    <t>Codo 45° Inox 304 SCH 10  Soldar 1"</t>
  </si>
  <si>
    <t>Codo 45° PP Azul 20x20 (1/2")</t>
  </si>
  <si>
    <t>OC-00382</t>
  </si>
  <si>
    <t>Codo 45° PP Verde 20x20 (1/2")</t>
  </si>
  <si>
    <t>Codo 45° PVC Presion SCH 40  3/4"</t>
  </si>
  <si>
    <t>Codo 45° PVC Presion SCH 40 1"</t>
  </si>
  <si>
    <t>Codo 45° PVC Presion SCH 40 1/2"</t>
  </si>
  <si>
    <t>Codo 45° PVC Presion SCH 40 2-1/2"</t>
  </si>
  <si>
    <t>Codo 45° PVC Presion SCH 40 6"</t>
  </si>
  <si>
    <t>OC-02972</t>
  </si>
  <si>
    <t>Codo 45° PVC Presion SCH 80 1"</t>
  </si>
  <si>
    <t>OC-02358</t>
  </si>
  <si>
    <t>Codo 45° PVC Sanitario  1-1/2" Radio Corto</t>
  </si>
  <si>
    <t>Codo 45° PVC Sanitario  1-1/2" Radio Largo</t>
  </si>
  <si>
    <t>Codo 45° PVC Sanitario  3" CxC</t>
  </si>
  <si>
    <t>Codo 45° PVC Sanitario  4" CxC</t>
  </si>
  <si>
    <t>Codo 45° PVC Sanitario  4" CxE</t>
  </si>
  <si>
    <t>Codo 45° PVC Soldar Presion SCH 40  1-1/2"</t>
  </si>
  <si>
    <t>Codo 45° PVC Soldar Presion SCH 40  1-1/4"</t>
  </si>
  <si>
    <t>Codo 45° Roscar Galvanizado SCH 40 1/2"</t>
  </si>
  <si>
    <t>Codo 45° Roscar Galvanizado SCH 40 1-1/2"</t>
  </si>
  <si>
    <t>OC-01207</t>
  </si>
  <si>
    <t>Codo 45° Roscar Galvanizado SCH 40 1-1/4"</t>
  </si>
  <si>
    <t>Codo 45° Roscar Galvanizado SCH 40 2"</t>
  </si>
  <si>
    <t>Codo 45° Roscar Galvanizado SCH 40 3/4"</t>
  </si>
  <si>
    <t>Codo 45° Soldar PVC Presion SCH 40 2"</t>
  </si>
  <si>
    <t>Codo 90° PVC Sanitario Soldar 4" reventidalo 2"</t>
  </si>
  <si>
    <t>Codo 90°  Inox 304 SCH 10 Soldar 1/2"</t>
  </si>
  <si>
    <t>Codo 90° Inox 304 SCH 10 Soldar 1/2" Radio Largo</t>
  </si>
  <si>
    <t>Codo 90°  Inox 304 SCH 40 Roscar 1/2"</t>
  </si>
  <si>
    <t>OC-03542</t>
  </si>
  <si>
    <t>Codo 90° CPVC SCH 40 (Ultratemp) 1"</t>
  </si>
  <si>
    <t>Codo 90° CPVC SCH 40 (Ultratemp) 1-1/4"</t>
  </si>
  <si>
    <t>Codo 90° CPVC SCH 40 (Ultratemp) 2"</t>
  </si>
  <si>
    <t>OC-00783</t>
  </si>
  <si>
    <t>Codo 90° CPVC SCH 40 (Ultratemp)1-1/2"</t>
  </si>
  <si>
    <t>Codo 90° Inox 304 L SCH 10 Soldar 1-1/2"</t>
  </si>
  <si>
    <t>OC-00479</t>
  </si>
  <si>
    <t>Codo 90° Inox 304 L SCH 10 Soldar 2-1/2"</t>
  </si>
  <si>
    <t>Codo 90° Inox 304 L SCH 10 Soldar 3"</t>
  </si>
  <si>
    <t>Codo 90° Inox 304 L SCH 10 Soldar 4"</t>
  </si>
  <si>
    <t>Codo 90° Inox 304 SCH 10 Soldar 1-1/2"</t>
  </si>
  <si>
    <t>Codo 90° Inox 304 SCH 10 Soldar 2"</t>
  </si>
  <si>
    <t>Codo 90° Inox 304 SCH 10 Soldar 2-1/2"</t>
  </si>
  <si>
    <t>OC-03495</t>
  </si>
  <si>
    <t>Codo 90° Inox 304 SCH 10 Soldar 3"</t>
  </si>
  <si>
    <t>Codo 90° Inox 304 SCH 10 Soldar 6"</t>
  </si>
  <si>
    <t>OC-03525</t>
  </si>
  <si>
    <t>Codo 90° Inox 304 SCH 10 soldar 8"</t>
  </si>
  <si>
    <t>Codo 90° Inox 304 SCH 40 Roscar 3/4"</t>
  </si>
  <si>
    <t>OC-01879</t>
  </si>
  <si>
    <t>Codo 90° PP Azul 20x20 (1/2")</t>
  </si>
  <si>
    <t>Codo 90° PP Azul 32x32 (1")</t>
  </si>
  <si>
    <t>Codo 90° PP Azul 50x50 (1-1/2")</t>
  </si>
  <si>
    <t>OC-01725</t>
  </si>
  <si>
    <t>Codo 90° PP Verde 32x32 (1")</t>
  </si>
  <si>
    <t>Codo 90° PVC  Presion SCH 40  1-1/2"</t>
  </si>
  <si>
    <t>Codo 90° PVC Presion SCH 40  3/4"</t>
  </si>
  <si>
    <t>Codo 90° PVC Presion SCH 40 1"</t>
  </si>
  <si>
    <t>Codo 90° PVC Presion SCH 40 2"</t>
  </si>
  <si>
    <t>Codo 90° PVC Presion SCH 40 6"</t>
  </si>
  <si>
    <t>Codo 90° PVC Presion SCH 80  1/2"</t>
  </si>
  <si>
    <t>OC-02085</t>
  </si>
  <si>
    <t>Codo 90° PVC Presion SCH 80  3/4"</t>
  </si>
  <si>
    <t>Codo 90° PVC Sanitario  1-1/2" CxC</t>
  </si>
  <si>
    <t>Codo 90° PVC Sanitario  2" CxC</t>
  </si>
  <si>
    <t>Codo 90° PVC Sanitario  4" CXC</t>
  </si>
  <si>
    <t>Codo 90° PVC Sanitario  6" CxC</t>
  </si>
  <si>
    <t>Codo 90° PVC Sanitario Solda  6" reventilado 2"</t>
  </si>
  <si>
    <t>Codo 90° PVC Soldar  Presion SCH 80  2"</t>
  </si>
  <si>
    <t>OC-02292</t>
  </si>
  <si>
    <t>Codo 90° PVC Soldar Presion SCH 80  1-1/2"</t>
  </si>
  <si>
    <t>OC-01479</t>
  </si>
  <si>
    <t>Codo 90° PVC Soldar Presion SCH 80  1-1/4"</t>
  </si>
  <si>
    <t>Codo 90° Roscar  Galvanizado SCH 40 1-1/4"</t>
  </si>
  <si>
    <t>OC-00331</t>
  </si>
  <si>
    <t>Codo 90° Roscar Galvanizado SCH 40 1"</t>
  </si>
  <si>
    <t>Codo 90° Roscar Galvanizado SCH 40 1/2"</t>
  </si>
  <si>
    <t>Codo 90° Roscar Galvanizado SCH 40 1-1/2"</t>
  </si>
  <si>
    <t>Codo 90° Roscar Galvanizado SCH 40 2"</t>
  </si>
  <si>
    <t>Codo 90° Roscar Galvanizado SCH 40 3/4"</t>
  </si>
  <si>
    <t>Codo 90° Soldar AC SCH 40  1"</t>
  </si>
  <si>
    <t>OC-02187</t>
  </si>
  <si>
    <t>Codo 90° Soldar AC SCH 40  1/2"</t>
  </si>
  <si>
    <t>Codo 90° Soldar AC SCH 40  4"</t>
  </si>
  <si>
    <t>Codo 90° Soldar PVC Presion SCH 40  1-1/4"</t>
  </si>
  <si>
    <t>Codo 90° Soldar PVC Presion SCH 40 4"</t>
  </si>
  <si>
    <t>Codo 90° Roscar  Galvanizado SCH 40 2-1/2"</t>
  </si>
  <si>
    <t>OC-02071</t>
  </si>
  <si>
    <t>Codo 90° Soldar PVC Presion SCH 80 4"</t>
  </si>
  <si>
    <t>OC-02286</t>
  </si>
  <si>
    <t>Codo calle hembra Macho bronce 3/4" Kaeser</t>
  </si>
  <si>
    <t>ELEMENTOS RETIRADOS DE LOS SOPLADORES DE MC CAIN.  NO SE TIENE PRECIO DE ESTE ACCESORIO</t>
  </si>
  <si>
    <t>Collarin PE 6x1"</t>
  </si>
  <si>
    <t>PE</t>
  </si>
  <si>
    <t>Collarin PE 6x1-1/2"</t>
  </si>
  <si>
    <t>Collarin PE 6x1-1/4"</t>
  </si>
  <si>
    <t>Collarin PVC Presion 3x1" Charlot/pavco (pendiente Validar Nombre Con Topaco)</t>
  </si>
  <si>
    <t>Collarin PVC Presion 3x1/2" Pavco Con Inserto Metálico</t>
  </si>
  <si>
    <t>Collarin PVC Presion 4x1/2" Pavco Con Inserto Metálico</t>
  </si>
  <si>
    <t>Collarin PVC Presion 6x1" Charlot/pavco (pendiente Validar Nombre Con Topaco)</t>
  </si>
  <si>
    <t>Collarin PVC Presion SCH 40 2x1" SIM (Sin Inserto Metalico)</t>
  </si>
  <si>
    <t xml:space="preserve">Collarin PVC Presion SCH 80 2x1/2" </t>
  </si>
  <si>
    <t>Conduleta Tipo L 1"</t>
  </si>
  <si>
    <t>Conduleta Tipo L 2"</t>
  </si>
  <si>
    <t>Conduleta Tipo L 3/4"</t>
  </si>
  <si>
    <t>OC-03237</t>
  </si>
  <si>
    <t>Conduleta Tipo T 1"</t>
  </si>
  <si>
    <t>OC-02126</t>
  </si>
  <si>
    <t>Conduleta Tipo T 3/4"</t>
  </si>
  <si>
    <t>Conduleta Tipo U 3/4"</t>
  </si>
  <si>
    <t>Cruz PVC Presion SCH 40 3"</t>
  </si>
  <si>
    <t>Cruz PVC Sanitario  1-1/2"</t>
  </si>
  <si>
    <t>Cruz Soldar PVC Presion SCH 40 2"</t>
  </si>
  <si>
    <t>OC-01184</t>
  </si>
  <si>
    <t>Empaque Brida Liso Neopreno Negro 1/2x1/8"</t>
  </si>
  <si>
    <t>Espesor 1/8</t>
  </si>
  <si>
    <t>Empaque Brida Liso Neopreno Negro 1x1/8"</t>
  </si>
  <si>
    <t>OC-01215</t>
  </si>
  <si>
    <t>Empaque Brida Liso Neopreno Negro 2-1/2x1/8"</t>
  </si>
  <si>
    <t>OC-00901</t>
  </si>
  <si>
    <t>Empaque Brida Liso Neopreno Negro 2x1/8"</t>
  </si>
  <si>
    <t>Empaque Brida Liso Neopreno Negro 1/4x1/8"</t>
  </si>
  <si>
    <t>Empaque Brida Neopreno Negro 1-1/2x1/8"</t>
  </si>
  <si>
    <t>Empaque Brida Neopreno Negro 1x1/8"</t>
  </si>
  <si>
    <t>Empaque Brida Neopreno Negro 2x1/8"</t>
  </si>
  <si>
    <t>Empaque Brida Neopreno Negro 3x1/8"</t>
  </si>
  <si>
    <t>OC-01053</t>
  </si>
  <si>
    <t>Empaque Brida Neopreno Negro 4x1/8"</t>
  </si>
  <si>
    <t>Empaque Brida Neopreno Negro 6x1/8"</t>
  </si>
  <si>
    <t>OC-00933</t>
  </si>
  <si>
    <t>Empaque Brida Neopreno Negro 8x1/8"</t>
  </si>
  <si>
    <t>Empaque Brida Teflon Negro 3x1/8"</t>
  </si>
  <si>
    <t>Teflon</t>
  </si>
  <si>
    <t>Empaque Brida Teflon Negro 4x1/8"</t>
  </si>
  <si>
    <t>OC-03492</t>
  </si>
  <si>
    <t>Empaque Brida Teflon Negro 6x1/8"</t>
  </si>
  <si>
    <t>Esparragos Inox 1"x16,5 cm</t>
  </si>
  <si>
    <t>Esparragos Inox 1"x18 cm</t>
  </si>
  <si>
    <t>Esparragos Inox 1"x21 cm</t>
  </si>
  <si>
    <t>Esparragos Inox 1"x29 cm</t>
  </si>
  <si>
    <t>Esparragos Inox 1"x32 cm</t>
  </si>
  <si>
    <t>Esparragos Inox 1"x64 cm</t>
  </si>
  <si>
    <t>Abrazadera tipo Clam Inox 304 2-1/2"</t>
  </si>
  <si>
    <t>OC-03396</t>
  </si>
  <si>
    <t>Abrazadera tipo Clam Inox 304 4"</t>
  </si>
  <si>
    <t>Fijador Perno en U Mecano Para Tubo  2" PEU38AG200</t>
  </si>
  <si>
    <t>OC-02347</t>
  </si>
  <si>
    <t xml:space="preserve">Fijador Perno en U Mecano Para Tubo 1-1/2" PEU38AG112 </t>
  </si>
  <si>
    <t>OC-02324</t>
  </si>
  <si>
    <t>Fijador Perpendicular Mecano Para Tubo 1"o 100 FPAG100</t>
  </si>
  <si>
    <t>Par</t>
  </si>
  <si>
    <t>OC-03544</t>
  </si>
  <si>
    <t>Fijador Perpendicular Mecano Para Tubo 1"o 100 FPPG100</t>
  </si>
  <si>
    <t>Galvanizado en frío PG</t>
  </si>
  <si>
    <t>CotizACión Equielect 346649</t>
  </si>
  <si>
    <t>Fijador Perpendicular Mecano Para Tubo 1/2"o 50 FPAG012</t>
  </si>
  <si>
    <t>Fijador Perpendicular Mecano Para Tubo 1/2"o 50 FPPG012</t>
  </si>
  <si>
    <t>Fijador Perpendicular Mecano Para Tubo 1-1/2"o 150 FPAG112</t>
  </si>
  <si>
    <t>OC-03339</t>
  </si>
  <si>
    <t>Fijador Perpendicular Mecano Para Tubo 1-1/2"o 150 FPPG112</t>
  </si>
  <si>
    <t>Fijador Perpendicular Mecano Para Tubo 1-1/4"o 125 FPAG114</t>
  </si>
  <si>
    <t>Fijador Perpendicular Mecano Para Tubo 1-1/4"o 125 FPPG114</t>
  </si>
  <si>
    <t>Fijador Perpendicular Mecano Para Tubo 2"o 200 FPAG200</t>
  </si>
  <si>
    <t>Fijador Perpendicular Mecano Para Tubo 2"o 200 FPPG200</t>
  </si>
  <si>
    <t>Fijador Perpendicular Mecano Para Tubo 2-1/2"o 250 FPAG212</t>
  </si>
  <si>
    <t>OC-03494</t>
  </si>
  <si>
    <t>Fijador Perpendicular Mecano Para Tubo 2-1/2"o 250 FPPG212</t>
  </si>
  <si>
    <t>Fijador Perpendicular Mecano Para Tubo 3"o 300 FPAG300</t>
  </si>
  <si>
    <t>Fijador Perpendicular Mecano Para Tubo 3"o 300 FPPG300</t>
  </si>
  <si>
    <t>Fijador Perpendicular Mecano Para Tubo 3/4"o 75 FPAG034</t>
  </si>
  <si>
    <t>Fijador Perpendicular Mecano Para Tubo 3/4"o 75 FPPG034</t>
  </si>
  <si>
    <t>Fijador Perpendicular Mecano Para Tubo 4"o 400  FPAG400</t>
  </si>
  <si>
    <t>OC-03059</t>
  </si>
  <si>
    <t>Fijador Perpendicular Mecano Para Tubo 4"o 400  FPPG400</t>
  </si>
  <si>
    <t>Fijador Perpendicular Mecano Para Tubo 6"o 600  FPAG600</t>
  </si>
  <si>
    <t>OC-03190</t>
  </si>
  <si>
    <t>Llevarlos a PCI</t>
  </si>
  <si>
    <t>Fijador Perpendicular Mecano Para Tubo 6"o 600  FPPG600</t>
  </si>
  <si>
    <t>Fijador Perpendicular Mecano Para Tubo 8"o 800  FPAG800</t>
  </si>
  <si>
    <t>OC03190</t>
  </si>
  <si>
    <t>Fijador Tipo Cuelga Mecano Para Tubo 1-12" CAG112</t>
  </si>
  <si>
    <t>Fijador Tipo Cuelga Mecano Para Tubo 3" CAG300</t>
  </si>
  <si>
    <t>OC-02200</t>
  </si>
  <si>
    <t>Fijador Tipo Cuelga Mecano Para Tubo 4" CAG400</t>
  </si>
  <si>
    <t>OC-00269</t>
  </si>
  <si>
    <t>Fijador Tipo Cuelga Mecano Para Tubo 6" CAG600</t>
  </si>
  <si>
    <t>Filtro en Y Malla 1-1/4" Inox 316</t>
  </si>
  <si>
    <t>Filtro en Y Malla 3/4" Inox 316</t>
  </si>
  <si>
    <t>Filtro en Y PP 1"</t>
  </si>
  <si>
    <t>Filtro en Y PP 1-1/2"</t>
  </si>
  <si>
    <t>Ganchos Carniceros Para Filtro de Bolsas Inox 304</t>
  </si>
  <si>
    <t>Mensajero</t>
  </si>
  <si>
    <t>Grapa Galvanizada Doble  EMT 1/2"</t>
  </si>
  <si>
    <t>OC-02859</t>
  </si>
  <si>
    <t>Grapa Galvanizada Doble EMT 1"</t>
  </si>
  <si>
    <t>OC-000680</t>
  </si>
  <si>
    <t>Grapa Galvanizada Doble EMT 1-1/2"</t>
  </si>
  <si>
    <t>Cotización Equielect 350681</t>
  </si>
  <si>
    <t>Grapa Galvanizada Doble EMT 2"</t>
  </si>
  <si>
    <t>OC-00680</t>
  </si>
  <si>
    <t>Grapa Galvanizada Doble EMT 3/4"</t>
  </si>
  <si>
    <t>OC-02619</t>
  </si>
  <si>
    <t>Grapa Galvanizada Sencilla EMT 1-1/4"</t>
  </si>
  <si>
    <t>Grapa Galvanizada Sencilla EMT 2"</t>
  </si>
  <si>
    <t>Grapa Galvanizada Sencilla EMT 3/4"</t>
  </si>
  <si>
    <t>Guasa Galvanizado en caliente 1/2"</t>
  </si>
  <si>
    <t>JACO PVC Presion 1/2"x1/2</t>
  </si>
  <si>
    <t>OC-02889</t>
  </si>
  <si>
    <t>JACO PVC Presion 1/4"x5/16</t>
  </si>
  <si>
    <t>OC-00714</t>
  </si>
  <si>
    <t>JACO PVC Presion 5/16"x5/16</t>
  </si>
  <si>
    <t>Macho Roscar Inox 304 SCH 40 1/2"</t>
  </si>
  <si>
    <t>Manometro 0-100 Caratula 2.5" Con Glicerina</t>
  </si>
  <si>
    <t>Manometro 0-150 Caratula 2.5" Con Glicerina</t>
  </si>
  <si>
    <t>Manometro 0-60 Caratula 2.5" Con Glicerina</t>
  </si>
  <si>
    <t>Mensula 25 cm Galvanizado SMS025AG</t>
  </si>
  <si>
    <t>OC-03466</t>
  </si>
  <si>
    <t>Mensula 30 cm Galvanizado SMS030AG</t>
  </si>
  <si>
    <t>OC-02991</t>
  </si>
  <si>
    <t>Mensula 50 cm Galvanizado SMS050AG</t>
  </si>
  <si>
    <t>Niple Roscar Inox 304  SCH 40 1"x10 cm</t>
  </si>
  <si>
    <t>Niple Roscar Inox 304 SCH 40 1"x30 cm</t>
  </si>
  <si>
    <t>Niple Roscar Inox 304 SCH 40 1"x40 cm</t>
  </si>
  <si>
    <t>Niple Roscar Inox 304 SCH 40 1"x8 cm</t>
  </si>
  <si>
    <t>Niple Roscar Inox 304 SCH 40 1-1/4"x7 cm</t>
  </si>
  <si>
    <t>Niple Roscar Galvanizado SCH 40 1/2x10 cm</t>
  </si>
  <si>
    <t>OC-01145</t>
  </si>
  <si>
    <t>Niple Roscar Inox  304 SCH 40 1/4"x10 cm</t>
  </si>
  <si>
    <t>Niple Roscar Inox 304 SCH 40  1-1/2"x10 cm</t>
  </si>
  <si>
    <t>Niple Roscar Inox 304 SCH 40 1/2"x10 cm</t>
  </si>
  <si>
    <t>OC-03438</t>
  </si>
  <si>
    <t>Niple Roscar Inox 304 SCH 40 1/2"x20 cm</t>
  </si>
  <si>
    <t>OC-03403</t>
  </si>
  <si>
    <t>Niple Roscar Inox 304 SCH 40 1-1/2"x15 cm</t>
  </si>
  <si>
    <t>OC-02977</t>
  </si>
  <si>
    <t>Niple Roscar Inox 304 SCH 40 1-1/2"x20 cm</t>
  </si>
  <si>
    <t>Niple Roscar Inox 304 SCH 40 1-1/2"x25 cm</t>
  </si>
  <si>
    <t>OC-01242</t>
  </si>
  <si>
    <t>Niple Roscar Inox 304 SCH 40 1-1/2"x30 cm</t>
  </si>
  <si>
    <t>Niple Roscar Inox 304 SCH 40 1-1/2"x40 cm</t>
  </si>
  <si>
    <t>OC-02006</t>
  </si>
  <si>
    <t>Niple Roscar Inox 304 SCH 40 1-1/4"x10 cm</t>
  </si>
  <si>
    <t>Niple Roscar Inox 304 SCH 40 1-1/4"x20 cm</t>
  </si>
  <si>
    <t>OC-01742</t>
  </si>
  <si>
    <t>SE PONE EL VALOR DE NIPLE DE 1-1/4X30CM PARA EFECTOS DE VALORIZACIÓN</t>
  </si>
  <si>
    <t>Niple Roscar Inox 304 SCH 40 2"x10 cm</t>
  </si>
  <si>
    <t>Niple Roscar Inox 304 SCH 40 2"x15 cm</t>
  </si>
  <si>
    <t>Niple Roscar Inox 304 SCH 40 2"x20 cm</t>
  </si>
  <si>
    <t>OC-02613</t>
  </si>
  <si>
    <t>Niple Roscar Inox 304 SCH 40 2-1/2"x10 cm</t>
  </si>
  <si>
    <t>Niple Roscar Inox 304 SCH 40 2-1/2"x20 cm</t>
  </si>
  <si>
    <t>Niple Roscar Inox 304 SCH 40 2-1/2"x30 cm</t>
  </si>
  <si>
    <t>Niple Roscar Inox 304 SCH 40 3"x15 cm</t>
  </si>
  <si>
    <t>Niple Roscar Inox 304 SCH 40 3"x20 cm</t>
  </si>
  <si>
    <t>OC-03214</t>
  </si>
  <si>
    <t>Niple Roscar Inox 304 SCH 40 3/4"x10 cm</t>
  </si>
  <si>
    <t>SE PONE EL VALOR DE NIPLE DE 3/4X10CM PARA EFECTOS DE VALORIZACIÓN</t>
  </si>
  <si>
    <t>Niple Roscar Inox 304 SCH 40 3/4"x8 cm</t>
  </si>
  <si>
    <t>Niple Roscar Inox 304 SCH 40 3/8"x20 cm</t>
  </si>
  <si>
    <t>Niple Roscar Inox 304 SCH 40 4"x10 cm</t>
  </si>
  <si>
    <t>OC-01469</t>
  </si>
  <si>
    <t>SE PONE EL VALOR DE NIPLE DE 4X15CM PARA EFECTOS DE VALORIZACIÓN</t>
  </si>
  <si>
    <t>Pasamuro PP 1-1/2" Roscado</t>
  </si>
  <si>
    <t>OC-03568</t>
  </si>
  <si>
    <t>Pasatanques PP 3/4"</t>
  </si>
  <si>
    <t>OC-02109</t>
  </si>
  <si>
    <t>Pasatanques Roscado PVC Presion 1"</t>
  </si>
  <si>
    <t>Pasatanques Roscados PVC Presion 1/2"</t>
  </si>
  <si>
    <t>Pistola Para Manguera De Riego 1/2"</t>
  </si>
  <si>
    <t>1 PARA SOL DE ORIENTE, 1 PARA USO INTERNO.</t>
  </si>
  <si>
    <t>Platina en L 4x4 Cm Galvanizado</t>
  </si>
  <si>
    <t>Platina en L Mecano Cuatro Agujeros Ref. PLA4AG</t>
  </si>
  <si>
    <t>OC-03062</t>
  </si>
  <si>
    <t>Platina en L Mecano Dos Agujeros Ref. PLD2AG</t>
  </si>
  <si>
    <t>OC-03393</t>
  </si>
  <si>
    <t>Platina en T Mecano Cuatro Agujeros Ref. PTP4AG</t>
  </si>
  <si>
    <t>OC-02232</t>
  </si>
  <si>
    <t>Platina Inox 15x10x10mm</t>
  </si>
  <si>
    <t>Platina Inox 30x25x20mm</t>
  </si>
  <si>
    <t>Reduccion Roscar Concentrica Galvanizada SCH 40 1-1/4x3/4"</t>
  </si>
  <si>
    <t>OC-02460</t>
  </si>
  <si>
    <t>Reduccion Roscar Concentrica Galvanizada SCH 40 3x2-1/2"</t>
  </si>
  <si>
    <t>Reduccion Concentrica Roscar Inox 304 SCH 40 1-1/2x1/4"</t>
  </si>
  <si>
    <t>Reduccion Concentrica Roscar Inox 304 SCH 40 1-1/2x1/2"</t>
  </si>
  <si>
    <t>Reduccion Concentrica Roscar Inox 304 SCH 40 2x1"</t>
  </si>
  <si>
    <t>SE PONE EL VALOR DE REDUCCIÓN  DE 2X1-1/2" PARA EFECTOS DE VALORIZACIÓN</t>
  </si>
  <si>
    <t>Reduccion Concentrica Roscar Inox 304 SCH 40 3x2"</t>
  </si>
  <si>
    <t>OC-02572</t>
  </si>
  <si>
    <t>Reduccion Concentrica Soldar  AC SCH 40 1-1/2x1/4</t>
  </si>
  <si>
    <t>Reduccion Concentrica Inox 304 L SCH 10 Soldar 4x2-1/2"</t>
  </si>
  <si>
    <t>Reduccion Concentrica Soldar Inox 304  SCH 10 4x2"</t>
  </si>
  <si>
    <t>OC-02866</t>
  </si>
  <si>
    <t>Reduccion Concentrica Inox 304 L SCH10 Soldar 3x2"</t>
  </si>
  <si>
    <t>Reduccion Concentrica Inox 304 L SCH10 Soldar 3x2-1/2"</t>
  </si>
  <si>
    <t>Reduccion Concentrica Soldar Inox 304 SCH 10 1-1/2x1"</t>
  </si>
  <si>
    <t>Reduccion Concentrica Soldar Inox 304 SCH 10 1-1/4x1"</t>
  </si>
  <si>
    <t>OC-03675</t>
  </si>
  <si>
    <t>Reduccion Concentrica Soldar Inox 304 SCH 10 2-1/2x1"</t>
  </si>
  <si>
    <t>Reduccion Concentrica Soldar Inox 304 SCH 10 2-1/2x2"</t>
  </si>
  <si>
    <t>Reduccion Concentrica Soldar Inox 304 SCH 10 2x1"</t>
  </si>
  <si>
    <t>OC-03357</t>
  </si>
  <si>
    <t>Reduccion Concentrica Soldar Inox 304 SCH 10 3x1"</t>
  </si>
  <si>
    <t>OC-02554</t>
  </si>
  <si>
    <t>Reduccion Concentrica Soldar Inox 304 SCH 10 3x1-1/2"</t>
  </si>
  <si>
    <t>Reduccion Concentrica Soldar Inox 304 SCH 10 3x2"</t>
  </si>
  <si>
    <t>Reduccion Concentrica Soldar Inox 304 SCH 10 3x2-1/2"</t>
  </si>
  <si>
    <t>Reduccion Concentrica Soldar Inox 304 SCH 10 6x4</t>
  </si>
  <si>
    <t>Reduccion Excentrica Soldar Inox 304 SCH 10 2x1"</t>
  </si>
  <si>
    <t>Reduccion Excentrica Soldar Inox 304 SCH 10 3x1-1/2"</t>
  </si>
  <si>
    <t>Reduccion Excentrica Soldar Inox 304 SCH 10 3x2"</t>
  </si>
  <si>
    <t>Reduccion Excentrica Soldar Inox 304 SCH 10 3x2-1/2"</t>
  </si>
  <si>
    <t>Reduccion Excentrica Soldar Inox 304 SCH 10 4x2-1/2"</t>
  </si>
  <si>
    <t>Reduccion Tuerca  Galvanizado SCH 40 1/2x1/4"</t>
  </si>
  <si>
    <t>Reducción Tuerca  Galvanizado SCH 40 1/2x3/8"</t>
  </si>
  <si>
    <t>Reduccion Tuerca Galvanizado SCH 40 1-1/2x1-1/4"</t>
  </si>
  <si>
    <t>OC-01715</t>
  </si>
  <si>
    <t>Reduccion Tuerca Galvanizado SCH 40 1-1/4x1"</t>
  </si>
  <si>
    <t>Reduccion Tuerca Galvanizado SCH 40 1-1/4x1/2"</t>
  </si>
  <si>
    <t>OC-00794</t>
  </si>
  <si>
    <t>Reduccion Tuerca Galvanizado SCH 40 1x1/2"</t>
  </si>
  <si>
    <t>OC-02516</t>
  </si>
  <si>
    <t>Reduccion Tuerca Galvanizado SCH 40 1x1/4"</t>
  </si>
  <si>
    <t>Reduccion Tuerca Galvanizado SCH 40 1x3/4"</t>
  </si>
  <si>
    <t>Reduccion Tuerca Galvanizado SCH 40 2-1/2x1-1/2"</t>
  </si>
  <si>
    <t>OC- 00649</t>
  </si>
  <si>
    <t>Reduccion Tuerca Galvanizado SCH 40 2-1/2x2"</t>
  </si>
  <si>
    <t>Reduccion Tuerca Galvanizado SCH 40 2x1-1/2"</t>
  </si>
  <si>
    <t>Reduccion Tuerca Galvanizado SCH 40 2x3/4"</t>
  </si>
  <si>
    <t>Reduccion Tuerca Galvanizado SCH 40 3/4x1/2"</t>
  </si>
  <si>
    <t>OC-02451</t>
  </si>
  <si>
    <t>Reduccion Tuerca bronce 2x1/2" Kaeser</t>
  </si>
  <si>
    <t>Reduccion Tuerca Inox 304  SCH 40 1/2x1/4"</t>
  </si>
  <si>
    <t>Reduccion Tuerca Inox 304 SCH 40 1-1/2x1/2"</t>
  </si>
  <si>
    <t>Reduccion Tuerca Inox 304 SCH 40 1-1/2x1-1/4"</t>
  </si>
  <si>
    <t>OC-01534</t>
  </si>
  <si>
    <t>Reduccion Tuerca Inox 304 SCH 40 1-1/4x3/4"</t>
  </si>
  <si>
    <t>Reduccion Tuerca Inox 304 SCH 40 1x3/4"</t>
  </si>
  <si>
    <t>Reduccion Tuerca Inox 304 SCH 40 2x1-1/2"</t>
  </si>
  <si>
    <t>Reduccion Tuerca Inox 304 SCH 40 3/4x1/2"</t>
  </si>
  <si>
    <t>Reduccion Tuerca Inox 304 SCH 40 3/4x1/9"</t>
  </si>
  <si>
    <t>Reduccion Tuerca Inox 304 SCH 40 4x3"</t>
  </si>
  <si>
    <t>OC-02616</t>
  </si>
  <si>
    <t>Reduccion Tuerca Inox 304 Sch 40 1x1/2"</t>
  </si>
  <si>
    <t>Sifón 180° Sin Codo PVC Sanitario Soldar 2" CxC</t>
  </si>
  <si>
    <t>Tapon  Roscado PVC Sanitario Macho  1-1/2"</t>
  </si>
  <si>
    <t>Tapon Liso  PVC Presion SCH 40 3/4"</t>
  </si>
  <si>
    <t>Tapon Liso CPVC SCH 40 (Ultratemp)1-1/2"</t>
  </si>
  <si>
    <t>OC-01327</t>
  </si>
  <si>
    <t>Tapon Liso PVC Presion SCH 80 1-1/4"</t>
  </si>
  <si>
    <t>Tapon Liso PVC Presion SCH 40 1"</t>
  </si>
  <si>
    <t>Tapon Liso PVC Presion SCH 40 1/2"</t>
  </si>
  <si>
    <t>Tapon Liso PVC Presion SCH 40 1-1/2"</t>
  </si>
  <si>
    <t>Tapon Liso PVC Presion SCH 40 1-1/4"</t>
  </si>
  <si>
    <t>Tapon Liso PVC Presion SCH 40 2"</t>
  </si>
  <si>
    <t>Tapon Liso PVC Presion SCH 40 2-1/2"</t>
  </si>
  <si>
    <t>Tapon Liso PVC Presion SCH 40 3"</t>
  </si>
  <si>
    <t>Tapon Liso PVC Presion SCH 40 4"</t>
  </si>
  <si>
    <t>Tapon Liso PVC Sanitario  4"</t>
  </si>
  <si>
    <t>Tapon Liso PVC Sanitario  6"</t>
  </si>
  <si>
    <t>Tapon Macho Roscar Galvanizado SCH 40 1"</t>
  </si>
  <si>
    <t>Tapon Macho Roscar Galvanizado SCH 40 1/2"</t>
  </si>
  <si>
    <t>Tapon Macho Roscar Galvanizado SCH 40 3"</t>
  </si>
  <si>
    <t>Tapon Macho Roscar Galvanizado SCH 40 3/4"</t>
  </si>
  <si>
    <t>Tapon Roscado Hembra PVC Presion SCH 40 3/4"</t>
  </si>
  <si>
    <t>Tapon Roscado Hembra PVC Presion SCH 40 4"</t>
  </si>
  <si>
    <t>Tapon Roscado Hembra PVC Presion SCH 40 1"</t>
  </si>
  <si>
    <t>Tapon Roscado Hembra PVC Presion SCH 40 1/2"</t>
  </si>
  <si>
    <t>Tapon Roscado Hembra PVC Presion SCH 40 1-1/4"</t>
  </si>
  <si>
    <t>Tapon Roscado Hembra PVC Presion SCH 40 2"</t>
  </si>
  <si>
    <t>Tapon Roscado Hembra PVC Presion SCH 40 2-1/2"</t>
  </si>
  <si>
    <t>Tee CPVC SCH 40 (Ultratemp)1"</t>
  </si>
  <si>
    <t>Tee CPVC SCH 40 (Ultratemp)1-1/2"</t>
  </si>
  <si>
    <t>Tee CPVC SCH 40 (Ultratemp)1-1/4"</t>
  </si>
  <si>
    <t>Tee CPVC SCH 40 (Ultratemp)2"</t>
  </si>
  <si>
    <t>Tee Soldar Inox 304  SCH 10 3"</t>
  </si>
  <si>
    <t>OC-03173</t>
  </si>
  <si>
    <t>Tee Soldar Inox 304  SCH 10 4"</t>
  </si>
  <si>
    <t>OC-03176</t>
  </si>
  <si>
    <t>Tee Inox 304 L SCH 10 Soldar 1-1/2"</t>
  </si>
  <si>
    <t>Tee Inox 304 L SCH 10 Soldar 2-1/2"</t>
  </si>
  <si>
    <t>Tee Soldar Inox 304 SCH 10 1"</t>
  </si>
  <si>
    <t>OC-02474</t>
  </si>
  <si>
    <t>Tee Soldar Inox 304 SCH 10 1/2"</t>
  </si>
  <si>
    <t>Tee Soldar Inox 304 SCH 10 1-1/2"</t>
  </si>
  <si>
    <t>Tee Soldar Inox 304 SCH 10 2-1/2"</t>
  </si>
  <si>
    <t>Tee Soldar Inox 304 SCH 10 6"</t>
  </si>
  <si>
    <t>Tee Soldar Inox 316 SCH 10 1-1/2"</t>
  </si>
  <si>
    <t>Tee Lisa PVC Presion SCH 40 2"</t>
  </si>
  <si>
    <t>Tee PP Azul 20</t>
  </si>
  <si>
    <t>Tee PP Azul 32</t>
  </si>
  <si>
    <t>Tee PP Azul 50</t>
  </si>
  <si>
    <t>Tee PP Verde 32</t>
  </si>
  <si>
    <t>Por informacion de tecnifluidos es valor es el mismo del azul</t>
  </si>
  <si>
    <t>Tee PVC Lisa  Presion SCH 80 1"</t>
  </si>
  <si>
    <t>Tee PVC Lisa Presion SCH 40 1"</t>
  </si>
  <si>
    <t>Tee PVC Lisa Presion SCH 40 1-1/4"</t>
  </si>
  <si>
    <t>Tee PVC Presion SCH 80 3/4"</t>
  </si>
  <si>
    <t>Tee PVC Presion SCH 40 1/2"</t>
  </si>
  <si>
    <t>Tee PVC Presion SCH 40 3/4"</t>
  </si>
  <si>
    <t>Tee PVC Presion SCH 40 5"</t>
  </si>
  <si>
    <t>Tee PVC Presion SCH 40 6" CxC Durman</t>
  </si>
  <si>
    <t>Tee PVC Presion Soldar SCH 80 1-1/4"</t>
  </si>
  <si>
    <t>Tee PVC Sanitario  1-1/2" CxC</t>
  </si>
  <si>
    <t>Tee PVC Sanitario  2" CxC</t>
  </si>
  <si>
    <t>OC-03526</t>
  </si>
  <si>
    <t>Tee PVC Sanitario  6" CxC</t>
  </si>
  <si>
    <t>Tee PVC Sanitario Soldar 4" CxC</t>
  </si>
  <si>
    <t xml:space="preserve">Tee Reducida Soldar PVC Presión  SCH 80 1-1/2x1/2" </t>
  </si>
  <si>
    <t>Tee Roscar Inox 304 SCH 40 1"</t>
  </si>
  <si>
    <t>OC-03498</t>
  </si>
  <si>
    <t>Tee Roscar Inox 304 SCH 40 1/2"</t>
  </si>
  <si>
    <t>Tee Roscar Inox 304 SCH 40 1-1/2"</t>
  </si>
  <si>
    <t>Tee Roscar Inox 304 SCH 40 2"</t>
  </si>
  <si>
    <t>Tee Roscar Galvanizada SCH 40 1"</t>
  </si>
  <si>
    <t>Tee Roscar Galvanizada SCH 40 1/2"</t>
  </si>
  <si>
    <t>Tee Roscar Galvanizada SCH 40 1/4"</t>
  </si>
  <si>
    <t>OC-02706</t>
  </si>
  <si>
    <t>Tee Roscar Galvanizada SCH 40 1-1/2"</t>
  </si>
  <si>
    <t>OC-02154</t>
  </si>
  <si>
    <t>Tee Roscar Galvanizada SCH 40 1-1/4"</t>
  </si>
  <si>
    <t>Tee Roscar Galvanizada SCH 40 2"</t>
  </si>
  <si>
    <t>Tee Roscar Galvanizada SCH 40 2-1/2"</t>
  </si>
  <si>
    <t>Tee Soldar AC SCH 40 1/2"</t>
  </si>
  <si>
    <t>Tee Soldar AC SCH 40 1-1/2"</t>
  </si>
  <si>
    <t>Tee Soldar AC SCH 40 2"</t>
  </si>
  <si>
    <t>OC-02179</t>
  </si>
  <si>
    <t xml:space="preserve">Tee Soldar PVC Presión Sch 40 1-1/2" </t>
  </si>
  <si>
    <t xml:space="preserve">Tee Soldar PVC Presión Sch 80 1-1/2" </t>
  </si>
  <si>
    <t>Tee Soldar PVC Presion SCH 80 4"</t>
  </si>
  <si>
    <t>Tee Soldar PVC Presion SCH 40 2-1/2"</t>
  </si>
  <si>
    <t>Tee Soldar PVC Presion SCH 40 3"</t>
  </si>
  <si>
    <t>Tee Soldar PVC Presion SCH 40 4"</t>
  </si>
  <si>
    <t xml:space="preserve">Tee Soldar PVC Presion SCH 40 6" </t>
  </si>
  <si>
    <t>Tornillo Cabeza Hexagonal cuello Galvanizado Frio 3/4x4"</t>
  </si>
  <si>
    <t>7/05/2026
8/05/2026</t>
  </si>
  <si>
    <t>Tornillo Cabeza Hexagonal cuello Galvanizado en frio 5/8x6"</t>
  </si>
  <si>
    <t>OC-02947</t>
  </si>
  <si>
    <t>Tornillo Cabeza Hexagonal cuello Galvanizado en frio 5/8x3-1/2"</t>
  </si>
  <si>
    <t>OC-03018</t>
  </si>
  <si>
    <t>Tornillo Cabeza Hexagonal cuello Galvanizado en caliente 7/8x8"</t>
  </si>
  <si>
    <t>Tornillo Cabeza Hexagonal cuello Galvanizado en caliente 7/8x3-1/2"</t>
  </si>
  <si>
    <t>Tornillo Cabeza Hexagonal cuello Galvanizado en caliente 7/8x2-1/2"</t>
  </si>
  <si>
    <t>Tornillo Cabeza Hexagonal cuello Galvanizado en caliente 7/8x2"</t>
  </si>
  <si>
    <t>Tornillo Cabeza Hexagonal cuello Galvanizado en caliente 5/8x6"</t>
  </si>
  <si>
    <t>Tornillo Cabeza Hexagonal cuello Galvanizado en caliente 5/8x5-1/2"</t>
  </si>
  <si>
    <t>OC-03168</t>
  </si>
  <si>
    <t>Tornillo Cabeza Hexagonal cuello Galvanizado en caliente 5/8x5"</t>
  </si>
  <si>
    <t>Tornillo Cabeza Hexagonal cuello Galvanizado en caliente 5/8x4-1/2"</t>
  </si>
  <si>
    <t>Tornillo Cabeza Hexagonal cuello Galvanizado en caliente 5/8x4"</t>
  </si>
  <si>
    <t>Tornillo Cabeza Hexagonal cuello Galvanizado en caliente 5/8x3-1/2"</t>
  </si>
  <si>
    <t>Tornillo Cabeza Hexagonal cuello Galvanizado en caliente 5/8x3"</t>
  </si>
  <si>
    <t>Tornillo Cabeza Hexagonal cuello Galvanizado en caliente 5/8x2-1/2"</t>
  </si>
  <si>
    <t>OC-02843</t>
  </si>
  <si>
    <t>Tornillo Cabeza Hexagonal cuello Galvanizado en caliente 5/8x2"</t>
  </si>
  <si>
    <t>Tornillo Cabeza Hexagonal cuello Galvanizado en caliente 5/8x1-3/4"</t>
  </si>
  <si>
    <t>Tornillo Cabeza Hexagonal cuello Galvanizado en caliente 3/4x7"</t>
  </si>
  <si>
    <t>Tornillo Cabeza Hexagonal cuello Galvanizado en caliente 3/4x6"</t>
  </si>
  <si>
    <t>Tornillo Cabeza Hexagonal cuello Galvanizado en caliente 3/4x5-1/2"</t>
  </si>
  <si>
    <t>OC-02987</t>
  </si>
  <si>
    <t>Tornillo Cabeza Hexagonal cuello Galvanizado en caliente 3/4x5"</t>
  </si>
  <si>
    <t>Tornillo Cabeza Hexagonal cuello Galvanizado en caliente 3/4x4-1/2"</t>
  </si>
  <si>
    <t>Tornillo Cabeza Hexagonal cuello Galvanizado en caliente 3/4x3-1/2"</t>
  </si>
  <si>
    <t>Tornillo Cabeza Hexagonal cuello Galvanizado en caliente 3/4x3"</t>
  </si>
  <si>
    <t>Tornillo Cabeza Hexagonal cuello Galvanizado en caliente 1x7"</t>
  </si>
  <si>
    <t>Tornillo Cabeza Hexagonal cuello Galvanizado en caliente 1x6"</t>
  </si>
  <si>
    <t>Tornillo Cabeza Hexagonal cuello Galvanizado en caliente 1x3-1/2"</t>
  </si>
  <si>
    <t>Tornillo Cabeza Hexagonal cuello Galvanizado en caliente 1-3/16x8"</t>
  </si>
  <si>
    <t>Tornillo Cabeza Hexagonal cuello Galvanizado en caliente 1-3/16x5-1/2"</t>
  </si>
  <si>
    <t>Tornillo Cabeza Hexagonal cuello Galvanizado en caliente 1-3/16x2-1/2"</t>
  </si>
  <si>
    <t>Tornillo Cabeza Hexagonal cuello Galvanizado en caliente 1-1/8x6"</t>
  </si>
  <si>
    <t>Tornillo Cabeza Hexagonal cuello Galvanizado en caliente 1/2x5"</t>
  </si>
  <si>
    <t>Tornillo Cabeza Hexagonal cuello Galvanizado en caliente 1/2x4"</t>
  </si>
  <si>
    <t>Tornillo Cabeza Hexagonal cuello Galvanizado en caliente 1/2x3"</t>
  </si>
  <si>
    <t>Tornillo Cabeza Hexagonal cuello Galvanizado en caliente 1/2x2-1/2"</t>
  </si>
  <si>
    <t>Tornillo Cabeza Hexagonal cuello Galvanizado en caliente 1/2x2"</t>
  </si>
  <si>
    <t>Tornillo Cabeza Hexagonal cuello Galvanizado en caliente 1/2x1-1/2"</t>
  </si>
  <si>
    <t>Tornillo Cabeza Hexagonal Rosca Continua Inox 304 9/16x4"</t>
  </si>
  <si>
    <t>Tornillo Cabeza Hexagonal Rosca Continua Inox 304 9/16x3-1/2"</t>
  </si>
  <si>
    <t>Tornillo Cabeza Hexagonal Rosca Continua Inox 304 9/16x2-1/2"</t>
  </si>
  <si>
    <t>Tornillo Cabeza Hexagonal Rosca Continua Inox 304 9/16x2"</t>
  </si>
  <si>
    <t>Tornillo Cabeza Hexagonal Rosca Continua Inox 304 9/16x1-1/2"</t>
  </si>
  <si>
    <t>Tornillo Cabeza Hexagonal Rosca Continua Inox 304 7/8x2"</t>
  </si>
  <si>
    <t>Tornillo Cabeza Hexagonal Rosca Continua Inox 304 7/16x2"</t>
  </si>
  <si>
    <t>Tornillo Cabeza Hexagonal Rosca Continua Inox 304 7/16x1-1/2"</t>
  </si>
  <si>
    <t>Tornillo Cabeza Hexagonal Rosca Continua Inox 304 5/8x4"</t>
  </si>
  <si>
    <t>Tornillo Cabeza Hexagonal Rosca Continua Inox 304 5/8x3-1/2"</t>
  </si>
  <si>
    <t>Tornillo Cabeza Hexagonal Rosca Continua Inox 304 5/8x3"</t>
  </si>
  <si>
    <t>Tornillo Cabeza Hexagonal Rosca Continua Inox 304 5/8x2-1/2"</t>
  </si>
  <si>
    <t>Tornillo Cabeza Hexagonal Rosca Continua Inox 304 5/16x3/4"</t>
  </si>
  <si>
    <t>Tornillo Cabeza Hexagonal Rosca Continua Inox 304 5/16x2"</t>
  </si>
  <si>
    <t>Tornillo Cabeza Hexagonal Rosca Continua Inox 304 5/16x1-1/4"</t>
  </si>
  <si>
    <t>Tornillo Cabeza Hexagonal Rosca Continua Inox 304 5/16x1-1/2"</t>
  </si>
  <si>
    <t>Tornillo Cabeza Hexagonal Rosca Continua Inox 304 5/16x1/2"</t>
  </si>
  <si>
    <t>Tornillo Cabeza Hexagonal Rosca Continua Inox 304 5/16x1"</t>
  </si>
  <si>
    <t>Tornillo Cabeza Hexagonal Rosca Continua Inox 304 304 7/8x6"</t>
  </si>
  <si>
    <t>Tornillo Cabeza Hexagonal Rosca Continua Inox 304 304 5/8x1"</t>
  </si>
  <si>
    <t>Tornillo Cabeza Hexagonal Rosca Continua Inox 304 304 5/8x2"</t>
  </si>
  <si>
    <t>Tornillo Cabeza Hexagonal Rosca Continua Inox 304 3/8x6"</t>
  </si>
  <si>
    <t>Tornillo Cabeza Hexagonal Rosca Continua Inox 304 3/8x5"</t>
  </si>
  <si>
    <t>Tornillo Cabeza Hexagonal Rosca Continua Inox 304 3/8x3-1/2"</t>
  </si>
  <si>
    <t>Tornillo Cabeza Hexagonal Rosca Continua Inox 304 3/8x3"</t>
  </si>
  <si>
    <t>Tornillo Cabeza Hexagonal Rosca Continua Inox 304 3/8x2-1/2"</t>
  </si>
  <si>
    <t>Tornillo Cabeza Hexagonal Rosca Continua Inox 304 3/8x2"</t>
  </si>
  <si>
    <t>Tornillo Cabeza Hexagonal Rosca Continua Inox 304 3/8x1-1/4"</t>
  </si>
  <si>
    <t>Tornillo Cabeza Hexagonal Rosca Continua Inox 304 3/8x1-1/2"</t>
  </si>
  <si>
    <t>Tornillo Cabeza Hexagonal Rosca Continua Inox 304 3/8x1"</t>
  </si>
  <si>
    <t>Tornillo Cabeza Hexagonal Rosca Continua Inox 304 3/4x6"</t>
  </si>
  <si>
    <t>Tornillo Cabeza Hexagonal Rosca Continua Inox 304 3/4x4"</t>
  </si>
  <si>
    <t>Tornillo Cabeza Hexagonal Rosca Continua Inox 304 3/4x3-1/2"</t>
  </si>
  <si>
    <t>Tornillo Cabeza Hexagonal Rosca Continua Inox 304 3/4x3"</t>
  </si>
  <si>
    <t>Tornillo Cabeza Hexagonal Rosca Continua Inox 304 3/4x2"</t>
  </si>
  <si>
    <t>Tornillo Cabeza Hexagonal Rosca Continua Inox 304 1x4-1/2"</t>
  </si>
  <si>
    <t>Tornillo Cabeza Hexagonal Rosca Continua Inox 304 1x4"</t>
  </si>
  <si>
    <t>Tornillo Cabeza Hexagonal Rosca Continua Inox 304 1x3-1/2"</t>
  </si>
  <si>
    <t>Tornillo Cabeza Hexagonal Rosca Continua Inox 304 1x2"</t>
  </si>
  <si>
    <t>Tornillo Cabeza Hexagonal Rosca Continua Inox 304 1-3/16x4"</t>
  </si>
  <si>
    <t>Tornillo Cabeza Hexagonal Rosca Continua Inox 304 1/4x2"</t>
  </si>
  <si>
    <t>Tornillo Cabeza Hexagonal Rosca Continua Inox 304 1/4x1-1/4"</t>
  </si>
  <si>
    <t>Tornillo Cabeza Hexagonal Rosca Continua Inox 304 1/4x1-1/2"</t>
  </si>
  <si>
    <t>Tornillo Cabeza Hexagonal Rosca Continua Inox 304 1/4x1"</t>
  </si>
  <si>
    <t>Tornillo Cabeza Hexagonal Rosca Continua Inox 304 1/2x4-1/2"</t>
  </si>
  <si>
    <t>Tornillo Cabeza Hexagonal Rosca Continua Inox 304 1/2x5"</t>
  </si>
  <si>
    <t>Tornillo Cabeza Hexagonal Rosca Continua Inox 304 1/2x3"</t>
  </si>
  <si>
    <t>Tornillo Cabeza Hexagonal Rosca Continua Inox 304 1/2x3-1/2"</t>
  </si>
  <si>
    <t>Tornillo Cabeza Hexagonal Rosca Continua Inox 304 1/2x2-1/2"</t>
  </si>
  <si>
    <t>Tornillo Cabeza Hexagonal Rosca Continua Inox 304 1/2x2"</t>
  </si>
  <si>
    <t>Tornillo Cabeza Hexagonal Rosca Continua Inox 304 1/2x1-1/2"</t>
  </si>
  <si>
    <t>Tornillo Cabeza Hexagonal  Rosca Continua Galvanizado Frio 5/16x2-1/2"</t>
  </si>
  <si>
    <t>Tornillo Cabeza Hexagonal  Rosca Continua Galvanizado Frio 5/16x2"</t>
  </si>
  <si>
    <t>Tornillo Cabeza Hexagonal  Rosca Continua Galvanizado Frio 5/16 x1-1/2"</t>
  </si>
  <si>
    <t>Tornillo Cabeza Hexagonal  Rosca Continua Galvanizado Frio 3/8x1-1/4"</t>
  </si>
  <si>
    <t>Tornillo Cabeza Hexagonal  Rosca Continua Galvanizado Frio 3/8x1"</t>
  </si>
  <si>
    <t>Tornillo Cabeza Hexagonal  Rosca Continua Galvanizado Frio 3/8 x4"</t>
  </si>
  <si>
    <t>Tornillo Cabeza Hexagonal  Rosca Continua Galvanizado Frio 1x5-1/2"</t>
  </si>
  <si>
    <t>Tornillo Cabeza Hexagonal  Rosca Continua Galvanizado Frio 1/2x 2-1/2"</t>
  </si>
  <si>
    <t>Tornillo Cabeza Hexagonal  Rosca Continua Galvanizado en caliente 5/16x 2-1/2"</t>
  </si>
  <si>
    <t>Tornillo Cabeza Hexagonal  Rosca Continua Galvanizado en caliente 3/8x1"</t>
  </si>
  <si>
    <t>Tornillo Cabeza Hexagonal  Rosca Continua Galvanizado en caliente 3/4x4"</t>
  </si>
  <si>
    <t>Tornillo Cabeza Hexagonal  Rosca Continua Galvanizado en caliente 1/4x5/8"</t>
  </si>
  <si>
    <t>Tornillo Cabeza Hexagonal  Rosca Continua Galvanizado en caliente 1/4x1"</t>
  </si>
  <si>
    <t>Tornillo Cabeza Hexagonal Rosca Continua Inox 304 1/2x1-3/8"</t>
  </si>
  <si>
    <t>Tornillo Cabeza Hexagonal Rosca Continua Inox 304 1/2x1-1/8"</t>
  </si>
  <si>
    <t>Tornillo Cabeza Hexagonal Rosca Continua Inox 304 1/2x1"</t>
  </si>
  <si>
    <t>Tornillo Cabeza Hexagonal  Cuello Inox 304 3/8x6"</t>
  </si>
  <si>
    <t>Tornillo Cabeza Hexagonal  Cuello Inox 304 3/8x1-1/2"</t>
  </si>
  <si>
    <t>Tornillo Cabeza Hexagonal  Cuello Inox 304 5/8x3-1/2"</t>
  </si>
  <si>
    <t>Tornillo Cabeza Hexagonal  Cuello Inox 304 7/16x2"</t>
  </si>
  <si>
    <t>Tornillo Cabeza Hexagonal  Cuello Inox 304 7/16x3"</t>
  </si>
  <si>
    <t>Tornillo Cabeza Hexagonal  Cuello Inox 304 1/4x2"</t>
  </si>
  <si>
    <t>OC-02799</t>
  </si>
  <si>
    <t>Tornillo Cabeza Hexagonal  Cuello Inox 304 1/4x1-1/4"</t>
  </si>
  <si>
    <t>Tornillo Cabeza Hexagonal  Cuello Inox 304 1/4x1-1/2"</t>
  </si>
  <si>
    <t>Tornillo Cabeza Hexagonal  Cuello Inox 304 1/4x1"</t>
  </si>
  <si>
    <t>Tornillo Cabeza Hexagonal  Cuello Inox 304 1/2x5"</t>
  </si>
  <si>
    <t>Tornillo Cabeza Hexagonal  Cuello Inox 304 1/2x3-1/2"</t>
  </si>
  <si>
    <t>Tornillo Cabeza Hexagonal  Cuello Inox 304 1/2x2"</t>
  </si>
  <si>
    <t>Tornillo Cabeza Hexagonal  Cuello Inox 304 1/2x1-1/8"</t>
  </si>
  <si>
    <t>Tubo AC SCH 40 1-1/2"</t>
  </si>
  <si>
    <t>Unidad x 6 metros</t>
  </si>
  <si>
    <t>Tubo CPVC RDE 11 1-1/2"x6MT</t>
  </si>
  <si>
    <t>RDE 11</t>
  </si>
  <si>
    <t>Tubo Inox 304 SCH 10 1/2"x6MT</t>
  </si>
  <si>
    <t>Tubo PVC Conduit Extrafuerte SCH 40 (gris) 1/2"x3MT</t>
  </si>
  <si>
    <t>OC-02340</t>
  </si>
  <si>
    <t>Tubo PVC Conduit Extrafuerte SCH 40 (gris) 3/4"x3MT</t>
  </si>
  <si>
    <t>Tubo PVC Conduit (verde) 1"x3MT</t>
  </si>
  <si>
    <t>Tubo PVC Conduit (verde) 3/4"x3MT</t>
  </si>
  <si>
    <t>OC-01834</t>
  </si>
  <si>
    <t>Tubo PVC Presion RDE 13.5 - 1/2"x6MT</t>
  </si>
  <si>
    <t>RDE 13.5</t>
  </si>
  <si>
    <t>Tubo PVC Presion RDE 21 -  2 1/2"x6MT</t>
  </si>
  <si>
    <t>RDE 21</t>
  </si>
  <si>
    <t>Tubo PVC Presion RDE 21 -  2"x6MT</t>
  </si>
  <si>
    <t>Tubo PVC Presion RDE 21 - 1 1/ 2"x6MT</t>
  </si>
  <si>
    <t>Tubo PVC Presion RDE 21 - 1 1/4"x6MT</t>
  </si>
  <si>
    <t>Tubo PVC Presion RDE 21 - 3"x6MT</t>
  </si>
  <si>
    <t>Tubo PVC Presion RDE21 - 3/4"x6MT</t>
  </si>
  <si>
    <t>Tubo PVC Presion RDE 21 - 4"x6MT</t>
  </si>
  <si>
    <t>Tubo PVC Presion RDE 21 - 6"x6MT</t>
  </si>
  <si>
    <t>Tubo PVC Sanitario 6"x6MT</t>
  </si>
  <si>
    <t>Tuerca AC 7/8"</t>
  </si>
  <si>
    <t>Tuerca Hexagonal Galvanizado en caliente 1-1/8"</t>
  </si>
  <si>
    <t>Tuerca Hexagonal Galvanizado en caliente 1"</t>
  </si>
  <si>
    <t>Tuerca Hexagonal Galvanizado en caliente 1/2"</t>
  </si>
  <si>
    <t>OC-03010</t>
  </si>
  <si>
    <t>Tuerca Hexagonal Galvanizado Frio 1-1/8"</t>
  </si>
  <si>
    <t>Tuerca Galvanizado 13/16"</t>
  </si>
  <si>
    <t xml:space="preserve">Tuerca Hexagonal Galvanizado en caliente 3/4" </t>
  </si>
  <si>
    <t xml:space="preserve">Tuerca Hexagonal Galvanizado en caliente 5/8" </t>
  </si>
  <si>
    <t xml:space="preserve">Tuerca Hexagonal Galvanizado en caliente 7/8" </t>
  </si>
  <si>
    <t>Tuerca Hexagonal De Seguridad Inox 304 1/4"</t>
  </si>
  <si>
    <t>Tuerca Hexagonal Galvanizado Frio 3/4"</t>
  </si>
  <si>
    <t>Tuerca Hexagonal Galvanizado Frio 5/8"</t>
  </si>
  <si>
    <t>Tuerca Hexagonal Inox 304 1-1/16"</t>
  </si>
  <si>
    <t>Tuerca Hexagonal Inox 304 1-1/8"</t>
  </si>
  <si>
    <t>Tuerca Hexagonal Inox 304 1"</t>
  </si>
  <si>
    <t>Tuerca Hexagonal Inox 304 1/4"</t>
  </si>
  <si>
    <t>OC-00143</t>
  </si>
  <si>
    <t>Tuerca Inox 1"</t>
  </si>
  <si>
    <t>Tuerca Hexagonal Inox 304 5/8"</t>
  </si>
  <si>
    <t>Tuerca Hexagonal Inox 304 7/8"</t>
  </si>
  <si>
    <t>Tuerca Inox A2 - 70 1"</t>
  </si>
  <si>
    <t>Unión HI Temp 2" CPVC</t>
  </si>
  <si>
    <t>Union lisa CPVC SCH 40 (Ultratemp)1"</t>
  </si>
  <si>
    <t>Union lisa CPVC SCH 40 (Ultratemp)1/2"</t>
  </si>
  <si>
    <t>Union lisa CPVC SCH 40 (Ultratemp)1-1/2"</t>
  </si>
  <si>
    <t>Union lisa CPVC SCH 40 (Ultratemp) 3"</t>
  </si>
  <si>
    <t>validando Omar especificaciones</t>
  </si>
  <si>
    <t>Union lisa CPVC SCH 40 (Ultratemp) 4"</t>
  </si>
  <si>
    <t>Union lisa PP azul 20x20</t>
  </si>
  <si>
    <t>Union lisa PP azul 32x32</t>
  </si>
  <si>
    <t>OC-02413</t>
  </si>
  <si>
    <t>Union lisa PP verde 20x20</t>
  </si>
  <si>
    <t>Union lisa PVC presion SCH 80 1"</t>
  </si>
  <si>
    <t>Union lisa PVC presion SCH 80 1/2"</t>
  </si>
  <si>
    <t>Union lisa PVC presion SCH 80 1-1/2"</t>
  </si>
  <si>
    <t>Union lisa PVC presion SCH 80 6"</t>
  </si>
  <si>
    <t>Union lisa PVC presion SCH 40 1"</t>
  </si>
  <si>
    <t>Union lisa PVC presion SCH 40 1/2"</t>
  </si>
  <si>
    <t>Union lisa PVC presion SCH 40 1-1/2"</t>
  </si>
  <si>
    <t>Union lisa PVC presion SCH 40 1-1/4"</t>
  </si>
  <si>
    <t>Union lisa PVC presion SCH 40 2"</t>
  </si>
  <si>
    <t>Union lisa PVC presion SCH 40 3/4"</t>
  </si>
  <si>
    <t>Union lisa PVC presion SCH 40 4"</t>
  </si>
  <si>
    <t>Union lisa PVC presion SCH 40 6"</t>
  </si>
  <si>
    <t>Union lisa PVC presion soldar 3"</t>
  </si>
  <si>
    <t>Union lisa PVC sanitario  8"</t>
  </si>
  <si>
    <t>Union roscada AC SCH 40 1-1/2"</t>
  </si>
  <si>
    <t>Union Roscar Galvanizada SCH 40 1/2"</t>
  </si>
  <si>
    <t>OC-00981</t>
  </si>
  <si>
    <t>Union Roscar Galvanizada SCH 40 1/4"</t>
  </si>
  <si>
    <t>Union Roscar Galvanizada SCH 40 1-1/2"</t>
  </si>
  <si>
    <t>Union Roscar Galvanizada SCH 40 1-1/4"</t>
  </si>
  <si>
    <t>Union Roscar Galvanizada SCH 40 2"</t>
  </si>
  <si>
    <t>Union Roscar Galvanizada SCH 40 2-1/2"</t>
  </si>
  <si>
    <t>OC-00710</t>
  </si>
  <si>
    <t>Union Roscar Galvanizada SCH 40 3/4"</t>
  </si>
  <si>
    <t>Union roscar Inox 304  150 L 2"</t>
  </si>
  <si>
    <t>Union roscar Inox 304 150 L 1"</t>
  </si>
  <si>
    <t>Union roscar Inox 304 150 L 1/2"</t>
  </si>
  <si>
    <t>Union roscar Inox 304 150 L 1-1/2"</t>
  </si>
  <si>
    <t>Union roscar Inox 304 150 L 1-1/4"</t>
  </si>
  <si>
    <t>Union roscar Inox 304 150 L 2-1/2"</t>
  </si>
  <si>
    <t>Union roscar Inox 304 150 L 3/4"</t>
  </si>
  <si>
    <t>Union roscada PP 1"</t>
  </si>
  <si>
    <t>Union roscada PP azul 20</t>
  </si>
  <si>
    <t>Union roscada PP Verde 20</t>
  </si>
  <si>
    <t>Union roscada PVC presion SCH 80 1-1/2"</t>
  </si>
  <si>
    <t>Union roscada PVC presion SCH 40 1"</t>
  </si>
  <si>
    <t>Union roscada PVC presion SCH 40 1-1/2"</t>
  </si>
  <si>
    <t>Universal  lisa PVC presion SCH 80 1-1/4"</t>
  </si>
  <si>
    <t>Universal  lisa PVC presion SCH 40 1/2"</t>
  </si>
  <si>
    <t>Universal  lisa PVC presion SCH 40 1-1/4"</t>
  </si>
  <si>
    <t>Universal  lisa PVC presion soldar 3"</t>
  </si>
  <si>
    <t>Universal lisa  PVC presion SCH 80 1"</t>
  </si>
  <si>
    <t>Universal lisa  PVC presion SCH 40 1"</t>
  </si>
  <si>
    <t>Universal lisa PVC presion SCH 80 1/2"</t>
  </si>
  <si>
    <t>Universal lisa PVC presion SCH 80 1-1/2"</t>
  </si>
  <si>
    <t>Universal lisa PVC presion SCH 40 1-1/2"</t>
  </si>
  <si>
    <t>Universal lisa PVC presion SCH 40 2"</t>
  </si>
  <si>
    <t>Universal lisa PVC presion SCH 40 2-1/2"</t>
  </si>
  <si>
    <t>OC-02376</t>
  </si>
  <si>
    <t>Universal lisa PVC presion SCH 40 3/4"</t>
  </si>
  <si>
    <t>Universal PP  azul 20</t>
  </si>
  <si>
    <t>Universal PP  azul 32</t>
  </si>
  <si>
    <t>Universal PP  verde 20</t>
  </si>
  <si>
    <t>Universal Roscar Inox 304  150 L 1-1/4"</t>
  </si>
  <si>
    <t>Universal Roscar Inox 304 150 L 1"</t>
  </si>
  <si>
    <t>Universal Roscar Inox 304 150 L 1/2"</t>
  </si>
  <si>
    <t>Universal Roscar Inox 304  150 L 1/4"</t>
  </si>
  <si>
    <t>Universal Roscar Inox 304 150 L 1-1/2"</t>
  </si>
  <si>
    <t>OC-01667</t>
  </si>
  <si>
    <t>Universal Roscar Inox 304 150 L 2"</t>
  </si>
  <si>
    <t>Universal Roscar Inox 304 150 L 3/4"</t>
  </si>
  <si>
    <t>Universal roscada PVC presion SCH 40 1"</t>
  </si>
  <si>
    <t>Universal roscada PVC presion SCH 40 1/2"</t>
  </si>
  <si>
    <t>Universal roscada PVC presion SCH 40 2-1/2"</t>
  </si>
  <si>
    <t>Universal Roscar Galvanizada SCH 40 1"</t>
  </si>
  <si>
    <t>Universal Roscar Galvanizada SCH 40 1/2"</t>
  </si>
  <si>
    <t>OC-01185</t>
  </si>
  <si>
    <t>Universal Roscar Galvanizada SCH 40 1-1/2"</t>
  </si>
  <si>
    <t>Universal Roscar Galvanizada SCH 40 1-1/4"</t>
  </si>
  <si>
    <t>Universal Roscar Galvanizada SCH 40 2"</t>
  </si>
  <si>
    <t>Universal Roscar Galvanizada SCH 40 2-1/2"</t>
  </si>
  <si>
    <t>OC-01146</t>
  </si>
  <si>
    <t>Valvula  globo bronce 3/4" Pegler</t>
  </si>
  <si>
    <t>Valvula alivio bronce 1- 1/2x1-1/2" Safety</t>
  </si>
  <si>
    <t>Valvula alivio bronce 1- 1/2x1-1/2" Malgorani</t>
  </si>
  <si>
    <t>Niquelada</t>
  </si>
  <si>
    <t>Valvula alivio bronce 1/2x1/2" Safety</t>
  </si>
  <si>
    <t>Valvula alivio bronce 1x1" Safety</t>
  </si>
  <si>
    <t>Valvula alivio bronce 2x2" Helbert</t>
  </si>
  <si>
    <t>Valvula alivio Inox 316 1/2x1" Safety 150 PSI</t>
  </si>
  <si>
    <t>Valvula compuerta PL  bronce 1-1/2" RW</t>
  </si>
  <si>
    <t>Valvula compuerta PL bronce 1" RW</t>
  </si>
  <si>
    <t>Valvula compuerta PL bronce 1"Double-lin</t>
  </si>
  <si>
    <t>SE PONE EL PRECIO DE UNA JAGUAR PARA EFECTOS DE VALORIZACIÓN</t>
  </si>
  <si>
    <t>Valvula compuerta PL bronce 1" Italy</t>
  </si>
  <si>
    <t>Valvula compuerta PL bronce 1" Napoli</t>
  </si>
  <si>
    <t>Valvula compuerta PL bronce 1/2" RW</t>
  </si>
  <si>
    <t>Valvula compuerta PL bronce 1/4" (sin marca)</t>
  </si>
  <si>
    <t>Valvula compuerta PL bronce 1-1/4" Double-lin</t>
  </si>
  <si>
    <t>Valvula compuerta PL bronce 2" Double-lin</t>
  </si>
  <si>
    <t>OC-03217</t>
  </si>
  <si>
    <t>Valvula compuerta PL bronce 2" Toyo-RW</t>
  </si>
  <si>
    <t>Valvula compuerta PL bronce 2-1/2" Double-lin</t>
  </si>
  <si>
    <t>OC-00254</t>
  </si>
  <si>
    <t>Valvula compuerta PL bronce 3 " Italy</t>
  </si>
  <si>
    <t>PO00190</t>
  </si>
  <si>
    <t>Valvula compuerta PL bronce 3/4" Double-lin</t>
  </si>
  <si>
    <t>Valvula compuerta PL bronce 3/4" RW</t>
  </si>
  <si>
    <t>Valvula de bola  PP azul 20 mm  PN 25</t>
  </si>
  <si>
    <t>Valvula de bola  PP azul 32 mm PN 25</t>
  </si>
  <si>
    <t>Valvula de bola  PP verde 20 mm PN 25</t>
  </si>
  <si>
    <t>Valvula de bola doble roscada PVC presion SCH 40 2"</t>
  </si>
  <si>
    <t>Valvula de bola doble universal lisa PVC presion SCH 40 1" (Hayward)</t>
  </si>
  <si>
    <t>OC-02508</t>
  </si>
  <si>
    <t>Valvula de bola doble universal lisa/rosca  PVC presion SCH 40 1" (GF)</t>
  </si>
  <si>
    <t>Valvula de bola doble Universal PVC presion SCH 40 1"</t>
  </si>
  <si>
    <t>Valvula de bola doble Universal PVC presion SCH 40 1/2"</t>
  </si>
  <si>
    <t>Valvula de bola doble Universal PVC presion SCH 40 1/2" Tecnoplastic</t>
  </si>
  <si>
    <t>Valvula de bola doble Universal PVC presion SCH 40 1-1/2"</t>
  </si>
  <si>
    <t>OC-02807</t>
  </si>
  <si>
    <t>Valvula de bola doble Universal PVC presion SCH 40 1-1/2" sello en EPDM</t>
  </si>
  <si>
    <t>Cotización Items Tecnología 34627</t>
  </si>
  <si>
    <t>Valvula de bola doble Universal PVC presion SCH 40 1-1/2" Tecnoplastic</t>
  </si>
  <si>
    <t>Valvula de bola doble Universal PVC presion SCH 40 1-1/4"</t>
  </si>
  <si>
    <t>Valvula de bola doble Universal PVC presion SCH 40 2"</t>
  </si>
  <si>
    <t>Valvula de bola doble Universal PVC presion SCH 40 2" Tecnoplastic</t>
  </si>
  <si>
    <t>Valvula de bola doble Universal PVC presion SCH 40 3/4"</t>
  </si>
  <si>
    <t>Valvula de bola doble Universal PVC presion SCH 40 3/4" Tecnoplastic</t>
  </si>
  <si>
    <t>Valvula de bola Inox 316 1/4" 1000 PSI SIO</t>
  </si>
  <si>
    <t>1000 PSI</t>
  </si>
  <si>
    <t>Valvula de bola Inox 316 3/4" 1000 PSI SIO</t>
  </si>
  <si>
    <t>OC-00214</t>
  </si>
  <si>
    <t>SE PONE EL MISMO VALOR INDEPENDIENTE DE LA MARCA PARA EFECTOS DE VALORIZACIÓN</t>
  </si>
  <si>
    <t>Valvula de bola Inox 316 3/4" 1000 PSI Val-Valve</t>
  </si>
  <si>
    <t>Valvula de bola Inox 316 3/8" 1000 PSI WT</t>
  </si>
  <si>
    <t>Valvula de bola rosca bronce 1"  PN30 Italy</t>
  </si>
  <si>
    <t>OC-02263</t>
  </si>
  <si>
    <t>Valvula de bola rosca Br/Cr  1"  PN40 Italy</t>
  </si>
  <si>
    <t>Bronce Cromado</t>
  </si>
  <si>
    <t>Valvula de bola rosca  bronce  1/2"  PN25 Double-Lin</t>
  </si>
  <si>
    <t xml:space="preserve">Valvula de bola rosca  bronce 1/2"  PN30 Italy </t>
  </si>
  <si>
    <t>Valvula de bola rosca  Br/Cr 1/2"  PN40 Italy</t>
  </si>
  <si>
    <t xml:space="preserve">Valvula de bola rosca  Br/Cr 1/4"  PN40 Italy </t>
  </si>
  <si>
    <t>OC-024706</t>
  </si>
  <si>
    <t>Valvula de bola rosca  bronce 1-1/2"  PN25 Double-Lin</t>
  </si>
  <si>
    <t xml:space="preserve">Valvula de bola rosca  Br/Cr 1-1/2"  PN40 Italy </t>
  </si>
  <si>
    <t>Valvula de bola rosca bronce 1-1/2"  PN40 Italy</t>
  </si>
  <si>
    <t>Valvula de bola rosca mixta H/M bronce 3/4"  PN40 Italy</t>
  </si>
  <si>
    <t>Valvula de bola rosca Inox 304 3" 1000 PSI WT</t>
  </si>
  <si>
    <t>Valvula de bola rosca Inox 316 1" 1000 PSI WT</t>
  </si>
  <si>
    <t>OC-02409</t>
  </si>
  <si>
    <t>Valvula de bola rosca Inox 316 1" 1000 PSI Magna</t>
  </si>
  <si>
    <t>Valvula de bola rosca Inox 316 1" 1000 PSI SIO</t>
  </si>
  <si>
    <t>Valvula de bola rosca Inox 316 1" 1000 PSI Neptune</t>
  </si>
  <si>
    <t>Valvula de bola rosca Inox 316 1/2" 1000 PSI Magna</t>
  </si>
  <si>
    <t>OC-01206</t>
  </si>
  <si>
    <t>Valvula de bola rosca Inox 316 1/2" 1000 PSI JAS</t>
  </si>
  <si>
    <t>Valvula de bola rosca Inox 316 1/2" 1000 PSI SIO</t>
  </si>
  <si>
    <t>Valvula de bola rosca Inox 316 1-1/2" 1000 PSI Magna</t>
  </si>
  <si>
    <t>Valvula de bola sencila lisa PVC presion SCH 40 1-1/4"</t>
  </si>
  <si>
    <t>Valvula de bola sencilla lisa PVC presion SCH 40 1"</t>
  </si>
  <si>
    <t>Valvula de bola sencilla lisa PVC presion SCH 40 1/2"</t>
  </si>
  <si>
    <t>Valvula de bola sencilla lisa PVC presion SCH 40 1-1/2"</t>
  </si>
  <si>
    <t>Valvula de bola sencilla lisa PVC presion SCH 40 2"</t>
  </si>
  <si>
    <t>Valvula de bola sencilla lisa PVC presion SCH 40 3/4"</t>
  </si>
  <si>
    <t>Valvula de bola sencilla lisa PVC presion SCH 40 3/4" manija larga</t>
  </si>
  <si>
    <t>OC-01816</t>
  </si>
  <si>
    <t>Valvula de bola sencilla rocada PVC presion SCH 40 1-1/4"</t>
  </si>
  <si>
    <t>Valvula de bola sencilla roscada PVC presion SCH 40 1/2"</t>
  </si>
  <si>
    <t>Valvula de bola sencilla roscada PVC presion SCH 40 1-1/2"</t>
  </si>
  <si>
    <t>Valvula de bola sencilla roscada PVC presion SCH 40 2"</t>
  </si>
  <si>
    <t>Valvula de globo Inox 316 1-1/2" 200 PSI MONVA</t>
  </si>
  <si>
    <t>200 PSI</t>
  </si>
  <si>
    <t>Valvula de pie rocadas PVC presion SCH 40 1" Tecnoplastic</t>
  </si>
  <si>
    <t>Valvula diafragma roscada 1/2" GF</t>
  </si>
  <si>
    <t>Valvula globo bronce 1" Pegler</t>
  </si>
  <si>
    <t>OC-02593</t>
  </si>
  <si>
    <t>Valvula globo bronce 1-1/2" RW</t>
  </si>
  <si>
    <t>NO TIENE EL EMPAQUE.  SE LLEVA A APROVECHAMIENTO</t>
  </si>
  <si>
    <t>Valvula globo bronce 1-1/2" Pegler</t>
  </si>
  <si>
    <t>Valvula compuerta PL Inox 316  1" 200 PSI Double-Lin</t>
  </si>
  <si>
    <t>SE PONE EL VALOR INDEPENDIENTE DE LA MARCA PARA EFECTOS DE VALORIZACIÓN</t>
  </si>
  <si>
    <t>Valvula compuerta PL Inox 316  1" 200 PSI SIO</t>
  </si>
  <si>
    <t>Valvula compuerta PL Inox 316  1" 200 PSI Magna</t>
  </si>
  <si>
    <t>Valvula compuerta PL Inox 316  1" 200 PSI volante negro (3) volante rojo (3) (sin marca)</t>
  </si>
  <si>
    <t>Valvulacompuerta PL Inox 316 1/2" 200 PSI SIO</t>
  </si>
  <si>
    <t>Valvulacompuerta PL Inox 316 1/2" 200 PSI Magna</t>
  </si>
  <si>
    <t>Valvulacompuerta PL Inox 316 1/2" 200 PSI (sin marca)</t>
  </si>
  <si>
    <t>OC-01821</t>
  </si>
  <si>
    <t>Valvula compuerta PL Inox 316 1-1/2" 200 PSI Magna</t>
  </si>
  <si>
    <t>OC-02992</t>
  </si>
  <si>
    <t>Valvula compuerta PL Inox 316 1-1/2" 200 PSI SIO</t>
  </si>
  <si>
    <t>Valvula compuerta PL Inox 316 2" 200 PSI Magna</t>
  </si>
  <si>
    <t>Valvula compuerta PL Inox 316 3/4" 200 PSI (sin marca)</t>
  </si>
  <si>
    <t>Valvula pie tipo granada bronce 2-1/2" canastilla plástica Helbert</t>
  </si>
  <si>
    <t>OC-01861</t>
  </si>
  <si>
    <t>Valvula ventosa roscada cinetica K10 BERMAD 1</t>
  </si>
  <si>
    <t>OC-03194</t>
  </si>
  <si>
    <t>Yee PVC Sanitario Reducida 3x2" CxC</t>
  </si>
  <si>
    <t>OC-02831</t>
  </si>
  <si>
    <t>Valvula reguladora presión Br/Cr 2x2 KTS</t>
  </si>
  <si>
    <t>70 PSI</t>
  </si>
  <si>
    <t>OC-00211</t>
  </si>
  <si>
    <t>Manguera PE Blanco 1/2" OD</t>
  </si>
  <si>
    <t>MT</t>
  </si>
  <si>
    <t>OC-03463</t>
  </si>
  <si>
    <t>Manguera PE Blanco 3/8" OD</t>
  </si>
  <si>
    <t>OC-03400</t>
  </si>
  <si>
    <t>Manguera PU Azul 1/2" OD</t>
  </si>
  <si>
    <t>PU (Poliuretano)</t>
  </si>
  <si>
    <t>Manguera PU Azul 10mm OD</t>
  </si>
  <si>
    <t>Manguera PU Azul 12mm OD</t>
  </si>
  <si>
    <t>OC-03320</t>
  </si>
  <si>
    <t>FECHA MOVMIENTO</t>
  </si>
  <si>
    <t>PRECIO_UNITARIO</t>
  </si>
  <si>
    <t>CENTRO DE COSTO</t>
  </si>
  <si>
    <t>FECHA MOVIMIENTO</t>
  </si>
  <si>
    <t>CENTRO DE COSTOS DESTINO</t>
  </si>
  <si>
    <t>COSTO UNIDAD</t>
  </si>
  <si>
    <t>OBSERVACION</t>
  </si>
  <si>
    <t>PARIDAD</t>
  </si>
  <si>
    <t>NP00034 TANQUES DE RESINA ESSITY CAJICA</t>
  </si>
  <si>
    <t>Acople Rápido 1" Polietileno UHMW OPW TIPO F Roscado X UN</t>
  </si>
  <si>
    <t>Acople Rápido 1" Polietileno UHMW OPW TIPO C Roscado X UN</t>
  </si>
  <si>
    <t>Adaptador Hembra 1" PVC SCH 40 - X UN</t>
  </si>
  <si>
    <t>Adaptador Hembra 32 mm x 1" PP - Soldado X UN</t>
  </si>
  <si>
    <t>Adaptador Macho 32 mm x 1" PP - Soldado X UN</t>
  </si>
  <si>
    <t>Adaptador Macho 1" PVC SCH 40  X UN</t>
  </si>
  <si>
    <t>Brida Lisa So Inox 304 3" Clase 150</t>
  </si>
  <si>
    <t>Brida Slip On 3" AISI 304 Class 150 - X UN</t>
  </si>
  <si>
    <t>Brida Slip On 2" AISI 304 Class 150 - X UN</t>
  </si>
  <si>
    <t>Brida Lisa So Inox 304 1-1/4" Clase 150</t>
  </si>
  <si>
    <t>Brida Slip On 1 1/4" AISI 304 Class 150 - X UN</t>
  </si>
  <si>
    <t>Brida Lisa So Inox 304 4" Clase 150</t>
  </si>
  <si>
    <t>Brida Slip On 4" AISI 304 Class 150 - X UN</t>
  </si>
  <si>
    <t>Brida Lisa So Inox 304 L 1" Clase 150</t>
  </si>
  <si>
    <t>Brida Slip On 1" AISI 304 Class 150 - X UN</t>
  </si>
  <si>
    <t>Codo 45° Pvc Presion SCH 40 1"</t>
  </si>
  <si>
    <t>Codo 45 1" PVC SCH 40 Soldado X UN</t>
  </si>
  <si>
    <t>Codo 45 Radio Largo 1" AISI 304 SCH 10 Soldado X UN</t>
  </si>
  <si>
    <t>Codo 90 1" PVC SCH 40 Soldado X UN</t>
  </si>
  <si>
    <t>Codo 90 32 mm PP - Soldado X UN</t>
  </si>
  <si>
    <t>Codo 90 Radio Largo 3" AISI 304 SCH 10 Soldado X UN</t>
  </si>
  <si>
    <t>Codo 90 Radio Largo 1/2" AISI 304 SCH 10 Soldado X UN</t>
  </si>
  <si>
    <t>Codo 90 Radio Largo 2" AISI 304 SCH 10 Soldado X UN</t>
  </si>
  <si>
    <t>Empaque 4" TEFLÓN e=1/8" - X UN</t>
  </si>
  <si>
    <t>Niple 2" x 100 mm LONG AISI 304 SCH 40 Roscado X UN</t>
  </si>
  <si>
    <t>Niple 1 1/4" x 100 mm LONG AISI 304 SCH 40 Roscado X UN</t>
  </si>
  <si>
    <t>Niple 3" x 150 mm LONG AISI 304 SCH 40 Roscado X UN</t>
  </si>
  <si>
    <t>Niple 1" x 100 mm LONG AISI 304 SCH 40 Roscado X UN</t>
  </si>
  <si>
    <t>Reducción 1 1/4" x 1" AISI 304 SCH 10 Soldado X UN</t>
  </si>
  <si>
    <t>Reducción 3" x 2" AISI 304 SCH 10 Soldado X UN</t>
  </si>
  <si>
    <t>Reducción 2" x 1" AISI 304 SCH 10 Soldado X UN</t>
  </si>
  <si>
    <t>Reducción Bushing CE 1" x 1/2" AISI 304 Class 150 Roscado X UN</t>
  </si>
  <si>
    <t>Tee 3" AISI 304 SCH 10 Soldado X UN</t>
  </si>
  <si>
    <t>Tee 1/2" PVC SCH 40 Soldado X UN</t>
  </si>
  <si>
    <t>Tee 1/2" AISI 304 SCH 10 Soldado X UN</t>
  </si>
  <si>
    <t>Tee 1" AISI 304 SCH 10 Soldado X UN</t>
  </si>
  <si>
    <t>Tee 1" PVC SCH 40 Soldado X UN</t>
  </si>
  <si>
    <t>Tubo PP Azul 32mm</t>
  </si>
  <si>
    <t>Tubería AZUL AIRE COMPRIMIDO 32 mm PP SDR 7.4 (PN16) Soldado X m</t>
  </si>
  <si>
    <t>Union roscar inox 304 SCH 40 1/2"</t>
  </si>
  <si>
    <t>Unión 1/2" AISI 304 Class 150 Roscado X UN</t>
  </si>
  <si>
    <t>Unión Universal 1" PVC SCH 40 Soldado X UN</t>
  </si>
  <si>
    <t>Válvula Bola Compacta 32 mm PP SCH 80 Soldado X UN</t>
  </si>
  <si>
    <t>Válvula Bola doble Universal 1/2" PVC SCH 40 Soldado X UN</t>
  </si>
  <si>
    <t>G000001  GENERAL</t>
  </si>
  <si>
    <t>Para TECNOAL, pendiente si se genera nuevo centro de costo o no.</t>
  </si>
  <si>
    <t>Sellador para conexiones fuerza media 36ml</t>
  </si>
  <si>
    <t>NP00037 Mantenimiento Clarificador ARIS</t>
  </si>
  <si>
    <t>SON 5 UNIDADES, PERO 1 SE SACO DE APROVECHAMIENTO</t>
  </si>
  <si>
    <t>NP00038 Reparación Soplador TECNOAL</t>
  </si>
  <si>
    <t>Pendiente aprobación por parte del cliente</t>
  </si>
  <si>
    <t>NP00007 STARnD Sol de Oriente</t>
  </si>
  <si>
    <t>Retira luis Bedoya</t>
  </si>
  <si>
    <t>NP00034 TANQUES DE RESINA FAMILIA ESSITY CAJICÁ</t>
  </si>
  <si>
    <t>EXISTENCIA</t>
  </si>
  <si>
    <t>F. INGRESO</t>
  </si>
  <si>
    <t>INICIAL</t>
  </si>
  <si>
    <t>F.SALIDA1</t>
  </si>
  <si>
    <t>SALIDA1</t>
  </si>
  <si>
    <t>C.COSTO1</t>
  </si>
  <si>
    <t>F.SALIDA2</t>
  </si>
  <si>
    <t>SALIDA2</t>
  </si>
  <si>
    <t>C.COSTO2</t>
  </si>
  <si>
    <t>F.SALIDA3</t>
  </si>
  <si>
    <t>SALIDA3</t>
  </si>
  <si>
    <t>C.COSTO3</t>
  </si>
  <si>
    <t>Tubo PVC Sanitario - 3" X Metro</t>
  </si>
  <si>
    <t>Tubo PVC Presion SCH 80 - 2"  X Metro</t>
  </si>
  <si>
    <t>RETIRALUIS BEDOYA</t>
  </si>
  <si>
    <t>Tubo PVC Sanitario 6" X Metro</t>
  </si>
  <si>
    <t>Tubo PVC Presion RDE 21 -  6" X Metro</t>
  </si>
  <si>
    <t>Tubo CPVC RDE 11 1/2" X Metro</t>
  </si>
  <si>
    <t>RETIRO LUIS BEDOYA</t>
  </si>
  <si>
    <t>Tubo CPVC RDE 11 1-1/4" X Metro</t>
  </si>
  <si>
    <t>OC-00243</t>
  </si>
  <si>
    <t>Tubo CPVC RDE 11 2" X Metro</t>
  </si>
  <si>
    <t>Tubo Inox 304 SCH 10 1/2"X Metro</t>
  </si>
  <si>
    <t>SCH10</t>
  </si>
  <si>
    <t>Tubo INOX 304 SCH 10 - 6"  X Metro</t>
  </si>
  <si>
    <t>Tubo PVC Presion RDE 11 -  3/4" X Metro</t>
  </si>
  <si>
    <t>Tubo PVC Presion RDE 13.5 - 1/2"  X Metro</t>
  </si>
  <si>
    <t>Tubo PVC Presion RDE 21 -  1 -1/2" X Metro</t>
  </si>
  <si>
    <t>Tubo PVC Presion RDE 21 -  1" X Metro</t>
  </si>
  <si>
    <t>Tubo PVC Presion RDE 21 -  2 1/2" X Metro</t>
  </si>
  <si>
    <t>Tubo PVC Presion RDE 21 -  3" X Metro</t>
  </si>
  <si>
    <t>Tubo PVC Presion RDE 21 -  3/4" X Metro</t>
  </si>
  <si>
    <t>Tubo PVC Presion RDE 21 -  4" X Metro</t>
  </si>
  <si>
    <t>Tubo PVC Presion RDE 9 -  1/2" X Metro</t>
  </si>
  <si>
    <t>RDE 9</t>
  </si>
  <si>
    <t>Tubo PVC Presion RDE 9 - 1/2"  X Metro</t>
  </si>
  <si>
    <t>Tubo PVC Presion SCH 80 3/4"</t>
  </si>
  <si>
    <t>OC-03220</t>
  </si>
  <si>
    <t>Tubo PVC Presion SCH 80 - 1 1/2"  X Metro</t>
  </si>
  <si>
    <t>Tubo PVC Presion SCH 80 - 1 1/2" X Metro</t>
  </si>
  <si>
    <t>Tubo PVC Presion SCH 80 - 1"  X Metro</t>
  </si>
  <si>
    <t>Tubo PVC Presion SCH 80 - 1/2" X Metro</t>
  </si>
  <si>
    <t>Tubo PVC Presion SCH 80 - 3"  X Metro</t>
  </si>
  <si>
    <t>SDR 7.4 (PN16)</t>
  </si>
  <si>
    <t>Manguera PVC Transparente Con Refuerzo en Acero 1 1/2"</t>
  </si>
  <si>
    <t>PVC</t>
  </si>
  <si>
    <t>OC-03340</t>
  </si>
  <si>
    <t>Manguera PVC Transparente Con Refuerzo en Acero 1"</t>
  </si>
  <si>
    <t>Manguera PVC Transparente Con Refuerzo en Acero 1/2"</t>
  </si>
  <si>
    <t>Manguera PVC Transparente Con Refuerzo en Acero 2"</t>
  </si>
  <si>
    <t>Manguera PVC Transparente Con Refuerzo en Acero 4"</t>
  </si>
  <si>
    <t>OC-01243</t>
  </si>
  <si>
    <t>Coraza Americana Flexible 1 1/2"</t>
  </si>
  <si>
    <t>PVC Y GALVANIZADO</t>
  </si>
  <si>
    <t>Coraza Americana Flexible 1"</t>
  </si>
  <si>
    <t>OC-03522</t>
  </si>
  <si>
    <t>Coraza Americana Flexible 1/2"</t>
  </si>
  <si>
    <t>Coraza Americana Flexible 3/4"</t>
  </si>
  <si>
    <t>OC-03326</t>
  </si>
  <si>
    <t>Manguera Amarilla Caucho Y Lona 300bar 2"</t>
  </si>
  <si>
    <t>CAUCHO</t>
  </si>
  <si>
    <t>Manguera Jardineria 1/2"</t>
  </si>
  <si>
    <t>Manguera PE Blanco 6mm OD</t>
  </si>
  <si>
    <t>Manguera PU Azul 6mm OD</t>
  </si>
  <si>
    <t>Cotización 901395622 (Tecnifluidos)</t>
  </si>
  <si>
    <t>Manguera PU Azul 8mm OD</t>
  </si>
  <si>
    <t>OC-03424</t>
  </si>
  <si>
    <t>Tubo 2" INOX 304 SCH 10 Soldar - X Metro</t>
  </si>
  <si>
    <t>INOX 304</t>
  </si>
  <si>
    <t>Valvula de bola Inox 316 1/4" (Aire comprimido) (sin marca)</t>
  </si>
  <si>
    <t>Unidad</t>
  </si>
  <si>
    <t>COSTEO_POR_UNIDAD</t>
  </si>
  <si>
    <t>Chazo Expansion Galvanizado Frio 1/2x2-1/2"</t>
  </si>
  <si>
    <t>Chazo Expansion Galvanizado Frio 5/8x3-1/2"</t>
  </si>
  <si>
    <t>Chazo Expansion Inox 304 1/2"</t>
  </si>
  <si>
    <t>Codo 90° PVC Sanitario  4" CxC</t>
  </si>
  <si>
    <t>Coraza Americana Flexible 1 1/2"x3MT</t>
  </si>
  <si>
    <t>Coraza Americana Flexible 1"x3MT</t>
  </si>
  <si>
    <t>Coraza Americana Flexible 1/2"x3MT</t>
  </si>
  <si>
    <t>Coraza Americana Flexible 3/4"x3MT</t>
  </si>
  <si>
    <t>Niple Roscar Inox  304 Sch 40 1/4"x 10 Cm</t>
  </si>
  <si>
    <t>Tapon Liso PVC Presion SCH 80 1"</t>
  </si>
  <si>
    <t>Tornillo Inox 1/4x1-1/4"</t>
  </si>
  <si>
    <t>Tornillo Inox 1/2x1"</t>
  </si>
  <si>
    <t>Tornillo Cabeza Hexagonal  Cuello Inox 304 1/2x1-1/4"</t>
  </si>
  <si>
    <t>Tornillo Cabeza Hexagonal  Cuello Inox 304 1/2x2-1/2"</t>
  </si>
  <si>
    <t>Tornillo Cabeza Hexagonal Rosca Continua Inox 304 2"</t>
  </si>
  <si>
    <t>galvanizado en caliente</t>
  </si>
  <si>
    <t>Tubo CPVC RDE 11 1/2"xMT</t>
  </si>
  <si>
    <t>Tubo CPVC RDE 11 1-1/4"xMT</t>
  </si>
  <si>
    <t>Tubo CPVC RDE 11 2"xMT</t>
  </si>
  <si>
    <t>Tubo Inox 304 SCH 10  6"xMT</t>
  </si>
  <si>
    <t>Tubo PVC Presion RDE 11 - 3/4"xMT</t>
  </si>
  <si>
    <t>Tubo PVC Presion RDE 13.5 - 1/2"xMT</t>
  </si>
  <si>
    <t>Tubo PVC Presion RDE 21 - 1"xMT</t>
  </si>
  <si>
    <t>Tubo PVC Presion RDE 21 -  6"xMT</t>
  </si>
  <si>
    <t>Tubo PVC Presion RDE 9 -  1/2"xMT</t>
  </si>
  <si>
    <t>Tubo PVC Presion SCH 80 1 1/2"xMT</t>
  </si>
  <si>
    <t>Tubo PVC Presion SCH 80 1/2"xMT</t>
  </si>
  <si>
    <t>Tubo PVC Presion SCH 80 3"xMT</t>
  </si>
  <si>
    <t>Tubo PVC Sanitario 6"xMT</t>
  </si>
  <si>
    <t>Tuerca Hexagonal Galvanizado en caliente 1-1/2"</t>
  </si>
  <si>
    <t>CC</t>
  </si>
  <si>
    <t>DESCRIPCION</t>
  </si>
  <si>
    <t>CLIENTE</t>
  </si>
  <si>
    <t>CONCATENADO</t>
  </si>
  <si>
    <t>NP00007</t>
  </si>
  <si>
    <t>STARnD</t>
  </si>
  <si>
    <t>Sol de Oriente</t>
  </si>
  <si>
    <t>NP00033</t>
  </si>
  <si>
    <t>D'VIDA</t>
  </si>
  <si>
    <t>NP00034</t>
  </si>
  <si>
    <t>TANQUES DE RESINA</t>
  </si>
  <si>
    <t>FAMILIA ESSITY CAJICÁ</t>
  </si>
  <si>
    <t>NP00036</t>
  </si>
  <si>
    <t>SIST. BOMBEO RCI</t>
  </si>
  <si>
    <t>ARIS MARMATO</t>
  </si>
  <si>
    <t>NP00037</t>
  </si>
  <si>
    <t>Mantenimiento Clarificador ARIS</t>
  </si>
  <si>
    <t>G000002</t>
  </si>
  <si>
    <t>BODEGA ALMACEN PCI</t>
  </si>
  <si>
    <t>RPCI</t>
  </si>
  <si>
    <t>G000001</t>
  </si>
  <si>
    <t xml:space="preserve"> GENERAL</t>
  </si>
  <si>
    <t>APROVECHAMIENTO</t>
  </si>
  <si>
    <t>ADTIVO PCI</t>
  </si>
  <si>
    <t>NP00038</t>
  </si>
  <si>
    <t>Reparación Soplador</t>
  </si>
  <si>
    <t>TECNOAL</t>
  </si>
  <si>
    <t>#</t>
  </si>
  <si>
    <t>Instrucción</t>
  </si>
  <si>
    <t>Link</t>
  </si>
  <si>
    <t>Para cambiar el nombre de los ELEMENTOS use la Hoja "BD"</t>
  </si>
  <si>
    <t>BD!A1</t>
  </si>
  <si>
    <t>La hoja EXISTENCIAS se actualiza automáticamente, sólo es una hoja de consulta de las cantidades y saldos actuales</t>
  </si>
  <si>
    <t>EXISTENCIAS!A1</t>
  </si>
  <si>
    <t>Los centros de costo para que se muestren en el desplegable de las salidas, se debe crear antes en la hoja CC</t>
  </si>
  <si>
    <t>CC'!A1</t>
  </si>
  <si>
    <t>En la hoja de "ENTRADAS", las líneas que se muestren con fondo rojo claro, es porque no tienen elemento asociado en la BD</t>
  </si>
  <si>
    <t>Tips para creación de artícuos.
- Para el Schedule use SCH
- Después de SCH deje un espacio para el número del Schedule
- Para diámetros con numeros mixtos use un guión después del entero y luego la parte fraccionaria sin espacio y luego comillas dobles, por ejemplo 1-1/2"</t>
  </si>
  <si>
    <t>Para Elementos que tienen diámetro y longitud use una "X" para separar las dos dimensiones.  Esta "X" debe ir espaciada antes y después, por ejemplo 1-1/2" X 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</si>
</sst>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$&quot;\ * #,##0.00_-;\-&quot;$&quot;\ * #,##0.00_-;_-&quot;$&quot;\ * &quot;-&quot;??_-;_-@_-"/>
    <numFmt numFmtId="165" formatCode="0.00\ &quot;mts&quot;"/>
    <numFmt numFmtId="166" formatCode="0\ &quot;pares&quot;"/>
    <numFmt numFmtId="167" formatCode="_-&quot;$&quot;\ * #,##0_-;\-&quot;$&quot;\ * #,##0_-;_-&quot;$&quot;\ * &quot;-&quot;??_-;_-@_-"/>
  </numFmts>
  <fonts count="22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b/>
      <sz val="11"/>
      <color theme="1"/>
      <name val="Carlito"/>
    </font>
    <font>
      <b/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u/>
      <sz val="16"/>
      <color theme="10"/>
      <name val="Aptos Narrow"/>
      <family val="2"/>
      <scheme val="minor"/>
    </font>
    <font>
      <b/>
      <sz val="13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BDB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292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/>
    <xf numFmtId="0" fontId="0" fillId="0" borderId="16" xfId="0" applyBorder="1"/>
    <xf numFmtId="0" fontId="0" fillId="0" borderId="10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31" xfId="0" applyBorder="1"/>
    <xf numFmtId="0" fontId="0" fillId="0" borderId="35" xfId="0" applyBorder="1" applyAlignment="1">
      <alignment horizontal="center"/>
    </xf>
    <xf numFmtId="14" fontId="0" fillId="0" borderId="30" xfId="0" applyNumberFormat="1" applyBorder="1" applyAlignment="1">
      <alignment horizontal="center"/>
    </xf>
    <xf numFmtId="0" fontId="0" fillId="0" borderId="36" xfId="0" applyBorder="1"/>
    <xf numFmtId="0" fontId="0" fillId="0" borderId="37" xfId="0" applyBorder="1"/>
    <xf numFmtId="0" fontId="0" fillId="0" borderId="24" xfId="0" applyBorder="1"/>
    <xf numFmtId="14" fontId="0" fillId="0" borderId="14" xfId="0" applyNumberFormat="1" applyBorder="1"/>
    <xf numFmtId="14" fontId="0" fillId="0" borderId="14" xfId="0" applyNumberFormat="1" applyBorder="1" applyAlignment="1">
      <alignment horizontal="center"/>
    </xf>
    <xf numFmtId="0" fontId="0" fillId="0" borderId="38" xfId="0" applyBorder="1"/>
    <xf numFmtId="0" fontId="0" fillId="0" borderId="41" xfId="0" applyBorder="1"/>
    <xf numFmtId="14" fontId="0" fillId="0" borderId="3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42" xfId="0" applyBorder="1"/>
    <xf numFmtId="0" fontId="0" fillId="2" borderId="1" xfId="0" applyFill="1" applyBorder="1"/>
    <xf numFmtId="0" fontId="0" fillId="2" borderId="7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16" xfId="0" applyFill="1" applyBorder="1"/>
    <xf numFmtId="165" fontId="0" fillId="0" borderId="0" xfId="0" applyNumberFormat="1"/>
    <xf numFmtId="165" fontId="0" fillId="0" borderId="4" xfId="0" applyNumberFormat="1" applyBorder="1"/>
    <xf numFmtId="165" fontId="0" fillId="0" borderId="1" xfId="0" applyNumberFormat="1" applyBorder="1"/>
    <xf numFmtId="165" fontId="0" fillId="0" borderId="2" xfId="0" applyNumberForma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4" fillId="0" borderId="0" xfId="0" applyFont="1" applyAlignment="1">
      <alignment horizontal="justify" vertical="center"/>
    </xf>
    <xf numFmtId="0" fontId="5" fillId="0" borderId="0" xfId="0" applyFont="1"/>
    <xf numFmtId="164" fontId="0" fillId="0" borderId="0" xfId="1" applyFont="1" applyBorder="1" applyAlignment="1">
      <alignment horizontal="center" shrinkToFit="1"/>
    </xf>
    <xf numFmtId="164" fontId="0" fillId="0" borderId="0" xfId="1" applyFont="1"/>
    <xf numFmtId="164" fontId="0" fillId="0" borderId="0" xfId="0" applyNumberFormat="1"/>
    <xf numFmtId="165" fontId="0" fillId="0" borderId="1" xfId="0" applyNumberFormat="1" applyBorder="1" applyAlignment="1">
      <alignment horizontal="right"/>
    </xf>
    <xf numFmtId="0" fontId="0" fillId="0" borderId="18" xfId="0" applyBorder="1"/>
    <xf numFmtId="0" fontId="0" fillId="0" borderId="23" xfId="0" applyBorder="1"/>
    <xf numFmtId="166" fontId="0" fillId="2" borderId="4" xfId="0" applyNumberFormat="1" applyFill="1" applyBorder="1"/>
    <xf numFmtId="166" fontId="0" fillId="0" borderId="1" xfId="0" applyNumberFormat="1" applyBorder="1"/>
    <xf numFmtId="166" fontId="0" fillId="2" borderId="1" xfId="0" applyNumberFormat="1" applyFill="1" applyBorder="1"/>
    <xf numFmtId="166" fontId="0" fillId="2" borderId="2" xfId="0" applyNumberFormat="1" applyFill="1" applyBorder="1"/>
    <xf numFmtId="166" fontId="0" fillId="0" borderId="4" xfId="0" applyNumberFormat="1" applyBorder="1"/>
    <xf numFmtId="166" fontId="0" fillId="0" borderId="2" xfId="0" applyNumberFormat="1" applyBorder="1"/>
    <xf numFmtId="166" fontId="0" fillId="0" borderId="0" xfId="0" applyNumberFormat="1"/>
    <xf numFmtId="0" fontId="0" fillId="0" borderId="49" xfId="0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2" borderId="51" xfId="0" applyFill="1" applyBorder="1"/>
    <xf numFmtId="0" fontId="0" fillId="0" borderId="55" xfId="0" applyBorder="1"/>
    <xf numFmtId="0" fontId="0" fillId="0" borderId="56" xfId="0" applyBorder="1"/>
    <xf numFmtId="0" fontId="0" fillId="2" borderId="50" xfId="0" applyFill="1" applyBorder="1"/>
    <xf numFmtId="0" fontId="0" fillId="2" borderId="52" xfId="0" applyFill="1" applyBorder="1"/>
    <xf numFmtId="164" fontId="0" fillId="0" borderId="1" xfId="1" applyFont="1" applyBorder="1" applyAlignment="1">
      <alignment horizontal="center" shrinkToFit="1"/>
    </xf>
    <xf numFmtId="0" fontId="0" fillId="0" borderId="1" xfId="0" applyBorder="1" applyAlignment="1">
      <alignment horizontal="center"/>
    </xf>
    <xf numFmtId="164" fontId="0" fillId="0" borderId="1" xfId="1" applyFont="1" applyBorder="1"/>
    <xf numFmtId="164" fontId="0" fillId="0" borderId="1" xfId="0" applyNumberFormat="1" applyBorder="1"/>
    <xf numFmtId="0" fontId="0" fillId="2" borderId="19" xfId="0" applyFill="1" applyBorder="1"/>
    <xf numFmtId="166" fontId="0" fillId="0" borderId="43" xfId="0" applyNumberFormat="1" applyBorder="1"/>
    <xf numFmtId="166" fontId="0" fillId="0" borderId="36" xfId="0" applyNumberFormat="1" applyBorder="1"/>
    <xf numFmtId="166" fontId="0" fillId="0" borderId="9" xfId="0" applyNumberFormat="1" applyBorder="1"/>
    <xf numFmtId="0" fontId="0" fillId="3" borderId="1" xfId="0" applyFill="1" applyBorder="1"/>
    <xf numFmtId="0" fontId="0" fillId="3" borderId="51" xfId="0" applyFill="1" applyBorder="1"/>
    <xf numFmtId="164" fontId="0" fillId="3" borderId="1" xfId="1" applyFont="1" applyFill="1" applyBorder="1"/>
    <xf numFmtId="0" fontId="0" fillId="3" borderId="4" xfId="0" applyFill="1" applyBorder="1"/>
    <xf numFmtId="0" fontId="0" fillId="3" borderId="50" xfId="0" applyFill="1" applyBorder="1"/>
    <xf numFmtId="0" fontId="0" fillId="3" borderId="19" xfId="0" applyFill="1" applyBorder="1"/>
    <xf numFmtId="0" fontId="0" fillId="3" borderId="52" xfId="0" applyFill="1" applyBorder="1"/>
    <xf numFmtId="0" fontId="0" fillId="3" borderId="53" xfId="0" applyFill="1" applyBorder="1"/>
    <xf numFmtId="0" fontId="0" fillId="3" borderId="54" xfId="0" applyFill="1" applyBorder="1"/>
    <xf numFmtId="167" fontId="0" fillId="0" borderId="0" xfId="1" applyNumberFormat="1" applyFont="1" applyAlignment="1">
      <alignment wrapText="1"/>
    </xf>
    <xf numFmtId="164" fontId="0" fillId="0" borderId="2" xfId="1" applyFont="1" applyBorder="1"/>
    <xf numFmtId="164" fontId="0" fillId="0" borderId="20" xfId="1" applyFont="1" applyBorder="1"/>
    <xf numFmtId="167" fontId="0" fillId="0" borderId="1" xfId="1" applyNumberFormat="1" applyFont="1" applyBorder="1" applyAlignment="1">
      <alignment wrapText="1"/>
    </xf>
    <xf numFmtId="167" fontId="0" fillId="0" borderId="1" xfId="0" applyNumberFormat="1" applyBorder="1"/>
    <xf numFmtId="0" fontId="0" fillId="3" borderId="2" xfId="0" applyFill="1" applyBorder="1"/>
    <xf numFmtId="0" fontId="0" fillId="3" borderId="9" xfId="0" applyFill="1" applyBorder="1"/>
    <xf numFmtId="0" fontId="0" fillId="3" borderId="20" xfId="0" applyFill="1" applyBorder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4" borderId="9" xfId="0" applyFill="1" applyBorder="1"/>
    <xf numFmtId="0" fontId="0" fillId="4" borderId="31" xfId="0" applyFill="1" applyBorder="1"/>
    <xf numFmtId="0" fontId="0" fillId="4" borderId="19" xfId="0" applyFill="1" applyBorder="1"/>
    <xf numFmtId="0" fontId="0" fillId="4" borderId="36" xfId="0" applyFill="1" applyBorder="1"/>
    <xf numFmtId="0" fontId="0" fillId="4" borderId="42" xfId="0" applyFill="1" applyBorder="1"/>
    <xf numFmtId="0" fontId="0" fillId="5" borderId="19" xfId="0" applyFill="1" applyBorder="1"/>
    <xf numFmtId="0" fontId="0" fillId="5" borderId="0" xfId="0" applyFill="1"/>
    <xf numFmtId="0" fontId="0" fillId="6" borderId="19" xfId="0" applyFill="1" applyBorder="1"/>
    <xf numFmtId="0" fontId="0" fillId="5" borderId="1" xfId="0" applyFill="1" applyBorder="1"/>
    <xf numFmtId="0" fontId="0" fillId="6" borderId="1" xfId="0" applyFill="1" applyBorder="1"/>
    <xf numFmtId="0" fontId="7" fillId="0" borderId="1" xfId="0" applyFont="1" applyBorder="1"/>
    <xf numFmtId="14" fontId="0" fillId="0" borderId="1" xfId="0" applyNumberFormat="1" applyBorder="1"/>
    <xf numFmtId="167" fontId="0" fillId="0" borderId="1" xfId="1" applyNumberFormat="1" applyFont="1" applyFill="1" applyBorder="1" applyAlignment="1">
      <alignment wrapText="1"/>
    </xf>
    <xf numFmtId="0" fontId="7" fillId="4" borderId="1" xfId="0" applyFont="1" applyFill="1" applyBorder="1"/>
    <xf numFmtId="0" fontId="8" fillId="4" borderId="1" xfId="0" applyFont="1" applyFill="1" applyBorder="1"/>
    <xf numFmtId="0" fontId="8" fillId="0" borderId="1" xfId="0" applyFont="1" applyBorder="1"/>
    <xf numFmtId="167" fontId="0" fillId="4" borderId="1" xfId="1" applyNumberFormat="1" applyFont="1" applyFill="1" applyBorder="1" applyAlignment="1">
      <alignment wrapText="1"/>
    </xf>
    <xf numFmtId="167" fontId="0" fillId="6" borderId="1" xfId="1" applyNumberFormat="1" applyFont="1" applyFill="1" applyBorder="1" applyAlignment="1">
      <alignment wrapText="1"/>
    </xf>
    <xf numFmtId="167" fontId="0" fillId="4" borderId="1" xfId="1" applyNumberFormat="1" applyFont="1" applyFill="1" applyBorder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4" borderId="1" xfId="0" applyFill="1" applyBorder="1" applyAlignment="1">
      <alignment vertical="center" wrapText="1"/>
    </xf>
    <xf numFmtId="167" fontId="0" fillId="0" borderId="1" xfId="1" applyNumberFormat="1" applyFont="1" applyBorder="1"/>
    <xf numFmtId="167" fontId="0" fillId="4" borderId="1" xfId="1" applyNumberFormat="1" applyFont="1" applyFill="1" applyBorder="1" applyAlignment="1">
      <alignment vertical="center"/>
    </xf>
    <xf numFmtId="0" fontId="0" fillId="7" borderId="1" xfId="0" applyFill="1" applyBorder="1"/>
    <xf numFmtId="0" fontId="0" fillId="7" borderId="0" xfId="0" applyFill="1"/>
    <xf numFmtId="14" fontId="0" fillId="0" borderId="51" xfId="0" applyNumberFormat="1" applyBorder="1"/>
    <xf numFmtId="14" fontId="0" fillId="0" borderId="51" xfId="0" applyNumberFormat="1" applyBorder="1" applyAlignment="1">
      <alignment wrapText="1"/>
    </xf>
    <xf numFmtId="167" fontId="0" fillId="0" borderId="51" xfId="0" applyNumberFormat="1" applyBorder="1"/>
    <xf numFmtId="0" fontId="0" fillId="7" borderId="51" xfId="0" applyFill="1" applyBorder="1"/>
    <xf numFmtId="14" fontId="0" fillId="4" borderId="51" xfId="0" applyNumberFormat="1" applyFill="1" applyBorder="1"/>
    <xf numFmtId="14" fontId="0" fillId="0" borderId="52" xfId="0" applyNumberFormat="1" applyBorder="1"/>
    <xf numFmtId="14" fontId="0" fillId="0" borderId="54" xfId="0" applyNumberFormat="1" applyBorder="1"/>
    <xf numFmtId="14" fontId="0" fillId="0" borderId="57" xfId="0" applyNumberFormat="1" applyBorder="1"/>
    <xf numFmtId="167" fontId="0" fillId="0" borderId="1" xfId="1" applyNumberFormat="1" applyFont="1" applyBorder="1" applyAlignment="1">
      <alignment vertical="center" wrapText="1"/>
    </xf>
    <xf numFmtId="167" fontId="0" fillId="4" borderId="1" xfId="1" applyNumberFormat="1" applyFont="1" applyFill="1" applyBorder="1" applyAlignment="1">
      <alignment vertical="center" wrapText="1"/>
    </xf>
    <xf numFmtId="167" fontId="0" fillId="0" borderId="1" xfId="1" applyNumberFormat="1" applyFont="1" applyFill="1" applyBorder="1" applyAlignment="1">
      <alignment vertical="center" wrapText="1"/>
    </xf>
    <xf numFmtId="167" fontId="0" fillId="4" borderId="2" xfId="1" applyNumberFormat="1" applyFont="1" applyFill="1" applyBorder="1"/>
    <xf numFmtId="167" fontId="0" fillId="5" borderId="1" xfId="1" applyNumberFormat="1" applyFont="1" applyFill="1" applyBorder="1"/>
    <xf numFmtId="167" fontId="0" fillId="5" borderId="1" xfId="1" applyNumberFormat="1" applyFont="1" applyFill="1" applyBorder="1" applyAlignment="1">
      <alignment wrapText="1"/>
    </xf>
    <xf numFmtId="0" fontId="0" fillId="0" borderId="20" xfId="0" applyBorder="1" applyAlignment="1">
      <alignment horizontal="center"/>
    </xf>
    <xf numFmtId="0" fontId="0" fillId="0" borderId="58" xfId="0" applyBorder="1" applyAlignment="1">
      <alignment horizontal="center"/>
    </xf>
    <xf numFmtId="0" fontId="15" fillId="9" borderId="59" xfId="0" applyFont="1" applyFill="1" applyBorder="1"/>
    <xf numFmtId="0" fontId="15" fillId="9" borderId="1" xfId="0" applyFont="1" applyFill="1" applyBorder="1" applyAlignment="1">
      <alignment horizontal="center"/>
    </xf>
    <xf numFmtId="0" fontId="15" fillId="9" borderId="1" xfId="0" applyFont="1" applyFill="1" applyBorder="1"/>
    <xf numFmtId="164" fontId="0" fillId="0" borderId="1" xfId="1" applyFont="1" applyBorder="1" applyAlignment="1">
      <alignment wrapText="1"/>
    </xf>
    <xf numFmtId="0" fontId="0" fillId="4" borderId="0" xfId="0" applyFill="1"/>
    <xf numFmtId="167" fontId="0" fillId="4" borderId="0" xfId="1" applyNumberFormat="1" applyFont="1" applyFill="1" applyBorder="1"/>
    <xf numFmtId="167" fontId="0" fillId="4" borderId="2" xfId="1" applyNumberFormat="1" applyFont="1" applyFill="1" applyBorder="1" applyAlignment="1">
      <alignment wrapText="1"/>
    </xf>
    <xf numFmtId="167" fontId="0" fillId="4" borderId="0" xfId="1" applyNumberFormat="1" applyFont="1" applyFill="1" applyBorder="1" applyAlignment="1">
      <alignment wrapText="1"/>
    </xf>
    <xf numFmtId="167" fontId="0" fillId="4" borderId="43" xfId="1" applyNumberFormat="1" applyFont="1" applyFill="1" applyBorder="1"/>
    <xf numFmtId="14" fontId="0" fillId="0" borderId="0" xfId="0" applyNumberFormat="1"/>
    <xf numFmtId="0" fontId="8" fillId="10" borderId="1" xfId="0" applyFont="1" applyFill="1" applyBorder="1"/>
    <xf numFmtId="14" fontId="0" fillId="6" borderId="51" xfId="0" applyNumberFormat="1" applyFill="1" applyBorder="1"/>
    <xf numFmtId="0" fontId="0" fillId="6" borderId="0" xfId="0" applyFill="1"/>
    <xf numFmtId="167" fontId="0" fillId="0" borderId="0" xfId="1" applyNumberFormat="1" applyFont="1" applyAlignment="1">
      <alignment vertical="center"/>
    </xf>
    <xf numFmtId="0" fontId="0" fillId="4" borderId="23" xfId="0" applyFill="1" applyBorder="1"/>
    <xf numFmtId="0" fontId="0" fillId="0" borderId="20" xfId="0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14" fontId="0" fillId="0" borderId="51" xfId="0" applyNumberFormat="1" applyBorder="1" applyAlignment="1">
      <alignment vertical="center"/>
    </xf>
    <xf numFmtId="167" fontId="0" fillId="5" borderId="1" xfId="1" applyNumberFormat="1" applyFont="1" applyFill="1" applyBorder="1" applyAlignment="1">
      <alignment vertical="center" wrapText="1"/>
    </xf>
    <xf numFmtId="0" fontId="0" fillId="0" borderId="51" xfId="0" applyBorder="1" applyAlignment="1">
      <alignment vertical="center"/>
    </xf>
    <xf numFmtId="0" fontId="0" fillId="7" borderId="1" xfId="0" applyFill="1" applyBorder="1" applyAlignment="1">
      <alignment vertical="center"/>
    </xf>
    <xf numFmtId="165" fontId="0" fillId="0" borderId="1" xfId="0" applyNumberFormat="1" applyBorder="1" applyAlignment="1">
      <alignment vertical="center"/>
    </xf>
    <xf numFmtId="0" fontId="0" fillId="7" borderId="0" xfId="0" applyFill="1" applyAlignment="1">
      <alignment vertical="center"/>
    </xf>
    <xf numFmtId="14" fontId="0" fillId="0" borderId="1" xfId="0" applyNumberFormat="1" applyBorder="1" applyAlignment="1">
      <alignment vertical="center"/>
    </xf>
    <xf numFmtId="14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0" fontId="1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167" fontId="0" fillId="0" borderId="2" xfId="0" applyNumberFormat="1" applyBorder="1" applyAlignment="1">
      <alignment vertical="center"/>
    </xf>
    <xf numFmtId="167" fontId="0" fillId="0" borderId="0" xfId="1" applyNumberFormat="1" applyFont="1"/>
    <xf numFmtId="14" fontId="0" fillId="6" borderId="52" xfId="0" applyNumberFormat="1" applyFill="1" applyBorder="1"/>
    <xf numFmtId="0" fontId="0" fillId="11" borderId="1" xfId="0" applyFill="1" applyBorder="1"/>
    <xf numFmtId="14" fontId="0" fillId="11" borderId="51" xfId="0" applyNumberFormat="1" applyFill="1" applyBorder="1"/>
    <xf numFmtId="0" fontId="0" fillId="11" borderId="0" xfId="0" applyFill="1"/>
    <xf numFmtId="0" fontId="0" fillId="4" borderId="0" xfId="0" applyFill="1" applyAlignment="1">
      <alignment vertical="center"/>
    </xf>
    <xf numFmtId="0" fontId="0" fillId="4" borderId="2" xfId="0" applyFill="1" applyBorder="1" applyAlignment="1">
      <alignment vertical="center"/>
    </xf>
    <xf numFmtId="0" fontId="0" fillId="0" borderId="0" xfId="0" applyProtection="1"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4" borderId="19" xfId="0" applyFill="1" applyBorder="1" applyAlignment="1" applyProtection="1">
      <alignment vertical="center" wrapText="1"/>
      <protection locked="0"/>
    </xf>
    <xf numFmtId="0" fontId="0" fillId="4" borderId="19" xfId="0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16" fillId="0" borderId="0" xfId="0" applyFont="1" applyProtection="1">
      <protection locked="0"/>
    </xf>
    <xf numFmtId="14" fontId="16" fillId="0" borderId="0" xfId="0" applyNumberFormat="1" applyFont="1" applyProtection="1">
      <protection locked="0"/>
    </xf>
    <xf numFmtId="14" fontId="17" fillId="9" borderId="59" xfId="0" applyNumberFormat="1" applyFont="1" applyFill="1" applyBorder="1"/>
    <xf numFmtId="14" fontId="16" fillId="0" borderId="0" xfId="0" applyNumberFormat="1" applyFont="1"/>
    <xf numFmtId="14" fontId="16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vertical="center"/>
      <protection locked="0"/>
    </xf>
    <xf numFmtId="0" fontId="14" fillId="0" borderId="2" xfId="0" applyFont="1" applyBorder="1" applyAlignment="1" applyProtection="1">
      <alignment vertical="center" wrapText="1"/>
      <protection locked="0"/>
    </xf>
    <xf numFmtId="0" fontId="0" fillId="0" borderId="2" xfId="0" applyBorder="1" applyProtection="1">
      <protection locked="0"/>
    </xf>
    <xf numFmtId="167" fontId="0" fillId="0" borderId="0" xfId="1" applyNumberFormat="1" applyFont="1" applyProtection="1"/>
    <xf numFmtId="167" fontId="0" fillId="0" borderId="1" xfId="1" applyNumberFormat="1" applyFont="1" applyBorder="1" applyProtection="1"/>
    <xf numFmtId="167" fontId="0" fillId="0" borderId="19" xfId="1" applyNumberFormat="1" applyFont="1" applyBorder="1" applyProtection="1"/>
    <xf numFmtId="167" fontId="0" fillId="0" borderId="23" xfId="1" applyNumberFormat="1" applyFont="1" applyBorder="1" applyProtection="1"/>
    <xf numFmtId="0" fontId="19" fillId="0" borderId="0" xfId="0" applyFont="1"/>
    <xf numFmtId="0" fontId="20" fillId="0" borderId="0" xfId="2" applyFont="1"/>
    <xf numFmtId="0" fontId="20" fillId="0" borderId="0" xfId="2" quotePrefix="1" applyFont="1"/>
    <xf numFmtId="0" fontId="19" fillId="12" borderId="23" xfId="0" applyFont="1" applyFill="1" applyBorder="1" applyAlignment="1" applyProtection="1">
      <alignment vertical="center"/>
      <protection locked="0"/>
    </xf>
    <xf numFmtId="167" fontId="0" fillId="4" borderId="20" xfId="1" applyNumberFormat="1" applyFont="1" applyFill="1" applyBorder="1"/>
    <xf numFmtId="167" fontId="0" fillId="11" borderId="1" xfId="1" applyNumberFormat="1" applyFont="1" applyFill="1" applyBorder="1" applyAlignment="1">
      <alignment wrapText="1"/>
    </xf>
    <xf numFmtId="0" fontId="0" fillId="11" borderId="1" xfId="0" applyFill="1" applyBorder="1" applyAlignment="1">
      <alignment vertical="center"/>
    </xf>
    <xf numFmtId="0" fontId="8" fillId="11" borderId="1" xfId="0" applyFont="1" applyFill="1" applyBorder="1"/>
    <xf numFmtId="0" fontId="0" fillId="11" borderId="0" xfId="0" applyFill="1" applyAlignment="1">
      <alignment vertical="center"/>
    </xf>
    <xf numFmtId="167" fontId="0" fillId="4" borderId="2" xfId="1" applyNumberFormat="1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8" fillId="0" borderId="1" xfId="0" applyFont="1" applyBorder="1" applyAlignment="1">
      <alignment vertical="center"/>
    </xf>
    <xf numFmtId="14" fontId="0" fillId="0" borderId="51" xfId="0" applyNumberFormat="1" applyBorder="1" applyAlignment="1">
      <alignment vertical="center" wrapText="1"/>
    </xf>
    <xf numFmtId="0" fontId="7" fillId="0" borderId="1" xfId="0" applyFont="1" applyBorder="1" applyAlignment="1">
      <alignment vertical="center"/>
    </xf>
    <xf numFmtId="0" fontId="7" fillId="4" borderId="1" xfId="0" applyFont="1" applyFill="1" applyBorder="1" applyAlignment="1">
      <alignment vertical="center"/>
    </xf>
    <xf numFmtId="0" fontId="0" fillId="4" borderId="20" xfId="0" applyFill="1" applyBorder="1"/>
    <xf numFmtId="164" fontId="0" fillId="5" borderId="1" xfId="1" applyFont="1" applyFill="1" applyBorder="1" applyAlignment="1">
      <alignment vertical="center"/>
    </xf>
    <xf numFmtId="167" fontId="0" fillId="0" borderId="20" xfId="1" applyNumberFormat="1" applyFont="1" applyBorder="1" applyAlignment="1">
      <alignment horizontal="center" vertical="center" shrinkToFit="1"/>
    </xf>
    <xf numFmtId="164" fontId="0" fillId="11" borderId="1" xfId="1" applyFont="1" applyFill="1" applyBorder="1"/>
    <xf numFmtId="164" fontId="0" fillId="0" borderId="0" xfId="1" applyFont="1" applyBorder="1"/>
    <xf numFmtId="0" fontId="0" fillId="4" borderId="19" xfId="0" applyFill="1" applyBorder="1" applyAlignment="1">
      <alignment vertical="center"/>
    </xf>
    <xf numFmtId="0" fontId="0" fillId="4" borderId="43" xfId="0" applyFill="1" applyBorder="1"/>
    <xf numFmtId="164" fontId="0" fillId="0" borderId="1" xfId="1" applyFont="1" applyFill="1" applyBorder="1"/>
    <xf numFmtId="0" fontId="0" fillId="8" borderId="1" xfId="0" applyFill="1" applyBorder="1"/>
    <xf numFmtId="0" fontId="0" fillId="6" borderId="1" xfId="0" applyFill="1" applyBorder="1" applyAlignment="1">
      <alignment vertical="center"/>
    </xf>
    <xf numFmtId="167" fontId="0" fillId="11" borderId="1" xfId="1" applyNumberFormat="1" applyFont="1" applyFill="1" applyBorder="1" applyAlignment="1">
      <alignment vertical="center" wrapText="1"/>
    </xf>
    <xf numFmtId="164" fontId="0" fillId="5" borderId="1" xfId="1" applyFont="1" applyFill="1" applyBorder="1" applyAlignment="1">
      <alignment vertical="center" wrapText="1"/>
    </xf>
    <xf numFmtId="0" fontId="19" fillId="0" borderId="0" xfId="0" applyFont="1" applyAlignment="1">
      <alignment wrapText="1"/>
    </xf>
    <xf numFmtId="0" fontId="19" fillId="0" borderId="0" xfId="0" applyFont="1" applyAlignment="1">
      <alignment vertical="center" wrapText="1"/>
    </xf>
    <xf numFmtId="0" fontId="19" fillId="0" borderId="0" xfId="0" applyFont="1" applyAlignment="1">
      <alignment vertical="center"/>
    </xf>
    <xf numFmtId="14" fontId="0" fillId="8" borderId="1" xfId="0" applyNumberFormat="1" applyFill="1" applyBorder="1" applyAlignment="1">
      <alignment vertical="center"/>
    </xf>
    <xf numFmtId="14" fontId="0" fillId="8" borderId="1" xfId="0" applyNumberFormat="1" applyFill="1" applyBorder="1"/>
    <xf numFmtId="0" fontId="14" fillId="0" borderId="1" xfId="0" applyFont="1" applyBorder="1" applyAlignment="1" applyProtection="1">
      <alignment vertical="center" wrapText="1"/>
      <protection locked="0"/>
    </xf>
    <xf numFmtId="167" fontId="0" fillId="6" borderId="0" xfId="1" applyNumberFormat="1" applyFont="1" applyFill="1"/>
    <xf numFmtId="0" fontId="2" fillId="0" borderId="0" xfId="0" applyFont="1"/>
    <xf numFmtId="0" fontId="15" fillId="9" borderId="43" xfId="0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14" fontId="15" fillId="9" borderId="43" xfId="0" applyNumberFormat="1" applyFont="1" applyFill="1" applyBorder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0" fontId="0" fillId="8" borderId="2" xfId="0" applyFill="1" applyBorder="1"/>
    <xf numFmtId="167" fontId="0" fillId="4" borderId="2" xfId="1" applyNumberFormat="1" applyFont="1" applyFill="1" applyBorder="1" applyAlignment="1">
      <alignment vertical="center" wrapText="1"/>
    </xf>
    <xf numFmtId="167" fontId="0" fillId="0" borderId="2" xfId="1" applyNumberFormat="1" applyFont="1" applyFill="1" applyBorder="1" applyAlignment="1">
      <alignment vertical="center" wrapText="1"/>
    </xf>
    <xf numFmtId="0" fontId="15" fillId="9" borderId="23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14" fontId="15" fillId="9" borderId="2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21" fillId="0" borderId="1" xfId="0" applyFont="1" applyBorder="1" applyAlignment="1">
      <alignment horizontal="right" vertical="center"/>
    </xf>
    <xf numFmtId="16" fontId="0" fillId="0" borderId="1" xfId="0" applyNumberFormat="1" applyBorder="1" applyAlignment="1">
      <alignment vertical="center"/>
    </xf>
    <xf numFmtId="167" fontId="0" fillId="0" borderId="1" xfId="0" applyNumberFormat="1" applyBorder="1" applyAlignment="1">
      <alignment vertical="center" wrapText="1"/>
    </xf>
    <xf numFmtId="0" fontId="0" fillId="8" borderId="1" xfId="0" applyFill="1" applyBorder="1" applyAlignment="1">
      <alignment vertical="center"/>
    </xf>
    <xf numFmtId="0" fontId="0" fillId="8" borderId="1" xfId="0" applyFill="1" applyBorder="1" applyAlignment="1">
      <alignment vertical="center" wrapText="1"/>
    </xf>
    <xf numFmtId="0" fontId="0" fillId="12" borderId="1" xfId="0" applyFill="1" applyBorder="1" applyAlignment="1">
      <alignment vertical="center"/>
    </xf>
    <xf numFmtId="0" fontId="8" fillId="12" borderId="1" xfId="0" applyFont="1" applyFill="1" applyBorder="1" applyAlignment="1">
      <alignment vertical="center"/>
    </xf>
    <xf numFmtId="164" fontId="0" fillId="4" borderId="1" xfId="1" applyFont="1" applyFill="1" applyBorder="1" applyAlignment="1">
      <alignment vertical="center" wrapText="1"/>
    </xf>
    <xf numFmtId="14" fontId="16" fillId="0" borderId="19" xfId="0" applyNumberFormat="1" applyFont="1" applyBorder="1" applyProtection="1">
      <protection locked="0"/>
    </xf>
    <xf numFmtId="14" fontId="0" fillId="7" borderId="51" xfId="0" applyNumberFormat="1" applyFill="1" applyBorder="1"/>
    <xf numFmtId="164" fontId="0" fillId="4" borderId="1" xfId="1" applyFont="1" applyFill="1" applyBorder="1"/>
    <xf numFmtId="164" fontId="0" fillId="4" borderId="1" xfId="1" applyFont="1" applyFill="1" applyBorder="1" applyAlignment="1">
      <alignment vertical="center"/>
    </xf>
    <xf numFmtId="0" fontId="3" fillId="0" borderId="30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42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7" xfId="0" applyFont="1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4" fontId="0" fillId="0" borderId="32" xfId="0" applyNumberFormat="1" applyBorder="1" applyAlignment="1">
      <alignment horizontal="center" vertical="center"/>
    </xf>
    <xf numFmtId="14" fontId="0" fillId="0" borderId="39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14" fontId="0" fillId="0" borderId="40" xfId="0" applyNumberFormat="1" applyBorder="1" applyAlignment="1">
      <alignment horizontal="center" vertical="center"/>
    </xf>
    <xf numFmtId="14" fontId="0" fillId="0" borderId="31" xfId="0" applyNumberFormat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4" fontId="0" fillId="0" borderId="33" xfId="0" applyNumberFormat="1" applyBorder="1" applyAlignment="1">
      <alignment horizontal="center" vertical="center"/>
    </xf>
  </cellXfs>
  <cellStyles count="3">
    <cellStyle name="Hipervínculo" xfId="2" builtinId="8"/>
    <cellStyle name="Moneda" xfId="1" builtinId="4"/>
    <cellStyle name="Normal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_-&quot;$&quot;\ * #,##0_-;\-&quot;$&quot;\ * #,##0_-;_-&quot;$&quot;\ * &quot;-&quot;??_-;_-@_-"/>
    </dxf>
    <dxf>
      <border outline="0"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BDBD"/>
        </patternFill>
      </fill>
    </dxf>
    <dxf>
      <fill>
        <patternFill>
          <bgColor rgb="FFFFBDBD"/>
        </patternFill>
      </fill>
    </dxf>
    <dxf>
      <fill>
        <patternFill>
          <bgColor rgb="FFFFBDBD"/>
        </patternFill>
      </fill>
    </dxf>
    <dxf>
      <fill>
        <patternFill>
          <bgColor rgb="FFFFBDBD"/>
        </patternFill>
      </fill>
    </dxf>
    <dxf>
      <fill>
        <patternFill>
          <bgColor rgb="FFFFBDBD"/>
        </patternFill>
      </fill>
    </dxf>
    <dxf>
      <numFmt numFmtId="0" formatCode="General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/mm/yyyy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/mm/yyyy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3"/>
        <color theme="1"/>
        <name val="Aptos Narrow"/>
        <family val="2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_-&quot;$&quot;\ * #,##0_-;\-&quot;$&quot;\ * #,##0_-;_-&quot;$&quot;\ * &quot;-&quot;??_-;_-@_-"/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_-&quot;$&quot;\ * #,##0_-;\-&quot;$&quot;\ * #,##0_-;_-&quot;$&quot;\ * &quot;-&quot;??_-;_-@_-"/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79998168889431442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</font>
      <fill>
        <patternFill>
          <bgColor theme="5" tint="0.79998168889431442"/>
        </patternFill>
      </fill>
    </dxf>
    <dxf>
      <protection locked="0" hidden="0"/>
    </dxf>
    <dxf>
      <numFmt numFmtId="167" formatCode="_-&quot;$&quot;\ * #,##0_-;\-&quot;$&quot;\ * #,##0_-;_-&quot;$&quot;\ * &quot;-&quot;??_-;_-@_-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_-&quot;$&quot;\ * #,##0_-;\-&quot;$&quot;\ * #,##0_-;_-&quot;$&quot;\ * &quot;-&quot;??_-;_-@_-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8" formatCode="d/mm/yy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</border>
    </dxf>
    <dxf>
      <protection locked="0" hidden="0"/>
    </dxf>
    <dxf>
      <protection locked="0" hidden="0"/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numFmt numFmtId="167" formatCode="_-&quot;$&quot;\ * #,##0_-;\-&quot;$&quot;\ * #,##0_-;_-&quot;$&quot;\ * &quot;-&quot;??_-;_-@_-"/>
    </dxf>
    <dxf>
      <fill>
        <patternFill>
          <bgColor rgb="FFFFBDBD"/>
        </patternFill>
      </fill>
    </dxf>
    <dxf>
      <fill>
        <patternFill>
          <bgColor rgb="FFFFBDBD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92D050"/>
          <bgColor rgb="FF000000"/>
        </patternFill>
      </fill>
    </dxf>
    <dxf>
      <font>
        <b val="0"/>
        <i/>
        <color rgb="FFFF0000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BDBD"/>
      <color rgb="FFFD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0</xdr:rowOff>
        </xdr:from>
        <xdr:to>
          <xdr:col>1</xdr:col>
          <xdr:colOff>1323975</xdr:colOff>
          <xdr:row>0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REGISTRAR SALIDA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1543050</xdr:colOff>
          <xdr:row>0</xdr:row>
          <xdr:rowOff>0</xdr:rowOff>
        </xdr:from>
        <xdr:to>
          <xdr:col>1</xdr:col>
          <xdr:colOff>2790825</xdr:colOff>
          <xdr:row>0</xdr:row>
          <xdr:rowOff>304800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Aptos Narrow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CI Coordinación de Innovación" id="{2CA8905A-4876-4B11-A673-1F9382E10ADC}" userId="S::innovacion@rpci.com.co::c11717a6-9e2b-4c03-95e4-a5f5da7efcb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C9CBA7E-75D2-4C76-BE47-92E6E5F2F229}" name="Inicial" displayName="Inicial" ref="A1:J911" totalsRowShown="0" headerRowDxfId="92" headerRowBorderDxfId="90" tableBorderDxfId="91">
  <autoFilter ref="A1:J911" xr:uid="{DC9CBA7E-75D2-4C76-BE47-92E6E5F2F229}">
    <filterColumn colId="0">
      <colorFilter dxfId="93"/>
    </filterColumn>
    <filterColumn colId="5">
      <filters blank="1"/>
    </filterColumn>
  </autoFilter>
  <tableColumns count="10">
    <tableColumn id="1" xr3:uid="{51F6794B-5344-4A16-9AD4-D82FB324DE90}" name="ELEMENTO"/>
    <tableColumn id="2" xr3:uid="{FEDB30C4-35F0-4082-8EA4-96BE14250753}" name="MATERIAL" dataDxfId="89"/>
    <tableColumn id="3" xr3:uid="{92B31420-2F5C-48EA-9190-A9E241BC1DD4}" name="SCH" dataDxfId="88"/>
    <tableColumn id="4" xr3:uid="{5031CA75-9FB3-496B-B287-087C0D25C387}" name="CANTIDAD" dataDxfId="87"/>
    <tableColumn id="5" xr3:uid="{A69D063A-6BC6-4961-A878-CD1FB0FFF3AD}" name="UNIDAD" dataDxfId="86"/>
    <tableColumn id="6" xr3:uid="{DC30428E-0F0D-4098-86D4-AB4B58CFDC31}" name="COSTEO UNIDAD" dataDxfId="85" dataCellStyle="Moneda"/>
    <tableColumn id="7" xr3:uid="{E7C83DCF-19DA-4274-BE64-A6E9E64CDA13}" name="TOTAL" dataDxfId="84">
      <calculatedColumnFormula>+D2*F2</calculatedColumnFormula>
    </tableColumn>
    <tableColumn id="8" xr3:uid="{65ED3158-85C3-4264-9063-9EAE45C3521D}" name="INVENTARIO"/>
    <tableColumn id="9" xr3:uid="{BA677265-8E4E-43F2-BDD6-CBF7A80B4F5A}" name="DATO" dataDxfId="83"/>
    <tableColumn id="10" xr3:uid="{C3AB7D48-5718-43C3-AFFD-757ED351FB58}" name="COMENTARIOS" dataDxfId="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0E911C-6C19-4D54-AA2C-D3F08D4B5228}" name="INS" displayName="INS" ref="B1:E2" insertRow="1" totalsRowShown="0">
  <autoFilter ref="B1:E2" xr:uid="{960E911C-6C19-4D54-AA2C-D3F08D4B5228}"/>
  <tableColumns count="4">
    <tableColumn id="1" xr3:uid="{99CA5264-A650-4EA5-AF7D-4D51A2122E01}" name="ELEMENTO"/>
    <tableColumn id="2" xr3:uid="{ECA3468B-5679-4542-A71A-96BA8901CF84}" name="CANTIDAD"/>
    <tableColumn id="4" xr3:uid="{D2C16903-2ADC-4E50-BD7B-A7364DF1431A}" name="PRECIO_UNITARIO" dataDxfId="79" dataCellStyle="Moneda"/>
    <tableColumn id="3" xr3:uid="{02ADD0AF-3077-4FC4-A711-D67BB66F45DF}" name="CENTRO DE COS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237EBB-6015-4665-8EC5-0063424BD1AC}" name="OUTS" displayName="OUTS" ref="A1:G61" totalsRowShown="0" headerRowDxfId="54" dataDxfId="53" tableBorderDxfId="52">
  <autoFilter ref="A1:G61" xr:uid="{09237EBB-6015-4665-8EC5-0063424BD1AC}"/>
  <tableColumns count="7">
    <tableColumn id="6" xr3:uid="{A6EEDD8C-6AEB-43C6-BB9E-9CC3E6459701}" name="FECHA MOVIMIENTO" dataDxfId="51"/>
    <tableColumn id="1" xr3:uid="{0D923AAA-5548-4711-8543-7A37B15D371D}" name="ELEMENTO" dataDxfId="50"/>
    <tableColumn id="2" xr3:uid="{A7C8A3D6-67CC-4402-BFCA-EC0FBAA7AC60}" name="CANTIDAD" dataDxfId="49"/>
    <tableColumn id="3" xr3:uid="{A168CFA6-1A6F-4B04-836F-5B847CFD5863}" name="CENTRO DE COSTOS DESTINO" dataDxfId="48"/>
    <tableColumn id="5" xr3:uid="{97A5E738-7F2E-4496-AF6B-BA9F22C1AD8C}" name="COSTO UNIDAD" dataDxfId="47" dataCellStyle="Moneda">
      <calculatedColumnFormula>_xlfn.XLOOKUP(OUTS[[#This Row],[ELEMENTO]],BD[Elemento],BD[COSTEO_POR_UNIDAD],0,0)</calculatedColumnFormula>
    </tableColumn>
    <tableColumn id="7" xr3:uid="{76DD84A5-CE22-4538-B2DB-B6AFC5D1C59E}" name="TOTAL" dataDxfId="46" dataCellStyle="Moneda">
      <calculatedColumnFormula>OUTS[[#This Row],[CANTIDAD]]*OUTS[[#This Row],[COSTO UNIDAD]]</calculatedColumnFormula>
    </tableColumn>
    <tableColumn id="4" xr3:uid="{A542211D-FFAE-4DBB-B33D-50FD703D412F}" name="OBSERVAC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84DCE8-F756-4287-B52E-918046350A3F}" name="Tabla7" displayName="Tabla7" ref="A1:U77" totalsRowShown="0" headerRowDxfId="43" dataDxfId="42" tableBorderDxfId="41">
  <autoFilter ref="A1:U77" xr:uid="{A384DCE8-F756-4287-B52E-918046350A3F}"/>
  <tableColumns count="21">
    <tableColumn id="1" xr3:uid="{34BF71E5-8B73-4D82-A667-BD6F93450924}" name="ELEMENTO" dataDxfId="40"/>
    <tableColumn id="2" xr3:uid="{5EF03E9F-2BB5-4225-AB2B-9882ED23E699}" name="MATERIAL" dataDxfId="39"/>
    <tableColumn id="3" xr3:uid="{5D5A2278-472B-494C-BE20-107E9DDD82A8}" name="SCH" dataDxfId="38"/>
    <tableColumn id="4" xr3:uid="{34D0CFFA-59EF-4D93-A346-275FF9F582A3}" name="UNIDAD" dataDxfId="37"/>
    <tableColumn id="15" xr3:uid="{50A5817A-B690-45AE-9E14-674D568174F0}" name="COSTEO UNIDAD" dataDxfId="36" dataCellStyle="Moneda"/>
    <tableColumn id="8" xr3:uid="{CE5BF876-CAA2-4060-A5D2-A90FDDA2045C}" name="TOTAL" dataDxfId="35" dataCellStyle="Moneda">
      <calculatedColumnFormula>Tabla7[[#This Row],[EXISTENCIA]]*Tabla7[[#This Row],[COSTEO UNIDAD]]</calculatedColumnFormula>
    </tableColumn>
    <tableColumn id="5" xr3:uid="{1BF961C4-FFC2-4A30-BD53-ADFFD7D4B547}" name="EXISTENCIA" dataDxfId="34">
      <calculatedColumnFormula>Tabla7[[#This Row],[INICIAL]]-Tabla7[[#This Row],[SALIDA1]]</calculatedColumnFormula>
    </tableColumn>
    <tableColumn id="6" xr3:uid="{23DF2F9C-DD55-4937-8DF1-49442DFFB758}" name="F. INGRESO" dataDxfId="33"/>
    <tableColumn id="7" xr3:uid="{E21195DE-1708-44A1-B0A4-88B294438D56}" name="INICIAL" dataDxfId="32"/>
    <tableColumn id="10" xr3:uid="{BB24CCFF-0AE2-4205-9BE1-608596523647}" name="INVENTARIO" dataDxfId="31"/>
    <tableColumn id="11" xr3:uid="{9BC9402A-6130-4914-84F1-F189BC76EA22}" name="DATO" dataDxfId="30"/>
    <tableColumn id="12" xr3:uid="{72226969-F4B9-44AD-A161-DBA4F4F1D58F}" name="COMENTARIOS" dataDxfId="29"/>
    <tableColumn id="13" xr3:uid="{A8A73C9A-2CA1-4669-8479-37C540643631}" name="F.SALIDA1" dataDxfId="28"/>
    <tableColumn id="14" xr3:uid="{79CC0ADC-77A2-4E52-B602-FAAFBD680DAB}" name="SALIDA1" dataDxfId="27"/>
    <tableColumn id="9" xr3:uid="{65F6298F-D2B3-47DF-BE1D-D9EC61C4EEC4}" name="C.COSTO1" dataDxfId="26"/>
    <tableColumn id="16" xr3:uid="{2DB2229F-53C1-4A55-9E33-E796E8F2A008}" name="F.SALIDA2" dataDxfId="25"/>
    <tableColumn id="17" xr3:uid="{8304847B-FB22-4368-8C55-19874D297D62}" name="SALIDA2" dataDxfId="24"/>
    <tableColumn id="18" xr3:uid="{2B61BA6D-2CF1-4A99-83F8-23ED239F50D7}" name="C.COSTO2" dataDxfId="23"/>
    <tableColumn id="19" xr3:uid="{F9A082DD-5FD8-4244-972F-2AFB13E3745E}" name="F.SALIDA3" dataDxfId="22"/>
    <tableColumn id="20" xr3:uid="{FB91A003-FBB5-42DE-99A2-6154FE523D79}" name="SALIDA3" dataDxfId="21"/>
    <tableColumn id="21" xr3:uid="{2850EFDE-A640-44C2-B71C-790B8A0F5283}" name="C.COSTO3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0A4E7C-3625-4DEB-8F66-1C9B073F8FA3}" name="BD" displayName="BD" ref="A1:E952" totalsRowShown="0" headerRowDxfId="12" headerRowBorderDxfId="10" tableBorderDxfId="11">
  <autoFilter ref="A1:E952" xr:uid="{680A4E7C-3625-4DEB-8F66-1C9B073F8FA3}">
    <filterColumn colId="0">
      <filters>
        <filter val="Unión HI Temp 2&quot;"/>
      </filters>
    </filterColumn>
  </autoFilter>
  <tableColumns count="5">
    <tableColumn id="1" xr3:uid="{A2935C77-142A-4EED-BBD5-051BFE8E68C1}" name="Elemento"/>
    <tableColumn id="2" xr3:uid="{02EF6A82-8D4F-420F-B99C-D9BB444C0215}" name="Material"/>
    <tableColumn id="3" xr3:uid="{329EB104-5916-48C8-8768-1D2BC0F2B736}" name="SCH"/>
    <tableColumn id="4" xr3:uid="{4BAB4D6F-DF7F-45B8-9D2B-3E9A9453B839}" name="Unidad"/>
    <tableColumn id="7" xr3:uid="{B418F976-E7CD-4AD5-AA6C-9CC531A4EA3F}" name="COSTEO_POR_UNIDAD" dataDxfId="9" dataCellStyle="Moneda">
      <calculatedColumnFormula array="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E2BE75-9EAB-46DF-9DCC-857318D56A59}" name="CC" displayName="CC" ref="A1:D10" totalsRowShown="0">
  <autoFilter ref="A1:D10" xr:uid="{83E2BE75-9EAB-46DF-9DCC-857318D56A59}"/>
  <sortState xmlns:xlrd2="http://schemas.microsoft.com/office/spreadsheetml/2017/richdata2" ref="A2:D6">
    <sortCondition ref="A1:A6"/>
  </sortState>
  <tableColumns count="4">
    <tableColumn id="1" xr3:uid="{614A6FEB-15A5-45CC-9A05-9ED9FA73A86F}" name="CC"/>
    <tableColumn id="2" xr3:uid="{8775356A-4B71-4C55-94C7-6ED794A21A70}" name="DESCRIPCION"/>
    <tableColumn id="4" xr3:uid="{FA7E95AF-6789-4342-AE73-AD657640D2D7}" name="CLIENTE"/>
    <tableColumn id="3" xr3:uid="{4141E008-EB28-49B6-84C1-87C7F61CB3CC}" name="CONCATENADO" dataDxfId="8">
      <calculatedColumnFormula>CC[[#This Row],[CC]] &amp; " " &amp;  CC[[#This Row],[DESCRIPCION]]&amp;" "&amp;CC[[#This Row],[CLIENTE]]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8E66C8-6517-4E4A-B4BF-33327ADCC56C}" name="Tabla5" displayName="Tabla5" ref="A1:C7" totalsRowShown="0" headerRowDxfId="4" dataDxfId="3">
  <autoFilter ref="A1:C7" xr:uid="{608E66C8-6517-4E4A-B4BF-33327ADCC56C}"/>
  <tableColumns count="3">
    <tableColumn id="1" xr3:uid="{6B3612B7-25D0-46DD-ADF4-02EF5CBE0320}" name="#" dataDxfId="2"/>
    <tableColumn id="2" xr3:uid="{A1E0D795-C78B-4C5B-9315-E2D09BAB3D89}" name="Instrucción" dataDxfId="1"/>
    <tableColumn id="3" xr3:uid="{5C67AA66-AE49-45D7-89CE-766547347044}" name="Link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6-07-03T19:48:39.49" personId="{2CA8905A-4876-4B11-A673-1F9382E10ADC}" id="{73CF8634-E84E-441F-BECF-8C72715A86B0}">
    <text>Si la celda toma un fondo Naranja, es porque las existencias en el Inventario estan en negativo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1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D5186DA-FF7F-447F-B18C-64D54D742C4C}">
  <we:reference id="WA200003696" version="1.3.0.0" store="Omex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4902A61D-B85F-4D9C-8535-35285D8A6109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6EC0EE2A-BDF2-4E8D-AA81-154B72107B21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602ca88a-1ac3-407b-94da-2fb43486adac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B1761-D68B-4125-A430-94C1ECC82B16}">
  <sheetPr codeName="Hoja1"/>
  <dimension ref="A1:L610"/>
  <sheetViews>
    <sheetView zoomScaleNormal="100" workbookViewId="0">
      <selection activeCell="C7" sqref="C7"/>
    </sheetView>
  </sheetViews>
  <sheetFormatPr defaultColWidth="11.42578125" defaultRowHeight="15"/>
  <cols>
    <col min="2" max="2" width="16.42578125" customWidth="1"/>
    <col min="3" max="3" width="57.85546875" bestFit="1" customWidth="1"/>
    <col min="5" max="5" width="12.85546875" bestFit="1" customWidth="1"/>
    <col min="6" max="6" width="7.7109375" hidden="1" customWidth="1"/>
    <col min="7" max="7" width="11.140625" bestFit="1" customWidth="1"/>
    <col min="8" max="8" width="17.140625" customWidth="1"/>
    <col min="9" max="9" width="15.28515625" bestFit="1" customWidth="1"/>
    <col min="10" max="10" width="17" style="47" bestFit="1" customWidth="1"/>
    <col min="11" max="11" width="13" bestFit="1" customWidth="1"/>
  </cols>
  <sheetData>
    <row r="1" spans="1:12" ht="15.75" thickBot="1">
      <c r="A1" s="16" t="s">
        <v>0</v>
      </c>
      <c r="B1" s="6" t="s">
        <v>1</v>
      </c>
      <c r="C1" s="7" t="s">
        <v>2</v>
      </c>
      <c r="D1" s="7" t="s">
        <v>3</v>
      </c>
      <c r="E1" s="8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46" t="s">
        <v>9</v>
      </c>
      <c r="K1" s="16" t="s">
        <v>10</v>
      </c>
      <c r="L1" s="16" t="s">
        <v>11</v>
      </c>
    </row>
    <row r="2" spans="1:12">
      <c r="A2" s="272">
        <v>1</v>
      </c>
      <c r="B2" s="265">
        <v>45971</v>
      </c>
      <c r="C2" s="2" t="s">
        <v>12</v>
      </c>
      <c r="D2" s="2">
        <v>8</v>
      </c>
      <c r="E2" s="3" t="s">
        <v>13</v>
      </c>
      <c r="I2">
        <f>+D2+H2-G2</f>
        <v>8</v>
      </c>
      <c r="J2" s="47">
        <f>45220*0.8</f>
        <v>36176</v>
      </c>
      <c r="K2" s="48">
        <f>J2*I2</f>
        <v>289408</v>
      </c>
      <c r="L2" t="s">
        <v>14</v>
      </c>
    </row>
    <row r="3" spans="1:12">
      <c r="A3" s="273"/>
      <c r="B3" s="266"/>
      <c r="C3" s="1" t="s">
        <v>15</v>
      </c>
      <c r="D3" s="1">
        <v>5</v>
      </c>
      <c r="E3" s="4" t="s">
        <v>16</v>
      </c>
      <c r="I3">
        <f t="shared" ref="I3:I51" si="0">+D3+H3-G3</f>
        <v>5</v>
      </c>
      <c r="K3" s="48"/>
    </row>
    <row r="4" spans="1:12">
      <c r="A4" s="273"/>
      <c r="B4" s="266"/>
      <c r="C4" s="1" t="s">
        <v>17</v>
      </c>
      <c r="D4" s="1">
        <v>3</v>
      </c>
      <c r="E4" s="4" t="s">
        <v>13</v>
      </c>
      <c r="H4">
        <v>2</v>
      </c>
      <c r="I4">
        <f t="shared" si="0"/>
        <v>5</v>
      </c>
    </row>
    <row r="5" spans="1:12">
      <c r="A5" s="273"/>
      <c r="B5" s="266"/>
      <c r="C5" s="1" t="s">
        <v>18</v>
      </c>
      <c r="D5" s="1">
        <v>5</v>
      </c>
      <c r="E5" s="4" t="s">
        <v>13</v>
      </c>
      <c r="I5">
        <f t="shared" si="0"/>
        <v>5</v>
      </c>
    </row>
    <row r="6" spans="1:12">
      <c r="A6" s="273"/>
      <c r="B6" s="266"/>
      <c r="C6" s="1" t="s">
        <v>19</v>
      </c>
      <c r="D6" s="1">
        <v>2</v>
      </c>
      <c r="E6" s="4" t="s">
        <v>16</v>
      </c>
      <c r="I6">
        <f t="shared" si="0"/>
        <v>2</v>
      </c>
    </row>
    <row r="7" spans="1:12">
      <c r="A7" s="273"/>
      <c r="B7" s="266"/>
      <c r="C7" s="1" t="s">
        <v>20</v>
      </c>
      <c r="D7" s="1">
        <v>1</v>
      </c>
      <c r="E7" s="4" t="s">
        <v>13</v>
      </c>
      <c r="I7">
        <f t="shared" si="0"/>
        <v>1</v>
      </c>
    </row>
    <row r="8" spans="1:12">
      <c r="A8" s="273"/>
      <c r="B8" s="266"/>
      <c r="C8" s="1" t="s">
        <v>21</v>
      </c>
      <c r="D8" s="1">
        <v>2</v>
      </c>
      <c r="E8" s="4" t="s">
        <v>13</v>
      </c>
      <c r="I8">
        <f t="shared" si="0"/>
        <v>2</v>
      </c>
    </row>
    <row r="9" spans="1:12">
      <c r="A9" s="273"/>
      <c r="B9" s="266"/>
      <c r="C9" s="1" t="s">
        <v>22</v>
      </c>
      <c r="D9" s="1">
        <v>1</v>
      </c>
      <c r="E9" s="4" t="s">
        <v>13</v>
      </c>
      <c r="I9">
        <f t="shared" si="0"/>
        <v>1</v>
      </c>
    </row>
    <row r="10" spans="1:12">
      <c r="A10" s="273"/>
      <c r="B10" s="266"/>
      <c r="C10" s="1" t="s">
        <v>23</v>
      </c>
      <c r="D10" s="1">
        <v>1</v>
      </c>
      <c r="E10" s="4" t="s">
        <v>13</v>
      </c>
      <c r="I10">
        <f t="shared" si="0"/>
        <v>1</v>
      </c>
    </row>
    <row r="11" spans="1:12" ht="15.75" thickBot="1">
      <c r="A11" s="274"/>
      <c r="B11" s="271"/>
      <c r="C11" s="9" t="s">
        <v>24</v>
      </c>
      <c r="D11" s="9">
        <v>2</v>
      </c>
      <c r="E11" s="10" t="s">
        <v>13</v>
      </c>
      <c r="I11">
        <f t="shared" si="0"/>
        <v>2</v>
      </c>
    </row>
    <row r="12" spans="1:12">
      <c r="A12" s="272">
        <v>2</v>
      </c>
      <c r="B12" s="279">
        <v>45971</v>
      </c>
      <c r="C12" s="2" t="s">
        <v>25</v>
      </c>
      <c r="D12" s="2">
        <v>16</v>
      </c>
      <c r="E12" s="3" t="s">
        <v>13</v>
      </c>
      <c r="I12">
        <f t="shared" si="0"/>
        <v>16</v>
      </c>
    </row>
    <row r="13" spans="1:12">
      <c r="A13" s="273"/>
      <c r="B13" s="280"/>
      <c r="C13" s="1" t="s">
        <v>26</v>
      </c>
      <c r="D13" s="1">
        <v>3</v>
      </c>
      <c r="E13" s="4" t="s">
        <v>16</v>
      </c>
      <c r="I13">
        <f t="shared" si="0"/>
        <v>3</v>
      </c>
    </row>
    <row r="14" spans="1:12">
      <c r="A14" s="273"/>
      <c r="B14" s="280"/>
      <c r="C14" s="1" t="s">
        <v>27</v>
      </c>
      <c r="D14" s="1">
        <v>4</v>
      </c>
      <c r="E14" s="4" t="s">
        <v>13</v>
      </c>
      <c r="I14">
        <f t="shared" si="0"/>
        <v>4</v>
      </c>
    </row>
    <row r="15" spans="1:12">
      <c r="A15" s="273"/>
      <c r="B15" s="280"/>
      <c r="C15" s="1" t="s">
        <v>28</v>
      </c>
      <c r="D15" s="1">
        <v>18</v>
      </c>
      <c r="E15" s="4" t="s">
        <v>16</v>
      </c>
      <c r="I15">
        <f t="shared" si="0"/>
        <v>18</v>
      </c>
    </row>
    <row r="16" spans="1:12">
      <c r="A16" s="273"/>
      <c r="B16" s="280"/>
      <c r="C16" s="1" t="s">
        <v>29</v>
      </c>
      <c r="D16" s="1">
        <v>20</v>
      </c>
      <c r="E16" s="4" t="s">
        <v>13</v>
      </c>
      <c r="I16">
        <f t="shared" si="0"/>
        <v>20</v>
      </c>
    </row>
    <row r="17" spans="1:9" ht="15.75" thickBot="1">
      <c r="A17" s="274"/>
      <c r="B17" s="280"/>
      <c r="C17" s="9" t="s">
        <v>30</v>
      </c>
      <c r="D17" s="9">
        <v>5</v>
      </c>
      <c r="E17" s="10" t="s">
        <v>16</v>
      </c>
      <c r="I17">
        <f t="shared" si="0"/>
        <v>5</v>
      </c>
    </row>
    <row r="18" spans="1:9">
      <c r="A18" s="272">
        <v>3</v>
      </c>
      <c r="B18" s="265">
        <v>45971</v>
      </c>
      <c r="C18" s="2" t="s">
        <v>31</v>
      </c>
      <c r="D18" s="2">
        <v>8</v>
      </c>
      <c r="E18" s="3" t="s">
        <v>32</v>
      </c>
      <c r="I18">
        <f t="shared" si="0"/>
        <v>8</v>
      </c>
    </row>
    <row r="19" spans="1:9">
      <c r="A19" s="273"/>
      <c r="B19" s="266"/>
      <c r="C19" s="1" t="s">
        <v>33</v>
      </c>
      <c r="D19" s="1">
        <v>1</v>
      </c>
      <c r="E19" s="4" t="s">
        <v>32</v>
      </c>
      <c r="I19">
        <f t="shared" si="0"/>
        <v>1</v>
      </c>
    </row>
    <row r="20" spans="1:9">
      <c r="A20" s="273"/>
      <c r="B20" s="266"/>
      <c r="C20" s="1" t="s">
        <v>34</v>
      </c>
      <c r="D20" s="1">
        <v>2</v>
      </c>
      <c r="E20" s="4" t="s">
        <v>32</v>
      </c>
      <c r="I20">
        <f t="shared" si="0"/>
        <v>2</v>
      </c>
    </row>
    <row r="21" spans="1:9" ht="15.75" thickBot="1">
      <c r="A21" s="274"/>
      <c r="B21" s="271"/>
      <c r="C21" s="9" t="s">
        <v>35</v>
      </c>
      <c r="D21" s="9">
        <v>5</v>
      </c>
      <c r="E21" s="10" t="s">
        <v>32</v>
      </c>
      <c r="I21">
        <f t="shared" si="0"/>
        <v>5</v>
      </c>
    </row>
    <row r="22" spans="1:9">
      <c r="A22" s="272">
        <v>4</v>
      </c>
      <c r="B22" s="265">
        <v>45971</v>
      </c>
      <c r="C22" s="2" t="s">
        <v>36</v>
      </c>
      <c r="D22" s="2">
        <v>7</v>
      </c>
      <c r="E22" s="3" t="s">
        <v>32</v>
      </c>
      <c r="I22">
        <f t="shared" si="0"/>
        <v>7</v>
      </c>
    </row>
    <row r="23" spans="1:9">
      <c r="A23" s="273"/>
      <c r="B23" s="266"/>
      <c r="C23" s="1" t="s">
        <v>37</v>
      </c>
      <c r="D23" s="1">
        <v>2</v>
      </c>
      <c r="E23" s="4" t="s">
        <v>32</v>
      </c>
      <c r="I23">
        <f t="shared" si="0"/>
        <v>2</v>
      </c>
    </row>
    <row r="24" spans="1:9" ht="15.75" thickBot="1">
      <c r="A24" s="274"/>
      <c r="B24" s="271"/>
      <c r="C24" s="9" t="s">
        <v>38</v>
      </c>
      <c r="D24" s="9">
        <v>27</v>
      </c>
      <c r="E24" s="10" t="s">
        <v>32</v>
      </c>
      <c r="I24">
        <f t="shared" si="0"/>
        <v>27</v>
      </c>
    </row>
    <row r="25" spans="1:9">
      <c r="A25" s="272">
        <v>5</v>
      </c>
      <c r="B25" s="265">
        <v>45971</v>
      </c>
      <c r="C25" s="2" t="s">
        <v>39</v>
      </c>
      <c r="D25" s="2">
        <v>26</v>
      </c>
      <c r="E25" s="3" t="s">
        <v>32</v>
      </c>
      <c r="I25">
        <f t="shared" si="0"/>
        <v>26</v>
      </c>
    </row>
    <row r="26" spans="1:9">
      <c r="A26" s="273"/>
      <c r="B26" s="266"/>
      <c r="C26" s="1" t="s">
        <v>40</v>
      </c>
      <c r="D26" s="1">
        <v>11</v>
      </c>
      <c r="E26" s="4" t="s">
        <v>32</v>
      </c>
      <c r="I26">
        <f t="shared" si="0"/>
        <v>11</v>
      </c>
    </row>
    <row r="27" spans="1:9">
      <c r="A27" s="273"/>
      <c r="B27" s="266"/>
      <c r="C27" s="1" t="s">
        <v>41</v>
      </c>
      <c r="D27" s="1">
        <v>8</v>
      </c>
      <c r="E27" s="4" t="s">
        <v>32</v>
      </c>
      <c r="I27">
        <f t="shared" si="0"/>
        <v>8</v>
      </c>
    </row>
    <row r="28" spans="1:9">
      <c r="A28" s="273"/>
      <c r="B28" s="266"/>
      <c r="C28" s="1" t="s">
        <v>42</v>
      </c>
      <c r="D28" s="1">
        <v>36</v>
      </c>
      <c r="E28" s="4" t="s">
        <v>32</v>
      </c>
      <c r="I28">
        <f t="shared" si="0"/>
        <v>36</v>
      </c>
    </row>
    <row r="29" spans="1:9">
      <c r="A29" s="273"/>
      <c r="B29" s="266"/>
      <c r="C29" s="1" t="s">
        <v>43</v>
      </c>
      <c r="D29" s="1">
        <v>14</v>
      </c>
      <c r="E29" s="4" t="s">
        <v>32</v>
      </c>
      <c r="I29">
        <f t="shared" si="0"/>
        <v>14</v>
      </c>
    </row>
    <row r="30" spans="1:9" ht="15.75" thickBot="1">
      <c r="A30" s="274"/>
      <c r="B30" s="271"/>
      <c r="C30" s="9" t="s">
        <v>44</v>
      </c>
      <c r="D30" s="9">
        <v>8</v>
      </c>
      <c r="E30" s="10" t="s">
        <v>32</v>
      </c>
      <c r="I30">
        <f t="shared" si="0"/>
        <v>8</v>
      </c>
    </row>
    <row r="31" spans="1:9">
      <c r="A31" s="272">
        <v>6</v>
      </c>
      <c r="B31" s="265">
        <v>45971</v>
      </c>
      <c r="C31" s="2" t="s">
        <v>45</v>
      </c>
      <c r="D31" s="2">
        <v>58</v>
      </c>
      <c r="E31" s="3" t="s">
        <v>32</v>
      </c>
      <c r="G31">
        <v>6</v>
      </c>
      <c r="I31">
        <f t="shared" si="0"/>
        <v>52</v>
      </c>
    </row>
    <row r="32" spans="1:9" ht="15.75" thickBot="1">
      <c r="A32" s="274"/>
      <c r="B32" s="271"/>
      <c r="C32" s="9" t="s">
        <v>46</v>
      </c>
      <c r="D32" s="9">
        <v>13</v>
      </c>
      <c r="E32" s="10" t="s">
        <v>32</v>
      </c>
      <c r="I32">
        <f t="shared" si="0"/>
        <v>13</v>
      </c>
    </row>
    <row r="33" spans="1:9">
      <c r="A33" s="272">
        <v>7</v>
      </c>
      <c r="B33" s="265">
        <v>45971</v>
      </c>
      <c r="C33" s="2" t="s">
        <v>47</v>
      </c>
      <c r="D33" s="2">
        <v>3</v>
      </c>
      <c r="E33" s="3" t="s">
        <v>32</v>
      </c>
      <c r="I33">
        <f t="shared" si="0"/>
        <v>3</v>
      </c>
    </row>
    <row r="34" spans="1:9">
      <c r="A34" s="273"/>
      <c r="B34" s="266"/>
      <c r="C34" s="1" t="s">
        <v>48</v>
      </c>
      <c r="D34" s="1">
        <v>7</v>
      </c>
      <c r="E34" s="4" t="s">
        <v>32</v>
      </c>
      <c r="I34">
        <f t="shared" si="0"/>
        <v>7</v>
      </c>
    </row>
    <row r="35" spans="1:9">
      <c r="A35" s="273"/>
      <c r="B35" s="266"/>
      <c r="C35" s="1" t="s">
        <v>49</v>
      </c>
      <c r="D35" s="1">
        <v>1</v>
      </c>
      <c r="E35" s="4" t="s">
        <v>32</v>
      </c>
      <c r="I35">
        <f t="shared" si="0"/>
        <v>1</v>
      </c>
    </row>
    <row r="36" spans="1:9" ht="15.75" thickBot="1">
      <c r="A36" s="274"/>
      <c r="B36" s="267"/>
      <c r="C36" s="5" t="s">
        <v>50</v>
      </c>
      <c r="D36" s="5">
        <v>36</v>
      </c>
      <c r="E36" s="11" t="s">
        <v>32</v>
      </c>
      <c r="I36">
        <f t="shared" si="0"/>
        <v>36</v>
      </c>
    </row>
    <row r="37" spans="1:9">
      <c r="A37" s="273">
        <v>8</v>
      </c>
      <c r="B37" s="282">
        <v>45971</v>
      </c>
      <c r="C37" s="17" t="s">
        <v>51</v>
      </c>
      <c r="D37" s="13">
        <v>35</v>
      </c>
      <c r="E37" s="14" t="s">
        <v>32</v>
      </c>
      <c r="I37">
        <f t="shared" si="0"/>
        <v>35</v>
      </c>
    </row>
    <row r="38" spans="1:9">
      <c r="A38" s="273"/>
      <c r="B38" s="283"/>
      <c r="C38" s="12" t="s">
        <v>52</v>
      </c>
      <c r="D38" s="1">
        <v>107</v>
      </c>
      <c r="E38" s="4" t="s">
        <v>32</v>
      </c>
      <c r="I38">
        <f t="shared" si="0"/>
        <v>107</v>
      </c>
    </row>
    <row r="39" spans="1:9">
      <c r="A39" s="273"/>
      <c r="B39" s="283"/>
      <c r="C39" s="12" t="s">
        <v>53</v>
      </c>
      <c r="D39" s="1">
        <v>40</v>
      </c>
      <c r="E39" s="4" t="s">
        <v>32</v>
      </c>
      <c r="I39">
        <f t="shared" si="0"/>
        <v>40</v>
      </c>
    </row>
    <row r="40" spans="1:9">
      <c r="A40" s="273"/>
      <c r="B40" s="283"/>
      <c r="C40" s="12" t="s">
        <v>54</v>
      </c>
      <c r="D40" s="1">
        <v>1</v>
      </c>
      <c r="E40" s="4" t="s">
        <v>32</v>
      </c>
      <c r="I40">
        <f t="shared" si="0"/>
        <v>1</v>
      </c>
    </row>
    <row r="41" spans="1:9">
      <c r="A41" s="273"/>
      <c r="B41" s="283"/>
      <c r="C41" s="12" t="s">
        <v>55</v>
      </c>
      <c r="D41" s="1">
        <v>5</v>
      </c>
      <c r="E41" s="4" t="s">
        <v>32</v>
      </c>
      <c r="I41">
        <f t="shared" si="0"/>
        <v>5</v>
      </c>
    </row>
    <row r="42" spans="1:9">
      <c r="A42" s="273"/>
      <c r="B42" s="283"/>
      <c r="C42" s="12" t="s">
        <v>56</v>
      </c>
      <c r="D42" s="1">
        <v>1</v>
      </c>
      <c r="E42" s="4" t="s">
        <v>32</v>
      </c>
      <c r="I42">
        <f t="shared" si="0"/>
        <v>1</v>
      </c>
    </row>
    <row r="43" spans="1:9">
      <c r="A43" s="273"/>
      <c r="B43" s="283"/>
      <c r="C43" s="12" t="s">
        <v>57</v>
      </c>
      <c r="D43" s="1">
        <v>8</v>
      </c>
      <c r="E43" s="4" t="s">
        <v>32</v>
      </c>
      <c r="I43">
        <f t="shared" si="0"/>
        <v>8</v>
      </c>
    </row>
    <row r="44" spans="1:9">
      <c r="A44" s="273"/>
      <c r="B44" s="283"/>
      <c r="C44" s="12" t="s">
        <v>58</v>
      </c>
      <c r="D44" s="1">
        <v>10</v>
      </c>
      <c r="E44" s="4" t="s">
        <v>32</v>
      </c>
      <c r="I44">
        <f t="shared" si="0"/>
        <v>10</v>
      </c>
    </row>
    <row r="45" spans="1:9">
      <c r="A45" s="273"/>
      <c r="B45" s="283"/>
      <c r="C45" s="12" t="s">
        <v>59</v>
      </c>
      <c r="D45" s="1">
        <v>7</v>
      </c>
      <c r="E45" s="4" t="s">
        <v>32</v>
      </c>
      <c r="I45">
        <f t="shared" si="0"/>
        <v>7</v>
      </c>
    </row>
    <row r="46" spans="1:9" ht="15.75" thickBot="1">
      <c r="A46" s="274"/>
      <c r="B46" s="284"/>
      <c r="C46" s="15" t="s">
        <v>60</v>
      </c>
      <c r="D46" s="5">
        <v>68</v>
      </c>
      <c r="E46" s="11" t="s">
        <v>32</v>
      </c>
      <c r="I46">
        <f t="shared" si="0"/>
        <v>68</v>
      </c>
    </row>
    <row r="47" spans="1:9">
      <c r="A47" s="272">
        <v>9</v>
      </c>
      <c r="B47" s="280">
        <v>45971</v>
      </c>
      <c r="C47" s="13" t="s">
        <v>61</v>
      </c>
      <c r="D47" s="13">
        <v>14</v>
      </c>
      <c r="E47" s="14" t="s">
        <v>32</v>
      </c>
      <c r="H47">
        <v>4</v>
      </c>
      <c r="I47">
        <f t="shared" si="0"/>
        <v>18</v>
      </c>
    </row>
    <row r="48" spans="1:9">
      <c r="A48" s="273"/>
      <c r="B48" s="280"/>
      <c r="C48" s="1" t="s">
        <v>62</v>
      </c>
      <c r="D48" s="1">
        <v>43</v>
      </c>
      <c r="E48" s="4" t="s">
        <v>32</v>
      </c>
      <c r="I48">
        <f t="shared" si="0"/>
        <v>43</v>
      </c>
    </row>
    <row r="49" spans="1:9">
      <c r="A49" s="273"/>
      <c r="B49" s="280"/>
      <c r="C49" s="1" t="s">
        <v>63</v>
      </c>
      <c r="D49" s="1">
        <v>16</v>
      </c>
      <c r="E49" s="4" t="s">
        <v>32</v>
      </c>
      <c r="I49">
        <f t="shared" si="0"/>
        <v>16</v>
      </c>
    </row>
    <row r="50" spans="1:9">
      <c r="A50" s="273"/>
      <c r="B50" s="280"/>
      <c r="C50" s="1" t="s">
        <v>64</v>
      </c>
      <c r="D50" s="1">
        <v>12</v>
      </c>
      <c r="E50" s="4" t="s">
        <v>32</v>
      </c>
      <c r="I50">
        <f t="shared" si="0"/>
        <v>12</v>
      </c>
    </row>
    <row r="51" spans="1:9">
      <c r="A51" s="273"/>
      <c r="B51" s="280"/>
      <c r="C51" s="1" t="s">
        <v>65</v>
      </c>
      <c r="D51" s="1">
        <v>71</v>
      </c>
      <c r="E51" s="4" t="s">
        <v>32</v>
      </c>
      <c r="I51">
        <f t="shared" si="0"/>
        <v>71</v>
      </c>
    </row>
    <row r="52" spans="1:9">
      <c r="A52" s="273"/>
      <c r="B52" s="280"/>
      <c r="C52" s="31" t="s">
        <v>66</v>
      </c>
      <c r="D52" s="31">
        <v>16</v>
      </c>
      <c r="E52" s="32" t="s">
        <v>32</v>
      </c>
      <c r="G52">
        <v>6</v>
      </c>
      <c r="I52">
        <f>+D52+H52-G52</f>
        <v>10</v>
      </c>
    </row>
    <row r="53" spans="1:9">
      <c r="A53" s="273"/>
      <c r="B53" s="280"/>
      <c r="C53" s="1" t="s">
        <v>67</v>
      </c>
      <c r="D53" s="1">
        <v>35</v>
      </c>
      <c r="E53" s="4" t="s">
        <v>32</v>
      </c>
      <c r="I53">
        <f t="shared" ref="I53:I88" si="1">+D53+H53-G53</f>
        <v>35</v>
      </c>
    </row>
    <row r="54" spans="1:9">
      <c r="A54" s="273"/>
      <c r="B54" s="280"/>
      <c r="C54" s="1" t="s">
        <v>68</v>
      </c>
      <c r="D54" s="1">
        <v>15</v>
      </c>
      <c r="E54" s="4" t="s">
        <v>32</v>
      </c>
      <c r="G54">
        <v>1</v>
      </c>
      <c r="I54">
        <f t="shared" si="1"/>
        <v>14</v>
      </c>
    </row>
    <row r="55" spans="1:9" ht="15.75" thickBot="1">
      <c r="A55" s="274"/>
      <c r="B55" s="280"/>
      <c r="C55" s="9" t="s">
        <v>69</v>
      </c>
      <c r="D55" s="9">
        <v>1</v>
      </c>
      <c r="E55" s="10" t="s">
        <v>32</v>
      </c>
      <c r="I55">
        <f t="shared" si="1"/>
        <v>1</v>
      </c>
    </row>
    <row r="56" spans="1:9">
      <c r="A56" s="272">
        <v>10</v>
      </c>
      <c r="B56" s="265">
        <v>45971</v>
      </c>
      <c r="C56" s="2" t="s">
        <v>70</v>
      </c>
      <c r="D56" s="2">
        <v>14</v>
      </c>
      <c r="E56" s="3" t="s">
        <v>32</v>
      </c>
      <c r="I56">
        <f t="shared" si="1"/>
        <v>14</v>
      </c>
    </row>
    <row r="57" spans="1:9" ht="15.75" thickBot="1">
      <c r="A57" s="274"/>
      <c r="B57" s="271"/>
      <c r="C57" s="9" t="s">
        <v>71</v>
      </c>
      <c r="D57" s="9">
        <v>1</v>
      </c>
      <c r="E57" s="10" t="s">
        <v>32</v>
      </c>
      <c r="I57">
        <f t="shared" si="1"/>
        <v>1</v>
      </c>
    </row>
    <row r="58" spans="1:9">
      <c r="A58" s="273"/>
      <c r="B58" s="266"/>
      <c r="C58" s="1" t="s">
        <v>72</v>
      </c>
      <c r="D58" s="1">
        <v>12</v>
      </c>
      <c r="E58" s="4" t="s">
        <v>32</v>
      </c>
      <c r="I58">
        <f t="shared" si="1"/>
        <v>12</v>
      </c>
    </row>
    <row r="59" spans="1:9">
      <c r="A59" s="273"/>
      <c r="B59" s="266"/>
      <c r="C59" s="1" t="s">
        <v>73</v>
      </c>
      <c r="D59" s="1">
        <v>5</v>
      </c>
      <c r="E59" s="4" t="s">
        <v>32</v>
      </c>
      <c r="I59">
        <f t="shared" si="1"/>
        <v>5</v>
      </c>
    </row>
    <row r="60" spans="1:9">
      <c r="A60" s="273"/>
      <c r="B60" s="266"/>
      <c r="C60" s="1" t="s">
        <v>74</v>
      </c>
      <c r="D60" s="1">
        <v>11</v>
      </c>
      <c r="E60" s="4" t="s">
        <v>32</v>
      </c>
      <c r="I60">
        <f t="shared" si="1"/>
        <v>11</v>
      </c>
    </row>
    <row r="61" spans="1:9" ht="15.75" thickBot="1">
      <c r="A61" s="274"/>
      <c r="B61" s="271"/>
      <c r="C61" s="9" t="s">
        <v>75</v>
      </c>
      <c r="D61" s="9">
        <v>5</v>
      </c>
      <c r="E61" s="10" t="s">
        <v>32</v>
      </c>
      <c r="I61">
        <f t="shared" si="1"/>
        <v>5</v>
      </c>
    </row>
    <row r="62" spans="1:9">
      <c r="A62" s="272">
        <v>12</v>
      </c>
      <c r="B62" s="265">
        <v>45971</v>
      </c>
      <c r="C62" s="2" t="s">
        <v>76</v>
      </c>
      <c r="D62" s="2">
        <v>9</v>
      </c>
      <c r="E62" s="3" t="s">
        <v>13</v>
      </c>
      <c r="H62">
        <v>5</v>
      </c>
      <c r="I62">
        <f t="shared" si="1"/>
        <v>14</v>
      </c>
    </row>
    <row r="63" spans="1:9">
      <c r="A63" s="273"/>
      <c r="B63" s="266"/>
      <c r="C63" s="1" t="s">
        <v>77</v>
      </c>
      <c r="D63" s="1">
        <v>11</v>
      </c>
      <c r="E63" s="4" t="s">
        <v>13</v>
      </c>
      <c r="G63">
        <v>1</v>
      </c>
      <c r="I63">
        <f t="shared" si="1"/>
        <v>10</v>
      </c>
    </row>
    <row r="64" spans="1:9">
      <c r="A64" s="273"/>
      <c r="B64" s="266"/>
      <c r="C64" s="1" t="s">
        <v>78</v>
      </c>
      <c r="D64" s="1">
        <v>2</v>
      </c>
      <c r="E64" s="4" t="s">
        <v>13</v>
      </c>
      <c r="I64">
        <f t="shared" si="1"/>
        <v>2</v>
      </c>
    </row>
    <row r="65" spans="1:9">
      <c r="A65" s="273"/>
      <c r="B65" s="266"/>
      <c r="C65" s="1" t="s">
        <v>79</v>
      </c>
      <c r="D65" s="1">
        <v>6</v>
      </c>
      <c r="E65" s="4" t="s">
        <v>13</v>
      </c>
      <c r="I65">
        <f t="shared" si="1"/>
        <v>6</v>
      </c>
    </row>
    <row r="66" spans="1:9" ht="15.75" thickBot="1">
      <c r="A66" s="273"/>
      <c r="B66" s="271"/>
      <c r="C66" s="9" t="s">
        <v>80</v>
      </c>
      <c r="D66" s="9">
        <v>6</v>
      </c>
      <c r="E66" s="10" t="s">
        <v>13</v>
      </c>
      <c r="I66">
        <f t="shared" si="1"/>
        <v>6</v>
      </c>
    </row>
    <row r="67" spans="1:9">
      <c r="A67" s="287">
        <v>13</v>
      </c>
      <c r="B67" s="285">
        <v>45972</v>
      </c>
      <c r="C67" s="2" t="s">
        <v>81</v>
      </c>
      <c r="D67" s="2">
        <v>2</v>
      </c>
      <c r="E67" s="3" t="s">
        <v>13</v>
      </c>
      <c r="I67">
        <f t="shared" si="1"/>
        <v>2</v>
      </c>
    </row>
    <row r="68" spans="1:9">
      <c r="A68" s="288"/>
      <c r="B68" s="283"/>
      <c r="C68" s="1" t="s">
        <v>82</v>
      </c>
      <c r="D68" s="1">
        <v>1</v>
      </c>
      <c r="E68" s="4" t="s">
        <v>13</v>
      </c>
      <c r="I68">
        <f t="shared" si="1"/>
        <v>1</v>
      </c>
    </row>
    <row r="69" spans="1:9">
      <c r="A69" s="288"/>
      <c r="B69" s="283"/>
      <c r="C69" s="1" t="s">
        <v>83</v>
      </c>
      <c r="D69" s="1">
        <v>1</v>
      </c>
      <c r="E69" s="4" t="s">
        <v>13</v>
      </c>
      <c r="I69">
        <f t="shared" si="1"/>
        <v>1</v>
      </c>
    </row>
    <row r="70" spans="1:9">
      <c r="A70" s="288"/>
      <c r="B70" s="283"/>
      <c r="C70" s="1" t="s">
        <v>82</v>
      </c>
      <c r="D70" s="1">
        <v>2</v>
      </c>
      <c r="E70" s="4" t="s">
        <v>13</v>
      </c>
      <c r="I70">
        <f t="shared" si="1"/>
        <v>2</v>
      </c>
    </row>
    <row r="71" spans="1:9">
      <c r="A71" s="288"/>
      <c r="B71" s="283"/>
      <c r="C71" s="1" t="s">
        <v>84</v>
      </c>
      <c r="D71" s="1">
        <v>5</v>
      </c>
      <c r="E71" s="4" t="s">
        <v>13</v>
      </c>
      <c r="I71">
        <f t="shared" si="1"/>
        <v>5</v>
      </c>
    </row>
    <row r="72" spans="1:9">
      <c r="A72" s="288"/>
      <c r="B72" s="283"/>
      <c r="C72" s="1" t="s">
        <v>85</v>
      </c>
      <c r="D72" s="1">
        <v>5</v>
      </c>
      <c r="E72" s="4" t="s">
        <v>13</v>
      </c>
      <c r="I72">
        <f t="shared" si="1"/>
        <v>5</v>
      </c>
    </row>
    <row r="73" spans="1:9">
      <c r="A73" s="288"/>
      <c r="B73" s="283"/>
      <c r="C73" s="1" t="s">
        <v>86</v>
      </c>
      <c r="D73" s="1">
        <v>3</v>
      </c>
      <c r="E73" s="4" t="s">
        <v>13</v>
      </c>
      <c r="H73">
        <v>1</v>
      </c>
      <c r="I73">
        <f t="shared" si="1"/>
        <v>4</v>
      </c>
    </row>
    <row r="74" spans="1:9">
      <c r="A74" s="288"/>
      <c r="B74" s="283"/>
      <c r="C74" s="1" t="s">
        <v>87</v>
      </c>
      <c r="D74" s="1">
        <v>2</v>
      </c>
      <c r="E74" s="4" t="s">
        <v>13</v>
      </c>
      <c r="I74">
        <f t="shared" si="1"/>
        <v>2</v>
      </c>
    </row>
    <row r="75" spans="1:9">
      <c r="A75" s="288"/>
      <c r="B75" s="283"/>
      <c r="C75" s="1" t="s">
        <v>88</v>
      </c>
      <c r="D75" s="1">
        <v>9</v>
      </c>
      <c r="E75" s="4" t="s">
        <v>13</v>
      </c>
      <c r="H75">
        <v>3</v>
      </c>
      <c r="I75">
        <f t="shared" si="1"/>
        <v>12</v>
      </c>
    </row>
    <row r="76" spans="1:9">
      <c r="A76" s="288"/>
      <c r="B76" s="283"/>
      <c r="C76" s="1" t="s">
        <v>89</v>
      </c>
      <c r="D76" s="1">
        <v>2</v>
      </c>
      <c r="E76" s="4" t="s">
        <v>13</v>
      </c>
      <c r="I76">
        <f t="shared" si="1"/>
        <v>2</v>
      </c>
    </row>
    <row r="77" spans="1:9">
      <c r="A77" s="288"/>
      <c r="B77" s="283"/>
      <c r="C77" s="1" t="s">
        <v>90</v>
      </c>
      <c r="D77" s="1">
        <v>2</v>
      </c>
      <c r="E77" s="4" t="s">
        <v>13</v>
      </c>
      <c r="I77">
        <f t="shared" si="1"/>
        <v>2</v>
      </c>
    </row>
    <row r="78" spans="1:9">
      <c r="A78" s="288"/>
      <c r="B78" s="283"/>
      <c r="C78" s="1" t="s">
        <v>91</v>
      </c>
      <c r="D78" s="1">
        <v>5</v>
      </c>
      <c r="E78" s="4" t="s">
        <v>13</v>
      </c>
      <c r="I78">
        <f t="shared" si="1"/>
        <v>5</v>
      </c>
    </row>
    <row r="79" spans="1:9" ht="15.75" thickBot="1">
      <c r="A79" s="289"/>
      <c r="B79" s="286"/>
      <c r="C79" s="9" t="s">
        <v>12</v>
      </c>
      <c r="D79" s="9">
        <v>1</v>
      </c>
      <c r="E79" s="10" t="s">
        <v>13</v>
      </c>
      <c r="I79">
        <f t="shared" si="1"/>
        <v>1</v>
      </c>
    </row>
    <row r="80" spans="1:9">
      <c r="A80" s="272">
        <v>14</v>
      </c>
      <c r="B80" s="279">
        <v>45972</v>
      </c>
      <c r="C80" s="2" t="s">
        <v>92</v>
      </c>
      <c r="D80" s="2">
        <v>2</v>
      </c>
      <c r="E80" s="3" t="s">
        <v>13</v>
      </c>
      <c r="H80">
        <v>12</v>
      </c>
      <c r="I80">
        <f t="shared" si="1"/>
        <v>14</v>
      </c>
    </row>
    <row r="81" spans="1:9">
      <c r="A81" s="273"/>
      <c r="B81" s="280"/>
      <c r="C81" s="1" t="s">
        <v>93</v>
      </c>
      <c r="D81" s="1">
        <v>2</v>
      </c>
      <c r="E81" s="4" t="s">
        <v>13</v>
      </c>
      <c r="I81">
        <f t="shared" si="1"/>
        <v>2</v>
      </c>
    </row>
    <row r="82" spans="1:9">
      <c r="A82" s="273"/>
      <c r="B82" s="280"/>
      <c r="C82" s="1" t="s">
        <v>94</v>
      </c>
      <c r="D82" s="1">
        <v>3</v>
      </c>
      <c r="E82" s="4" t="s">
        <v>13</v>
      </c>
      <c r="I82">
        <f t="shared" si="1"/>
        <v>3</v>
      </c>
    </row>
    <row r="83" spans="1:9">
      <c r="A83" s="273"/>
      <c r="B83" s="280"/>
      <c r="C83" s="1" t="s">
        <v>95</v>
      </c>
      <c r="D83" s="1">
        <v>2</v>
      </c>
      <c r="E83" s="4" t="s">
        <v>13</v>
      </c>
      <c r="I83">
        <f t="shared" si="1"/>
        <v>2</v>
      </c>
    </row>
    <row r="84" spans="1:9">
      <c r="A84" s="273"/>
      <c r="B84" s="280"/>
      <c r="C84" s="1" t="s">
        <v>96</v>
      </c>
      <c r="D84" s="1">
        <v>4</v>
      </c>
      <c r="E84" s="4" t="s">
        <v>13</v>
      </c>
      <c r="H84">
        <v>2</v>
      </c>
      <c r="I84">
        <f t="shared" si="1"/>
        <v>6</v>
      </c>
    </row>
    <row r="85" spans="1:9">
      <c r="A85" s="273"/>
      <c r="B85" s="280"/>
      <c r="C85" s="1" t="s">
        <v>97</v>
      </c>
      <c r="D85" s="1">
        <v>1</v>
      </c>
      <c r="E85" s="4" t="s">
        <v>13</v>
      </c>
      <c r="I85">
        <f t="shared" si="1"/>
        <v>1</v>
      </c>
    </row>
    <row r="86" spans="1:9">
      <c r="A86" s="273"/>
      <c r="B86" s="280"/>
      <c r="C86" s="1" t="s">
        <v>98</v>
      </c>
      <c r="D86" s="1">
        <v>2</v>
      </c>
      <c r="E86" s="4" t="s">
        <v>13</v>
      </c>
      <c r="H86">
        <v>6</v>
      </c>
      <c r="I86">
        <f t="shared" si="1"/>
        <v>8</v>
      </c>
    </row>
    <row r="87" spans="1:9">
      <c r="A87" s="273"/>
      <c r="B87" s="280"/>
      <c r="C87" s="1" t="s">
        <v>99</v>
      </c>
      <c r="D87" s="1">
        <v>1</v>
      </c>
      <c r="E87" s="4" t="s">
        <v>13</v>
      </c>
      <c r="I87">
        <f t="shared" si="1"/>
        <v>1</v>
      </c>
    </row>
    <row r="88" spans="1:9">
      <c r="A88" s="273"/>
      <c r="B88" s="280"/>
      <c r="C88" s="1" t="s">
        <v>100</v>
      </c>
      <c r="D88" s="1">
        <v>1</v>
      </c>
      <c r="E88" s="4" t="s">
        <v>13</v>
      </c>
      <c r="I88">
        <f t="shared" si="1"/>
        <v>1</v>
      </c>
    </row>
    <row r="89" spans="1:9">
      <c r="A89" s="273"/>
      <c r="B89" s="280"/>
      <c r="C89" s="31" t="s">
        <v>101</v>
      </c>
      <c r="D89" s="31">
        <v>5</v>
      </c>
      <c r="E89" s="32" t="s">
        <v>13</v>
      </c>
      <c r="G89">
        <v>3</v>
      </c>
      <c r="I89">
        <f>+D89+H89-G89</f>
        <v>2</v>
      </c>
    </row>
    <row r="90" spans="1:9">
      <c r="A90" s="273"/>
      <c r="B90" s="280"/>
      <c r="C90" s="1" t="s">
        <v>102</v>
      </c>
      <c r="D90" s="1">
        <v>1</v>
      </c>
      <c r="E90" s="4" t="s">
        <v>13</v>
      </c>
      <c r="H90">
        <v>1</v>
      </c>
      <c r="I90">
        <f t="shared" ref="I90:I151" si="2">+D90+H90-G90</f>
        <v>2</v>
      </c>
    </row>
    <row r="91" spans="1:9">
      <c r="A91" s="273"/>
      <c r="B91" s="280"/>
      <c r="C91" s="1" t="s">
        <v>103</v>
      </c>
      <c r="D91" s="1">
        <v>1</v>
      </c>
      <c r="E91" s="4" t="s">
        <v>13</v>
      </c>
      <c r="H91">
        <v>2</v>
      </c>
      <c r="I91">
        <f t="shared" si="2"/>
        <v>3</v>
      </c>
    </row>
    <row r="92" spans="1:9">
      <c r="A92" s="273"/>
      <c r="B92" s="280"/>
      <c r="C92" s="1" t="s">
        <v>104</v>
      </c>
      <c r="D92" s="1">
        <v>5</v>
      </c>
      <c r="E92" s="4" t="s">
        <v>13</v>
      </c>
      <c r="I92">
        <f t="shared" si="2"/>
        <v>5</v>
      </c>
    </row>
    <row r="93" spans="1:9">
      <c r="A93" s="273"/>
      <c r="B93" s="280"/>
      <c r="C93" s="1" t="s">
        <v>105</v>
      </c>
      <c r="D93" s="1">
        <v>1</v>
      </c>
      <c r="E93" s="4" t="s">
        <v>13</v>
      </c>
      <c r="I93">
        <f t="shared" si="2"/>
        <v>1</v>
      </c>
    </row>
    <row r="94" spans="1:9">
      <c r="A94" s="273"/>
      <c r="B94" s="280"/>
      <c r="C94" s="1" t="s">
        <v>106</v>
      </c>
      <c r="D94" s="1">
        <v>2</v>
      </c>
      <c r="E94" s="4" t="s">
        <v>13</v>
      </c>
      <c r="I94">
        <f t="shared" si="2"/>
        <v>2</v>
      </c>
    </row>
    <row r="95" spans="1:9">
      <c r="A95" s="273"/>
      <c r="B95" s="280"/>
      <c r="C95" s="1" t="s">
        <v>107</v>
      </c>
      <c r="D95" s="1">
        <v>3</v>
      </c>
      <c r="E95" s="4" t="s">
        <v>13</v>
      </c>
      <c r="G95">
        <v>2</v>
      </c>
      <c r="I95">
        <f t="shared" si="2"/>
        <v>1</v>
      </c>
    </row>
    <row r="96" spans="1:9">
      <c r="A96" s="273"/>
      <c r="B96" s="280"/>
      <c r="C96" s="1" t="s">
        <v>108</v>
      </c>
      <c r="D96" s="1">
        <v>3</v>
      </c>
      <c r="E96" s="4" t="s">
        <v>13</v>
      </c>
      <c r="I96">
        <f t="shared" si="2"/>
        <v>3</v>
      </c>
    </row>
    <row r="97" spans="1:9">
      <c r="A97" s="273"/>
      <c r="B97" s="280"/>
      <c r="C97" s="1" t="s">
        <v>109</v>
      </c>
      <c r="D97" s="1">
        <v>1</v>
      </c>
      <c r="E97" s="4" t="s">
        <v>13</v>
      </c>
      <c r="I97">
        <f t="shared" si="2"/>
        <v>1</v>
      </c>
    </row>
    <row r="98" spans="1:9">
      <c r="A98" s="273"/>
      <c r="B98" s="280"/>
      <c r="C98" s="1" t="s">
        <v>110</v>
      </c>
      <c r="D98" s="1">
        <v>1</v>
      </c>
      <c r="E98" s="4" t="s">
        <v>13</v>
      </c>
      <c r="I98">
        <f t="shared" si="2"/>
        <v>1</v>
      </c>
    </row>
    <row r="99" spans="1:9">
      <c r="A99" s="273"/>
      <c r="B99" s="280"/>
      <c r="C99" s="1" t="s">
        <v>111</v>
      </c>
      <c r="D99" s="1">
        <v>1</v>
      </c>
      <c r="E99" s="4" t="s">
        <v>13</v>
      </c>
      <c r="I99">
        <f t="shared" si="2"/>
        <v>1</v>
      </c>
    </row>
    <row r="100" spans="1:9">
      <c r="A100" s="273"/>
      <c r="B100" s="280"/>
      <c r="C100" s="1" t="s">
        <v>112</v>
      </c>
      <c r="D100" s="1">
        <v>5</v>
      </c>
      <c r="E100" s="4" t="s">
        <v>13</v>
      </c>
      <c r="I100">
        <f t="shared" si="2"/>
        <v>5</v>
      </c>
    </row>
    <row r="101" spans="1:9">
      <c r="A101" s="273"/>
      <c r="B101" s="280"/>
      <c r="C101" s="1" t="s">
        <v>113</v>
      </c>
      <c r="D101" s="1">
        <v>1</v>
      </c>
      <c r="E101" s="4" t="s">
        <v>13</v>
      </c>
      <c r="I101">
        <f t="shared" si="2"/>
        <v>1</v>
      </c>
    </row>
    <row r="102" spans="1:9">
      <c r="A102" s="273"/>
      <c r="B102" s="280"/>
      <c r="C102" s="1" t="s">
        <v>114</v>
      </c>
      <c r="D102" s="1">
        <v>3</v>
      </c>
      <c r="E102" s="4" t="s">
        <v>13</v>
      </c>
      <c r="I102">
        <f t="shared" si="2"/>
        <v>3</v>
      </c>
    </row>
    <row r="103" spans="1:9">
      <c r="A103" s="273"/>
      <c r="B103" s="280"/>
      <c r="C103" s="1" t="s">
        <v>115</v>
      </c>
      <c r="D103" s="1">
        <v>5</v>
      </c>
      <c r="E103" s="4" t="s">
        <v>13</v>
      </c>
      <c r="G103">
        <v>2</v>
      </c>
      <c r="H103">
        <v>2</v>
      </c>
      <c r="I103">
        <f t="shared" si="2"/>
        <v>5</v>
      </c>
    </row>
    <row r="104" spans="1:9">
      <c r="A104" s="273"/>
      <c r="B104" s="280"/>
      <c r="C104" s="1" t="s">
        <v>116</v>
      </c>
      <c r="D104" s="1">
        <v>3</v>
      </c>
      <c r="E104" s="4" t="s">
        <v>13</v>
      </c>
      <c r="I104">
        <f t="shared" si="2"/>
        <v>3</v>
      </c>
    </row>
    <row r="105" spans="1:9">
      <c r="A105" s="273"/>
      <c r="B105" s="280"/>
      <c r="C105" s="1" t="s">
        <v>117</v>
      </c>
      <c r="D105" s="1">
        <v>4</v>
      </c>
      <c r="E105" s="4" t="s">
        <v>13</v>
      </c>
      <c r="I105">
        <f t="shared" si="2"/>
        <v>4</v>
      </c>
    </row>
    <row r="106" spans="1:9">
      <c r="A106" s="273"/>
      <c r="B106" s="280"/>
      <c r="C106" s="1" t="s">
        <v>118</v>
      </c>
      <c r="D106" s="1">
        <v>4</v>
      </c>
      <c r="E106" s="4" t="s">
        <v>13</v>
      </c>
      <c r="H106">
        <v>2</v>
      </c>
      <c r="I106">
        <f t="shared" si="2"/>
        <v>6</v>
      </c>
    </row>
    <row r="107" spans="1:9">
      <c r="A107" s="273"/>
      <c r="B107" s="280"/>
      <c r="C107" s="1" t="s">
        <v>119</v>
      </c>
      <c r="D107" s="1">
        <v>8</v>
      </c>
      <c r="E107" s="4" t="s">
        <v>13</v>
      </c>
      <c r="I107">
        <f t="shared" si="2"/>
        <v>8</v>
      </c>
    </row>
    <row r="108" spans="1:9">
      <c r="A108" s="273"/>
      <c r="B108" s="280"/>
      <c r="C108" s="1" t="s">
        <v>120</v>
      </c>
      <c r="D108" s="1">
        <v>2</v>
      </c>
      <c r="E108" s="4" t="s">
        <v>13</v>
      </c>
      <c r="I108">
        <f t="shared" si="2"/>
        <v>2</v>
      </c>
    </row>
    <row r="109" spans="1:9">
      <c r="A109" s="273"/>
      <c r="B109" s="280"/>
      <c r="C109" s="9" t="s">
        <v>121</v>
      </c>
      <c r="D109" s="9">
        <v>4</v>
      </c>
      <c r="E109" s="10" t="s">
        <v>13</v>
      </c>
      <c r="I109">
        <f t="shared" si="2"/>
        <v>4</v>
      </c>
    </row>
    <row r="110" spans="1:9" ht="15.75" thickBot="1">
      <c r="A110" s="274"/>
      <c r="B110" s="291"/>
      <c r="C110" s="5" t="s">
        <v>122</v>
      </c>
      <c r="D110" s="5">
        <v>1</v>
      </c>
      <c r="E110" s="10" t="s">
        <v>123</v>
      </c>
      <c r="I110">
        <f t="shared" si="2"/>
        <v>1</v>
      </c>
    </row>
    <row r="111" spans="1:9">
      <c r="A111" s="268">
        <v>15</v>
      </c>
      <c r="B111" s="265">
        <v>45972</v>
      </c>
      <c r="C111" s="2" t="s">
        <v>124</v>
      </c>
      <c r="D111" s="2">
        <v>16</v>
      </c>
      <c r="E111" s="3" t="s">
        <v>32</v>
      </c>
      <c r="G111">
        <v>2</v>
      </c>
      <c r="I111">
        <f t="shared" si="2"/>
        <v>14</v>
      </c>
    </row>
    <row r="112" spans="1:9">
      <c r="A112" s="269"/>
      <c r="B112" s="266"/>
      <c r="C112" s="1" t="s">
        <v>125</v>
      </c>
      <c r="D112" s="1">
        <v>22</v>
      </c>
      <c r="E112" s="4" t="s">
        <v>32</v>
      </c>
      <c r="I112">
        <f t="shared" si="2"/>
        <v>22</v>
      </c>
    </row>
    <row r="113" spans="1:9" ht="15.75" thickBot="1">
      <c r="A113" s="269"/>
      <c r="B113" s="271"/>
      <c r="C113" s="9" t="s">
        <v>126</v>
      </c>
      <c r="D113" s="9">
        <v>13</v>
      </c>
      <c r="E113" s="10" t="s">
        <v>32</v>
      </c>
      <c r="I113">
        <f t="shared" si="2"/>
        <v>13</v>
      </c>
    </row>
    <row r="114" spans="1:9">
      <c r="A114" s="287">
        <v>16</v>
      </c>
      <c r="B114" s="265">
        <v>45972</v>
      </c>
      <c r="C114" s="2" t="s">
        <v>127</v>
      </c>
      <c r="D114" s="2">
        <v>6</v>
      </c>
      <c r="E114" s="3" t="s">
        <v>32</v>
      </c>
      <c r="G114">
        <v>4</v>
      </c>
      <c r="I114">
        <f t="shared" si="2"/>
        <v>2</v>
      </c>
    </row>
    <row r="115" spans="1:9">
      <c r="A115" s="288"/>
      <c r="B115" s="266"/>
      <c r="C115" s="1" t="s">
        <v>128</v>
      </c>
      <c r="D115" s="1">
        <v>31</v>
      </c>
      <c r="E115" s="4" t="s">
        <v>32</v>
      </c>
      <c r="I115">
        <f t="shared" si="2"/>
        <v>31</v>
      </c>
    </row>
    <row r="116" spans="1:9" ht="15.75" thickBot="1">
      <c r="A116" s="290"/>
      <c r="B116" s="271"/>
      <c r="C116" s="9" t="s">
        <v>129</v>
      </c>
      <c r="D116" s="9">
        <v>1</v>
      </c>
      <c r="E116" s="10" t="s">
        <v>32</v>
      </c>
      <c r="I116">
        <f t="shared" si="2"/>
        <v>1</v>
      </c>
    </row>
    <row r="117" spans="1:9">
      <c r="A117" s="287">
        <v>17</v>
      </c>
      <c r="B117" s="265">
        <v>45972</v>
      </c>
      <c r="C117" s="2" t="s">
        <v>130</v>
      </c>
      <c r="D117" s="2">
        <v>10</v>
      </c>
      <c r="E117" s="3" t="s">
        <v>32</v>
      </c>
      <c r="I117">
        <f t="shared" si="2"/>
        <v>10</v>
      </c>
    </row>
    <row r="118" spans="1:9">
      <c r="A118" s="288"/>
      <c r="B118" s="266"/>
      <c r="C118" s="1" t="s">
        <v>131</v>
      </c>
      <c r="D118" s="1">
        <v>7</v>
      </c>
      <c r="E118" s="4" t="s">
        <v>32</v>
      </c>
      <c r="I118">
        <f t="shared" si="2"/>
        <v>7</v>
      </c>
    </row>
    <row r="119" spans="1:9">
      <c r="A119" s="288"/>
      <c r="B119" s="266"/>
      <c r="C119" s="1" t="s">
        <v>132</v>
      </c>
      <c r="D119" s="1">
        <v>17</v>
      </c>
      <c r="E119" s="4" t="s">
        <v>32</v>
      </c>
      <c r="I119">
        <f t="shared" si="2"/>
        <v>17</v>
      </c>
    </row>
    <row r="120" spans="1:9" ht="15.75" thickBot="1">
      <c r="A120" s="289"/>
      <c r="B120" s="271"/>
      <c r="C120" s="9" t="s">
        <v>133</v>
      </c>
      <c r="D120" s="9">
        <v>17</v>
      </c>
      <c r="E120" s="10" t="s">
        <v>32</v>
      </c>
      <c r="I120">
        <f t="shared" si="2"/>
        <v>17</v>
      </c>
    </row>
    <row r="121" spans="1:9">
      <c r="A121" s="272">
        <v>18</v>
      </c>
      <c r="B121" s="279">
        <v>45974</v>
      </c>
      <c r="C121" s="2" t="s">
        <v>134</v>
      </c>
      <c r="D121" s="2">
        <v>3</v>
      </c>
      <c r="E121" s="3" t="s">
        <v>32</v>
      </c>
      <c r="I121">
        <f t="shared" si="2"/>
        <v>3</v>
      </c>
    </row>
    <row r="122" spans="1:9">
      <c r="A122" s="273"/>
      <c r="B122" s="280"/>
      <c r="C122" s="1" t="s">
        <v>135</v>
      </c>
      <c r="D122" s="1">
        <v>4</v>
      </c>
      <c r="E122" s="4" t="s">
        <v>32</v>
      </c>
      <c r="I122">
        <f t="shared" si="2"/>
        <v>4</v>
      </c>
    </row>
    <row r="123" spans="1:9" ht="15.75" thickBot="1">
      <c r="A123" s="273"/>
      <c r="B123" s="280"/>
      <c r="C123" s="9" t="s">
        <v>136</v>
      </c>
      <c r="D123" s="9">
        <v>4</v>
      </c>
      <c r="E123" s="10" t="s">
        <v>32</v>
      </c>
      <c r="I123">
        <f t="shared" si="2"/>
        <v>4</v>
      </c>
    </row>
    <row r="124" spans="1:9">
      <c r="A124" s="287">
        <v>19</v>
      </c>
      <c r="B124" s="265">
        <v>45974</v>
      </c>
      <c r="C124" s="2" t="s">
        <v>137</v>
      </c>
      <c r="D124" s="2">
        <v>7</v>
      </c>
      <c r="E124" s="3" t="s">
        <v>32</v>
      </c>
      <c r="H124">
        <v>10</v>
      </c>
      <c r="I124">
        <f t="shared" si="2"/>
        <v>17</v>
      </c>
    </row>
    <row r="125" spans="1:9">
      <c r="A125" s="288"/>
      <c r="B125" s="266"/>
      <c r="C125" s="1" t="s">
        <v>138</v>
      </c>
      <c r="D125" s="1">
        <v>5</v>
      </c>
      <c r="E125" s="4" t="s">
        <v>32</v>
      </c>
      <c r="H125">
        <v>1</v>
      </c>
      <c r="I125">
        <f t="shared" si="2"/>
        <v>6</v>
      </c>
    </row>
    <row r="126" spans="1:9">
      <c r="A126" s="288"/>
      <c r="B126" s="266"/>
      <c r="C126" s="1" t="s">
        <v>139</v>
      </c>
      <c r="D126" s="1">
        <v>1</v>
      </c>
      <c r="E126" s="4" t="s">
        <v>32</v>
      </c>
      <c r="I126">
        <f t="shared" si="2"/>
        <v>1</v>
      </c>
    </row>
    <row r="127" spans="1:9">
      <c r="A127" s="288"/>
      <c r="B127" s="266"/>
      <c r="C127" s="1" t="s">
        <v>140</v>
      </c>
      <c r="D127" s="1">
        <v>3</v>
      </c>
      <c r="E127" s="4" t="s">
        <v>32</v>
      </c>
      <c r="I127">
        <f t="shared" si="2"/>
        <v>3</v>
      </c>
    </row>
    <row r="128" spans="1:9">
      <c r="A128" s="288"/>
      <c r="B128" s="266"/>
      <c r="C128" s="1" t="s">
        <v>141</v>
      </c>
      <c r="D128" s="1">
        <v>7</v>
      </c>
      <c r="E128" s="4" t="s">
        <v>32</v>
      </c>
      <c r="H128">
        <v>1</v>
      </c>
      <c r="I128">
        <f t="shared" si="2"/>
        <v>8</v>
      </c>
    </row>
    <row r="129" spans="1:9">
      <c r="A129" s="288"/>
      <c r="B129" s="266"/>
      <c r="C129" s="1" t="s">
        <v>142</v>
      </c>
      <c r="D129" s="1">
        <v>1</v>
      </c>
      <c r="E129" s="4" t="s">
        <v>32</v>
      </c>
      <c r="I129">
        <f t="shared" si="2"/>
        <v>1</v>
      </c>
    </row>
    <row r="130" spans="1:9">
      <c r="A130" s="288"/>
      <c r="B130" s="266"/>
      <c r="C130" s="1" t="s">
        <v>143</v>
      </c>
      <c r="D130" s="1">
        <v>8</v>
      </c>
      <c r="E130" s="4" t="s">
        <v>32</v>
      </c>
      <c r="H130">
        <v>4</v>
      </c>
      <c r="I130">
        <f t="shared" si="2"/>
        <v>12</v>
      </c>
    </row>
    <row r="131" spans="1:9">
      <c r="A131" s="288"/>
      <c r="B131" s="266"/>
      <c r="C131" s="1" t="s">
        <v>144</v>
      </c>
      <c r="D131" s="1">
        <v>6</v>
      </c>
      <c r="E131" s="4" t="s">
        <v>32</v>
      </c>
      <c r="H131">
        <v>1</v>
      </c>
      <c r="I131">
        <f t="shared" si="2"/>
        <v>7</v>
      </c>
    </row>
    <row r="132" spans="1:9">
      <c r="A132" s="288"/>
      <c r="B132" s="266"/>
      <c r="C132" s="1" t="s">
        <v>145</v>
      </c>
      <c r="D132" s="1">
        <v>2</v>
      </c>
      <c r="E132" s="4" t="s">
        <v>32</v>
      </c>
      <c r="H132">
        <v>3</v>
      </c>
      <c r="I132">
        <f t="shared" si="2"/>
        <v>5</v>
      </c>
    </row>
    <row r="133" spans="1:9">
      <c r="A133" s="288"/>
      <c r="B133" s="266"/>
      <c r="C133" s="1" t="s">
        <v>146</v>
      </c>
      <c r="D133" s="1">
        <v>5</v>
      </c>
      <c r="E133" s="4" t="s">
        <v>32</v>
      </c>
      <c r="I133">
        <f t="shared" si="2"/>
        <v>5</v>
      </c>
    </row>
    <row r="134" spans="1:9">
      <c r="A134" s="288"/>
      <c r="B134" s="266"/>
      <c r="C134" s="1" t="s">
        <v>147</v>
      </c>
      <c r="D134" s="1">
        <v>5</v>
      </c>
      <c r="E134" s="4" t="s">
        <v>32</v>
      </c>
      <c r="I134">
        <f t="shared" si="2"/>
        <v>5</v>
      </c>
    </row>
    <row r="135" spans="1:9">
      <c r="A135" s="288"/>
      <c r="B135" s="266"/>
      <c r="C135" s="1" t="s">
        <v>148</v>
      </c>
      <c r="D135" s="1">
        <v>14</v>
      </c>
      <c r="E135" s="4" t="s">
        <v>32</v>
      </c>
      <c r="I135">
        <f t="shared" si="2"/>
        <v>14</v>
      </c>
    </row>
    <row r="136" spans="1:9">
      <c r="A136" s="288"/>
      <c r="B136" s="266"/>
      <c r="C136" s="1" t="s">
        <v>149</v>
      </c>
      <c r="D136" s="1">
        <v>2</v>
      </c>
      <c r="E136" s="4" t="s">
        <v>32</v>
      </c>
      <c r="I136">
        <f t="shared" si="2"/>
        <v>2</v>
      </c>
    </row>
    <row r="137" spans="1:9">
      <c r="A137" s="288"/>
      <c r="B137" s="266"/>
      <c r="C137" s="1" t="s">
        <v>150</v>
      </c>
      <c r="D137" s="1">
        <v>1</v>
      </c>
      <c r="E137" s="4" t="s">
        <v>32</v>
      </c>
      <c r="I137">
        <f t="shared" si="2"/>
        <v>1</v>
      </c>
    </row>
    <row r="138" spans="1:9" ht="15.75" thickBot="1">
      <c r="A138" s="290"/>
      <c r="B138" s="271"/>
      <c r="C138" s="9" t="s">
        <v>151</v>
      </c>
      <c r="D138" s="9">
        <v>1</v>
      </c>
      <c r="E138" s="10" t="s">
        <v>32</v>
      </c>
      <c r="I138">
        <f t="shared" si="2"/>
        <v>1</v>
      </c>
    </row>
    <row r="139" spans="1:9">
      <c r="A139" s="287">
        <v>20</v>
      </c>
      <c r="B139" s="265">
        <v>45974</v>
      </c>
      <c r="C139" s="2" t="s">
        <v>152</v>
      </c>
      <c r="D139" s="2">
        <v>2</v>
      </c>
      <c r="E139" s="3" t="s">
        <v>32</v>
      </c>
      <c r="I139">
        <f t="shared" si="2"/>
        <v>2</v>
      </c>
    </row>
    <row r="140" spans="1:9" ht="15.75" thickBot="1">
      <c r="A140" s="289"/>
      <c r="B140" s="267"/>
      <c r="C140" s="5" t="s">
        <v>153</v>
      </c>
      <c r="D140" s="5">
        <v>3</v>
      </c>
      <c r="E140" s="11" t="s">
        <v>32</v>
      </c>
      <c r="I140">
        <f t="shared" si="2"/>
        <v>3</v>
      </c>
    </row>
    <row r="141" spans="1:9" ht="15.75" thickBot="1">
      <c r="A141" s="18">
        <v>21</v>
      </c>
      <c r="B141" s="19">
        <v>45974</v>
      </c>
      <c r="C141" s="20" t="s">
        <v>154</v>
      </c>
      <c r="D141" s="20">
        <v>5</v>
      </c>
      <c r="E141" s="21" t="s">
        <v>32</v>
      </c>
      <c r="I141">
        <f t="shared" si="2"/>
        <v>5</v>
      </c>
    </row>
    <row r="142" spans="1:9">
      <c r="A142" s="272" t="s">
        <v>155</v>
      </c>
      <c r="B142" s="265">
        <v>45974</v>
      </c>
      <c r="C142" s="2" t="s">
        <v>156</v>
      </c>
      <c r="D142" s="2">
        <v>2</v>
      </c>
      <c r="E142" s="3" t="s">
        <v>32</v>
      </c>
      <c r="H142">
        <v>2</v>
      </c>
      <c r="I142">
        <f t="shared" si="2"/>
        <v>4</v>
      </c>
    </row>
    <row r="143" spans="1:9">
      <c r="A143" s="273"/>
      <c r="B143" s="266"/>
      <c r="C143" s="1" t="s">
        <v>157</v>
      </c>
      <c r="D143" s="1">
        <v>1</v>
      </c>
      <c r="E143" s="4" t="s">
        <v>32</v>
      </c>
      <c r="I143">
        <f t="shared" si="2"/>
        <v>1</v>
      </c>
    </row>
    <row r="144" spans="1:9">
      <c r="A144" s="273"/>
      <c r="B144" s="266"/>
      <c r="C144" s="1" t="s">
        <v>158</v>
      </c>
      <c r="D144" s="1">
        <v>3</v>
      </c>
      <c r="E144" s="4" t="s">
        <v>32</v>
      </c>
      <c r="I144">
        <f t="shared" si="2"/>
        <v>3</v>
      </c>
    </row>
    <row r="145" spans="1:9">
      <c r="A145" s="273"/>
      <c r="B145" s="266"/>
      <c r="C145" s="1" t="s">
        <v>159</v>
      </c>
      <c r="D145" s="1">
        <v>8</v>
      </c>
      <c r="E145" s="4" t="s">
        <v>32</v>
      </c>
      <c r="I145">
        <f t="shared" si="2"/>
        <v>8</v>
      </c>
    </row>
    <row r="146" spans="1:9">
      <c r="A146" s="273"/>
      <c r="B146" s="266"/>
      <c r="C146" s="1" t="s">
        <v>160</v>
      </c>
      <c r="D146" s="1">
        <v>7</v>
      </c>
      <c r="E146" s="4" t="s">
        <v>32</v>
      </c>
      <c r="I146">
        <f t="shared" si="2"/>
        <v>7</v>
      </c>
    </row>
    <row r="147" spans="1:9">
      <c r="A147" s="273"/>
      <c r="B147" s="266"/>
      <c r="C147" s="1" t="s">
        <v>161</v>
      </c>
      <c r="D147" s="1">
        <v>7</v>
      </c>
      <c r="E147" s="4" t="s">
        <v>32</v>
      </c>
      <c r="I147">
        <f t="shared" si="2"/>
        <v>7</v>
      </c>
    </row>
    <row r="148" spans="1:9">
      <c r="A148" s="273"/>
      <c r="B148" s="266"/>
      <c r="C148" s="1" t="s">
        <v>162</v>
      </c>
      <c r="D148" s="1">
        <v>11</v>
      </c>
      <c r="E148" s="4" t="s">
        <v>32</v>
      </c>
      <c r="I148">
        <f t="shared" si="2"/>
        <v>11</v>
      </c>
    </row>
    <row r="149" spans="1:9">
      <c r="A149" s="273"/>
      <c r="B149" s="266"/>
      <c r="C149" s="1" t="s">
        <v>163</v>
      </c>
      <c r="D149" s="1">
        <v>20</v>
      </c>
      <c r="E149" s="4" t="s">
        <v>32</v>
      </c>
      <c r="I149">
        <f t="shared" si="2"/>
        <v>20</v>
      </c>
    </row>
    <row r="150" spans="1:9">
      <c r="A150" s="273"/>
      <c r="B150" s="266"/>
      <c r="C150" s="1" t="s">
        <v>164</v>
      </c>
      <c r="D150" s="1">
        <v>5</v>
      </c>
      <c r="E150" s="4" t="s">
        <v>32</v>
      </c>
      <c r="I150">
        <f t="shared" si="2"/>
        <v>5</v>
      </c>
    </row>
    <row r="151" spans="1:9">
      <c r="A151" s="273"/>
      <c r="B151" s="266"/>
      <c r="C151" s="1" t="s">
        <v>165</v>
      </c>
      <c r="D151" s="1">
        <v>4</v>
      </c>
      <c r="E151" s="4" t="s">
        <v>32</v>
      </c>
      <c r="I151">
        <f t="shared" si="2"/>
        <v>4</v>
      </c>
    </row>
    <row r="152" spans="1:9">
      <c r="A152" s="273"/>
      <c r="B152" s="266"/>
      <c r="C152" s="1" t="s">
        <v>166</v>
      </c>
      <c r="D152" s="1">
        <v>17</v>
      </c>
      <c r="E152" s="4" t="s">
        <v>32</v>
      </c>
      <c r="I152">
        <f t="shared" ref="I152:I215" si="3">+D152+H152-G152</f>
        <v>17</v>
      </c>
    </row>
    <row r="153" spans="1:9">
      <c r="A153" s="273"/>
      <c r="B153" s="266"/>
      <c r="C153" s="1" t="s">
        <v>167</v>
      </c>
      <c r="D153" s="1">
        <v>14</v>
      </c>
      <c r="E153" s="4" t="s">
        <v>32</v>
      </c>
      <c r="G153">
        <v>5</v>
      </c>
      <c r="I153">
        <f t="shared" si="3"/>
        <v>9</v>
      </c>
    </row>
    <row r="154" spans="1:9">
      <c r="A154" s="273"/>
      <c r="B154" s="266"/>
      <c r="C154" s="1" t="s">
        <v>168</v>
      </c>
      <c r="D154" s="1">
        <v>1</v>
      </c>
      <c r="E154" s="4" t="s">
        <v>32</v>
      </c>
      <c r="I154">
        <f t="shared" si="3"/>
        <v>1</v>
      </c>
    </row>
    <row r="155" spans="1:9" ht="15.75" thickBot="1">
      <c r="A155" s="274"/>
      <c r="B155" s="267"/>
      <c r="C155" s="5" t="s">
        <v>169</v>
      </c>
      <c r="D155" s="5">
        <v>1</v>
      </c>
      <c r="E155" s="11" t="s">
        <v>32</v>
      </c>
      <c r="I155">
        <f t="shared" si="3"/>
        <v>1</v>
      </c>
    </row>
    <row r="156" spans="1:9" ht="15.75" thickBot="1">
      <c r="A156" s="22"/>
      <c r="B156" s="23">
        <v>45974</v>
      </c>
      <c r="C156" s="20" t="s">
        <v>170</v>
      </c>
      <c r="D156" s="20">
        <v>1</v>
      </c>
      <c r="E156" s="21"/>
      <c r="I156">
        <f t="shared" si="3"/>
        <v>1</v>
      </c>
    </row>
    <row r="157" spans="1:9">
      <c r="A157" s="287">
        <v>23</v>
      </c>
      <c r="B157" s="265">
        <v>45975</v>
      </c>
      <c r="C157" s="2" t="s">
        <v>171</v>
      </c>
      <c r="D157" s="2">
        <v>11</v>
      </c>
      <c r="E157" s="3" t="s">
        <v>172</v>
      </c>
      <c r="I157">
        <f t="shared" si="3"/>
        <v>11</v>
      </c>
    </row>
    <row r="158" spans="1:9">
      <c r="A158" s="288"/>
      <c r="B158" s="266"/>
      <c r="C158" s="1" t="s">
        <v>173</v>
      </c>
      <c r="D158" s="1">
        <v>2</v>
      </c>
      <c r="E158" s="4" t="s">
        <v>172</v>
      </c>
      <c r="I158">
        <f t="shared" si="3"/>
        <v>2</v>
      </c>
    </row>
    <row r="159" spans="1:9">
      <c r="A159" s="288"/>
      <c r="B159" s="266"/>
      <c r="C159" s="1" t="s">
        <v>174</v>
      </c>
      <c r="D159" s="1">
        <v>4</v>
      </c>
      <c r="E159" s="4" t="s">
        <v>172</v>
      </c>
      <c r="I159">
        <f t="shared" si="3"/>
        <v>4</v>
      </c>
    </row>
    <row r="160" spans="1:9">
      <c r="A160" s="288"/>
      <c r="B160" s="266"/>
      <c r="C160" s="1" t="s">
        <v>175</v>
      </c>
      <c r="D160" s="1">
        <v>1</v>
      </c>
      <c r="E160" s="4" t="s">
        <v>172</v>
      </c>
      <c r="I160">
        <f t="shared" si="3"/>
        <v>1</v>
      </c>
    </row>
    <row r="161" spans="1:9">
      <c r="A161" s="288"/>
      <c r="B161" s="266"/>
      <c r="C161" s="1" t="s">
        <v>176</v>
      </c>
      <c r="D161" s="1">
        <v>4</v>
      </c>
      <c r="E161" s="4" t="s">
        <v>172</v>
      </c>
      <c r="I161">
        <f t="shared" si="3"/>
        <v>4</v>
      </c>
    </row>
    <row r="162" spans="1:9">
      <c r="A162" s="288"/>
      <c r="B162" s="266"/>
      <c r="C162" s="1" t="s">
        <v>177</v>
      </c>
      <c r="D162" s="1">
        <v>5</v>
      </c>
      <c r="E162" s="4" t="s">
        <v>172</v>
      </c>
      <c r="I162">
        <f t="shared" si="3"/>
        <v>5</v>
      </c>
    </row>
    <row r="163" spans="1:9">
      <c r="A163" s="288"/>
      <c r="B163" s="266"/>
      <c r="C163" s="1" t="s">
        <v>178</v>
      </c>
      <c r="D163" s="1">
        <v>10</v>
      </c>
      <c r="E163" s="4" t="s">
        <v>172</v>
      </c>
      <c r="I163">
        <f t="shared" si="3"/>
        <v>10</v>
      </c>
    </row>
    <row r="164" spans="1:9">
      <c r="A164" s="288"/>
      <c r="B164" s="266"/>
      <c r="C164" s="1" t="s">
        <v>179</v>
      </c>
      <c r="D164" s="1">
        <v>2</v>
      </c>
      <c r="E164" s="4" t="s">
        <v>172</v>
      </c>
      <c r="I164">
        <f t="shared" si="3"/>
        <v>2</v>
      </c>
    </row>
    <row r="165" spans="1:9">
      <c r="A165" s="288"/>
      <c r="B165" s="266"/>
      <c r="C165" s="1" t="s">
        <v>180</v>
      </c>
      <c r="D165" s="1">
        <v>7</v>
      </c>
      <c r="E165" s="4" t="s">
        <v>172</v>
      </c>
      <c r="I165">
        <f t="shared" si="3"/>
        <v>7</v>
      </c>
    </row>
    <row r="166" spans="1:9">
      <c r="A166" s="288"/>
      <c r="B166" s="266"/>
      <c r="C166" s="1" t="s">
        <v>181</v>
      </c>
      <c r="D166" s="1">
        <v>6</v>
      </c>
      <c r="E166" s="4" t="s">
        <v>172</v>
      </c>
      <c r="I166">
        <f t="shared" si="3"/>
        <v>6</v>
      </c>
    </row>
    <row r="167" spans="1:9">
      <c r="A167" s="288"/>
      <c r="B167" s="266"/>
      <c r="C167" s="1" t="s">
        <v>182</v>
      </c>
      <c r="D167" s="1">
        <v>2</v>
      </c>
      <c r="E167" s="4" t="s">
        <v>172</v>
      </c>
      <c r="I167">
        <f t="shared" si="3"/>
        <v>2</v>
      </c>
    </row>
    <row r="168" spans="1:9">
      <c r="A168" s="288"/>
      <c r="B168" s="266"/>
      <c r="C168" s="1" t="s">
        <v>183</v>
      </c>
      <c r="D168" s="1">
        <v>2</v>
      </c>
      <c r="E168" s="4" t="s">
        <v>172</v>
      </c>
      <c r="I168">
        <f t="shared" si="3"/>
        <v>2</v>
      </c>
    </row>
    <row r="169" spans="1:9">
      <c r="A169" s="288"/>
      <c r="B169" s="266"/>
      <c r="C169" s="1" t="s">
        <v>184</v>
      </c>
      <c r="D169" s="1">
        <v>8</v>
      </c>
      <c r="E169" s="4" t="s">
        <v>172</v>
      </c>
      <c r="I169">
        <f t="shared" si="3"/>
        <v>8</v>
      </c>
    </row>
    <row r="170" spans="1:9">
      <c r="A170" s="288"/>
      <c r="B170" s="266"/>
      <c r="C170" s="1" t="s">
        <v>185</v>
      </c>
      <c r="D170" s="1">
        <v>2</v>
      </c>
      <c r="E170" s="4" t="s">
        <v>172</v>
      </c>
      <c r="I170">
        <f t="shared" si="3"/>
        <v>2</v>
      </c>
    </row>
    <row r="171" spans="1:9">
      <c r="A171" s="288"/>
      <c r="B171" s="266"/>
      <c r="C171" s="1" t="s">
        <v>186</v>
      </c>
      <c r="D171" s="1">
        <v>3</v>
      </c>
      <c r="E171" s="4" t="s">
        <v>172</v>
      </c>
      <c r="I171">
        <f t="shared" si="3"/>
        <v>3</v>
      </c>
    </row>
    <row r="172" spans="1:9">
      <c r="A172" s="288"/>
      <c r="B172" s="266"/>
      <c r="C172" s="1" t="s">
        <v>187</v>
      </c>
      <c r="D172" s="1">
        <v>1</v>
      </c>
      <c r="E172" s="4" t="s">
        <v>172</v>
      </c>
      <c r="I172">
        <f t="shared" si="3"/>
        <v>1</v>
      </c>
    </row>
    <row r="173" spans="1:9">
      <c r="A173" s="288"/>
      <c r="B173" s="266"/>
      <c r="C173" s="1" t="s">
        <v>188</v>
      </c>
      <c r="D173" s="1">
        <v>1</v>
      </c>
      <c r="E173" s="4" t="s">
        <v>172</v>
      </c>
      <c r="I173">
        <f t="shared" si="3"/>
        <v>1</v>
      </c>
    </row>
    <row r="174" spans="1:9">
      <c r="A174" s="288"/>
      <c r="B174" s="266"/>
      <c r="C174" s="1" t="s">
        <v>189</v>
      </c>
      <c r="D174" s="1">
        <v>4</v>
      </c>
      <c r="E174" s="4" t="s">
        <v>172</v>
      </c>
      <c r="I174">
        <f t="shared" si="3"/>
        <v>4</v>
      </c>
    </row>
    <row r="175" spans="1:9">
      <c r="A175" s="288"/>
      <c r="B175" s="266"/>
      <c r="C175" s="1" t="s">
        <v>190</v>
      </c>
      <c r="D175" s="1">
        <v>1</v>
      </c>
      <c r="E175" s="4" t="s">
        <v>172</v>
      </c>
      <c r="I175">
        <f t="shared" si="3"/>
        <v>1</v>
      </c>
    </row>
    <row r="176" spans="1:9" ht="15.75" thickBot="1">
      <c r="A176" s="289"/>
      <c r="B176" s="271"/>
      <c r="C176" s="9" t="s">
        <v>191</v>
      </c>
      <c r="D176" s="9">
        <v>2</v>
      </c>
      <c r="E176" s="10" t="s">
        <v>172</v>
      </c>
      <c r="I176">
        <f t="shared" si="3"/>
        <v>2</v>
      </c>
    </row>
    <row r="177" spans="1:9">
      <c r="A177" s="272">
        <v>24</v>
      </c>
      <c r="B177" s="265">
        <v>45975</v>
      </c>
      <c r="C177" s="2" t="s">
        <v>192</v>
      </c>
      <c r="D177" s="2">
        <v>1</v>
      </c>
      <c r="E177" s="3" t="s">
        <v>193</v>
      </c>
      <c r="I177">
        <f t="shared" si="3"/>
        <v>1</v>
      </c>
    </row>
    <row r="178" spans="1:9">
      <c r="A178" s="273"/>
      <c r="B178" s="281"/>
      <c r="C178" s="1" t="s">
        <v>194</v>
      </c>
      <c r="D178" s="13">
        <v>1</v>
      </c>
      <c r="E178" s="4" t="s">
        <v>193</v>
      </c>
      <c r="I178">
        <f t="shared" si="3"/>
        <v>1</v>
      </c>
    </row>
    <row r="179" spans="1:9">
      <c r="A179" s="273"/>
      <c r="B179" s="266"/>
      <c r="C179" s="1" t="s">
        <v>195</v>
      </c>
      <c r="D179" s="1">
        <v>1</v>
      </c>
      <c r="E179" s="4" t="s">
        <v>193</v>
      </c>
      <c r="H179">
        <v>2</v>
      </c>
      <c r="I179">
        <f t="shared" si="3"/>
        <v>3</v>
      </c>
    </row>
    <row r="180" spans="1:9">
      <c r="A180" s="273"/>
      <c r="B180" s="266"/>
      <c r="C180" s="1" t="s">
        <v>196</v>
      </c>
      <c r="D180" s="1">
        <v>4</v>
      </c>
      <c r="E180" s="4" t="s">
        <v>193</v>
      </c>
      <c r="H180">
        <v>2</v>
      </c>
      <c r="I180">
        <f t="shared" si="3"/>
        <v>6</v>
      </c>
    </row>
    <row r="181" spans="1:9">
      <c r="A181" s="273"/>
      <c r="B181" s="266"/>
      <c r="C181" s="1" t="s">
        <v>197</v>
      </c>
      <c r="D181" s="1">
        <v>5</v>
      </c>
      <c r="E181" s="4" t="s">
        <v>193</v>
      </c>
      <c r="H181">
        <v>1</v>
      </c>
      <c r="I181">
        <f t="shared" si="3"/>
        <v>6</v>
      </c>
    </row>
    <row r="182" spans="1:9" ht="15.75" thickBot="1">
      <c r="A182" s="274"/>
      <c r="B182" s="271"/>
      <c r="C182" s="9" t="s">
        <v>198</v>
      </c>
      <c r="D182" s="9">
        <v>6</v>
      </c>
      <c r="E182" s="10" t="s">
        <v>193</v>
      </c>
      <c r="I182">
        <f t="shared" si="3"/>
        <v>6</v>
      </c>
    </row>
    <row r="183" spans="1:9">
      <c r="A183" s="268">
        <v>25</v>
      </c>
      <c r="B183" s="265">
        <v>45975</v>
      </c>
      <c r="C183" s="2" t="s">
        <v>199</v>
      </c>
      <c r="D183" s="2">
        <v>7</v>
      </c>
      <c r="E183" s="3" t="s">
        <v>172</v>
      </c>
      <c r="I183">
        <f t="shared" si="3"/>
        <v>7</v>
      </c>
    </row>
    <row r="184" spans="1:9">
      <c r="A184" s="269"/>
      <c r="B184" s="266"/>
      <c r="C184" s="1" t="s">
        <v>200</v>
      </c>
      <c r="D184" s="1">
        <v>10</v>
      </c>
      <c r="E184" s="4" t="s">
        <v>172</v>
      </c>
      <c r="I184">
        <f t="shared" si="3"/>
        <v>10</v>
      </c>
    </row>
    <row r="185" spans="1:9">
      <c r="A185" s="269"/>
      <c r="B185" s="266"/>
      <c r="C185" s="1" t="s">
        <v>201</v>
      </c>
      <c r="D185" s="1">
        <v>1</v>
      </c>
      <c r="E185" s="4" t="s">
        <v>32</v>
      </c>
      <c r="I185">
        <f t="shared" si="3"/>
        <v>1</v>
      </c>
    </row>
    <row r="186" spans="1:9">
      <c r="A186" s="269"/>
      <c r="B186" s="266"/>
      <c r="C186" s="1" t="s">
        <v>202</v>
      </c>
      <c r="D186" s="1">
        <v>4</v>
      </c>
      <c r="E186" s="4" t="s">
        <v>32</v>
      </c>
      <c r="I186">
        <f t="shared" si="3"/>
        <v>4</v>
      </c>
    </row>
    <row r="187" spans="1:9">
      <c r="A187" s="269"/>
      <c r="B187" s="266"/>
      <c r="C187" s="1" t="s">
        <v>203</v>
      </c>
      <c r="D187" s="1">
        <v>1</v>
      </c>
      <c r="E187" s="4" t="s">
        <v>32</v>
      </c>
      <c r="I187">
        <f t="shared" si="3"/>
        <v>1</v>
      </c>
    </row>
    <row r="188" spans="1:9" ht="15.75" thickBot="1">
      <c r="A188" s="270"/>
      <c r="B188" s="271"/>
      <c r="C188" s="9" t="s">
        <v>204</v>
      </c>
      <c r="D188" s="9">
        <v>1</v>
      </c>
      <c r="E188" s="10" t="s">
        <v>32</v>
      </c>
      <c r="I188">
        <f t="shared" si="3"/>
        <v>1</v>
      </c>
    </row>
    <row r="189" spans="1:9">
      <c r="A189" s="268">
        <v>26</v>
      </c>
      <c r="B189" s="265">
        <v>45975</v>
      </c>
      <c r="C189" s="2" t="s">
        <v>205</v>
      </c>
      <c r="D189" s="2">
        <v>4</v>
      </c>
      <c r="E189" s="3" t="s">
        <v>32</v>
      </c>
      <c r="I189">
        <f t="shared" si="3"/>
        <v>4</v>
      </c>
    </row>
    <row r="190" spans="1:9" ht="15.75" thickBot="1">
      <c r="A190" s="270"/>
      <c r="B190" s="271"/>
      <c r="C190" s="9" t="s">
        <v>206</v>
      </c>
      <c r="D190" s="9">
        <v>1</v>
      </c>
      <c r="E190" s="10" t="s">
        <v>32</v>
      </c>
      <c r="I190">
        <f t="shared" si="3"/>
        <v>1</v>
      </c>
    </row>
    <row r="191" spans="1:9">
      <c r="A191" s="268">
        <v>27</v>
      </c>
      <c r="B191" s="265">
        <v>45975</v>
      </c>
      <c r="C191" s="2" t="s">
        <v>207</v>
      </c>
      <c r="D191" s="2">
        <v>1</v>
      </c>
      <c r="E191" s="3" t="s">
        <v>32</v>
      </c>
      <c r="I191">
        <f t="shared" si="3"/>
        <v>1</v>
      </c>
    </row>
    <row r="192" spans="1:9">
      <c r="A192" s="269"/>
      <c r="B192" s="266"/>
      <c r="C192" s="1" t="s">
        <v>208</v>
      </c>
      <c r="D192" s="1">
        <v>13</v>
      </c>
      <c r="E192" s="4" t="s">
        <v>32</v>
      </c>
      <c r="I192">
        <f t="shared" si="3"/>
        <v>13</v>
      </c>
    </row>
    <row r="193" spans="1:9">
      <c r="A193" s="269"/>
      <c r="B193" s="266"/>
      <c r="C193" s="1" t="s">
        <v>209</v>
      </c>
      <c r="D193" s="1">
        <v>2</v>
      </c>
      <c r="E193" s="4" t="s">
        <v>32</v>
      </c>
      <c r="I193">
        <f t="shared" si="3"/>
        <v>2</v>
      </c>
    </row>
    <row r="194" spans="1:9">
      <c r="A194" s="269"/>
      <c r="B194" s="266"/>
      <c r="C194" s="1" t="s">
        <v>210</v>
      </c>
      <c r="D194" s="1">
        <v>3</v>
      </c>
      <c r="E194" s="4" t="s">
        <v>32</v>
      </c>
      <c r="I194">
        <f t="shared" si="3"/>
        <v>3</v>
      </c>
    </row>
    <row r="195" spans="1:9">
      <c r="A195" s="269"/>
      <c r="B195" s="266"/>
      <c r="C195" s="1" t="s">
        <v>211</v>
      </c>
      <c r="D195" s="1">
        <v>2</v>
      </c>
      <c r="E195" s="4" t="s">
        <v>193</v>
      </c>
      <c r="I195">
        <f t="shared" si="3"/>
        <v>2</v>
      </c>
    </row>
    <row r="196" spans="1:9" ht="15.75" thickBot="1">
      <c r="A196" s="270"/>
      <c r="B196" s="271"/>
      <c r="C196" s="9" t="s">
        <v>212</v>
      </c>
      <c r="D196" s="9">
        <v>1</v>
      </c>
      <c r="E196" s="10" t="s">
        <v>193</v>
      </c>
      <c r="H196">
        <v>1</v>
      </c>
      <c r="I196">
        <f t="shared" si="3"/>
        <v>2</v>
      </c>
    </row>
    <row r="197" spans="1:9">
      <c r="A197" s="268">
        <v>28</v>
      </c>
      <c r="B197" s="265">
        <v>45975</v>
      </c>
      <c r="C197" s="2" t="s">
        <v>213</v>
      </c>
      <c r="D197" s="2">
        <v>1</v>
      </c>
      <c r="E197" s="3" t="s">
        <v>32</v>
      </c>
      <c r="I197">
        <f t="shared" si="3"/>
        <v>1</v>
      </c>
    </row>
    <row r="198" spans="1:9" ht="15.75" thickBot="1">
      <c r="A198" s="270"/>
      <c r="B198" s="267"/>
      <c r="C198" s="5" t="s">
        <v>214</v>
      </c>
      <c r="D198" s="5">
        <v>20</v>
      </c>
      <c r="E198" s="11" t="s">
        <v>32</v>
      </c>
      <c r="I198">
        <f t="shared" si="3"/>
        <v>20</v>
      </c>
    </row>
    <row r="199" spans="1:9" ht="15.75" thickBot="1">
      <c r="A199" s="18">
        <v>29</v>
      </c>
      <c r="B199" s="24">
        <v>45975</v>
      </c>
      <c r="C199" s="25" t="s">
        <v>215</v>
      </c>
      <c r="D199" s="20">
        <v>7</v>
      </c>
      <c r="E199" s="26" t="s">
        <v>32</v>
      </c>
      <c r="I199">
        <f t="shared" si="3"/>
        <v>7</v>
      </c>
    </row>
    <row r="200" spans="1:9">
      <c r="A200" s="268">
        <v>30</v>
      </c>
      <c r="B200" s="265">
        <v>45975</v>
      </c>
      <c r="C200" s="2" t="s">
        <v>216</v>
      </c>
      <c r="D200" s="2">
        <v>4</v>
      </c>
      <c r="E200" s="3" t="s">
        <v>32</v>
      </c>
      <c r="I200">
        <f t="shared" si="3"/>
        <v>4</v>
      </c>
    </row>
    <row r="201" spans="1:9">
      <c r="A201" s="269"/>
      <c r="B201" s="266"/>
      <c r="C201" s="1" t="s">
        <v>217</v>
      </c>
      <c r="D201" s="1">
        <v>3</v>
      </c>
      <c r="E201" s="4" t="s">
        <v>32</v>
      </c>
      <c r="I201">
        <f t="shared" si="3"/>
        <v>3</v>
      </c>
    </row>
    <row r="202" spans="1:9">
      <c r="A202" s="269"/>
      <c r="B202" s="266"/>
      <c r="C202" s="1" t="s">
        <v>201</v>
      </c>
      <c r="D202" s="1">
        <v>3</v>
      </c>
      <c r="E202" s="4" t="s">
        <v>32</v>
      </c>
      <c r="I202">
        <f t="shared" si="3"/>
        <v>3</v>
      </c>
    </row>
    <row r="203" spans="1:9">
      <c r="A203" s="269"/>
      <c r="B203" s="266"/>
      <c r="C203" s="1" t="s">
        <v>218</v>
      </c>
      <c r="D203" s="1">
        <v>1</v>
      </c>
      <c r="E203" s="4" t="s">
        <v>32</v>
      </c>
      <c r="I203">
        <f t="shared" si="3"/>
        <v>1</v>
      </c>
    </row>
    <row r="204" spans="1:9">
      <c r="A204" s="269"/>
      <c r="B204" s="266"/>
      <c r="C204" s="1" t="s">
        <v>219</v>
      </c>
      <c r="D204" s="1">
        <v>1</v>
      </c>
      <c r="E204" s="4" t="s">
        <v>32</v>
      </c>
      <c r="I204">
        <f t="shared" si="3"/>
        <v>1</v>
      </c>
    </row>
    <row r="205" spans="1:9" ht="15.75" thickBot="1">
      <c r="A205" s="270"/>
      <c r="B205" s="271"/>
      <c r="C205" s="9" t="s">
        <v>220</v>
      </c>
      <c r="D205" s="9">
        <v>1</v>
      </c>
      <c r="E205" s="10" t="s">
        <v>32</v>
      </c>
      <c r="I205">
        <f t="shared" si="3"/>
        <v>1</v>
      </c>
    </row>
    <row r="206" spans="1:9">
      <c r="A206" s="268">
        <v>31</v>
      </c>
      <c r="B206" s="265">
        <v>45975</v>
      </c>
      <c r="C206" s="2" t="s">
        <v>221</v>
      </c>
      <c r="D206" s="2">
        <v>11</v>
      </c>
      <c r="E206" s="3" t="s">
        <v>193</v>
      </c>
      <c r="H206">
        <v>1</v>
      </c>
      <c r="I206">
        <f t="shared" si="3"/>
        <v>12</v>
      </c>
    </row>
    <row r="207" spans="1:9">
      <c r="A207" s="269"/>
      <c r="B207" s="266"/>
      <c r="C207" s="1" t="s">
        <v>222</v>
      </c>
      <c r="D207" s="1">
        <v>3</v>
      </c>
      <c r="E207" s="4" t="s">
        <v>193</v>
      </c>
      <c r="I207">
        <f t="shared" si="3"/>
        <v>3</v>
      </c>
    </row>
    <row r="208" spans="1:9">
      <c r="A208" s="269"/>
      <c r="B208" s="266"/>
      <c r="C208" s="1" t="s">
        <v>223</v>
      </c>
      <c r="D208" s="1">
        <v>3</v>
      </c>
      <c r="E208" s="4" t="s">
        <v>193</v>
      </c>
      <c r="H208">
        <v>2</v>
      </c>
      <c r="I208">
        <f t="shared" si="3"/>
        <v>5</v>
      </c>
    </row>
    <row r="209" spans="1:9">
      <c r="A209" s="269"/>
      <c r="B209" s="266"/>
      <c r="C209" s="1" t="s">
        <v>224</v>
      </c>
      <c r="D209" s="1">
        <v>7</v>
      </c>
      <c r="E209" s="4" t="s">
        <v>193</v>
      </c>
      <c r="I209">
        <f t="shared" si="3"/>
        <v>7</v>
      </c>
    </row>
    <row r="210" spans="1:9">
      <c r="A210" s="269"/>
      <c r="B210" s="266"/>
      <c r="C210" s="1" t="s">
        <v>225</v>
      </c>
      <c r="D210" s="1">
        <v>12</v>
      </c>
      <c r="E210" s="4" t="s">
        <v>193</v>
      </c>
      <c r="H210">
        <v>4</v>
      </c>
      <c r="I210">
        <f t="shared" si="3"/>
        <v>16</v>
      </c>
    </row>
    <row r="211" spans="1:9">
      <c r="A211" s="269"/>
      <c r="B211" s="266"/>
      <c r="C211" s="1" t="s">
        <v>226</v>
      </c>
      <c r="D211" s="1">
        <v>9</v>
      </c>
      <c r="E211" s="4" t="s">
        <v>193</v>
      </c>
      <c r="I211">
        <f t="shared" si="3"/>
        <v>9</v>
      </c>
    </row>
    <row r="212" spans="1:9">
      <c r="A212" s="269"/>
      <c r="B212" s="266"/>
      <c r="C212" s="1" t="s">
        <v>227</v>
      </c>
      <c r="D212" s="1">
        <v>8</v>
      </c>
      <c r="E212" s="4" t="s">
        <v>193</v>
      </c>
      <c r="I212">
        <f t="shared" si="3"/>
        <v>8</v>
      </c>
    </row>
    <row r="213" spans="1:9">
      <c r="A213" s="269"/>
      <c r="B213" s="266"/>
      <c r="C213" s="1" t="s">
        <v>228</v>
      </c>
      <c r="D213" s="1">
        <v>1</v>
      </c>
      <c r="E213" s="4" t="s">
        <v>193</v>
      </c>
      <c r="I213">
        <f t="shared" si="3"/>
        <v>1</v>
      </c>
    </row>
    <row r="214" spans="1:9">
      <c r="A214" s="269"/>
      <c r="B214" s="266"/>
      <c r="C214" s="1" t="s">
        <v>229</v>
      </c>
      <c r="D214" s="1">
        <v>1</v>
      </c>
      <c r="E214" s="4" t="s">
        <v>193</v>
      </c>
      <c r="I214">
        <f t="shared" si="3"/>
        <v>1</v>
      </c>
    </row>
    <row r="215" spans="1:9" ht="15.75" thickBot="1">
      <c r="A215" s="269"/>
      <c r="B215" s="271"/>
      <c r="C215" s="9" t="s">
        <v>230</v>
      </c>
      <c r="D215" s="9">
        <v>1</v>
      </c>
      <c r="E215" s="10" t="s">
        <v>193</v>
      </c>
      <c r="I215">
        <f t="shared" si="3"/>
        <v>1</v>
      </c>
    </row>
    <row r="216" spans="1:9" ht="15.75" thickBot="1">
      <c r="A216" s="28">
        <v>32</v>
      </c>
      <c r="B216" s="27">
        <v>45979</v>
      </c>
      <c r="C216" s="2" t="s">
        <v>201</v>
      </c>
      <c r="D216" s="2">
        <v>11</v>
      </c>
      <c r="E216" s="3" t="s">
        <v>32</v>
      </c>
      <c r="I216">
        <f t="shared" ref="I216:I280" si="4">+D216+H216-G216</f>
        <v>11</v>
      </c>
    </row>
    <row r="217" spans="1:9" ht="15.75" thickBot="1">
      <c r="A217" s="18">
        <v>33</v>
      </c>
      <c r="B217" s="19">
        <v>45979</v>
      </c>
      <c r="C217" s="20" t="s">
        <v>231</v>
      </c>
      <c r="D217" s="20">
        <v>31</v>
      </c>
      <c r="E217" s="26" t="s">
        <v>32</v>
      </c>
      <c r="G217">
        <v>3</v>
      </c>
      <c r="I217">
        <f t="shared" si="4"/>
        <v>28</v>
      </c>
    </row>
    <row r="218" spans="1:9" ht="15.75" thickBot="1">
      <c r="A218" s="29">
        <v>34</v>
      </c>
      <c r="B218" s="19">
        <v>45979</v>
      </c>
      <c r="C218" s="20" t="s">
        <v>232</v>
      </c>
      <c r="D218" s="20">
        <v>14</v>
      </c>
      <c r="E218" s="26" t="s">
        <v>32</v>
      </c>
      <c r="I218">
        <f t="shared" si="4"/>
        <v>14</v>
      </c>
    </row>
    <row r="219" spans="1:9">
      <c r="A219" s="287">
        <v>35</v>
      </c>
      <c r="B219" s="265">
        <v>45979</v>
      </c>
      <c r="C219" s="2" t="s">
        <v>233</v>
      </c>
      <c r="D219" s="2">
        <v>3</v>
      </c>
      <c r="E219" s="3" t="s">
        <v>32</v>
      </c>
      <c r="I219">
        <f t="shared" si="4"/>
        <v>3</v>
      </c>
    </row>
    <row r="220" spans="1:9">
      <c r="A220" s="288"/>
      <c r="B220" s="266"/>
      <c r="C220" s="1" t="s">
        <v>234</v>
      </c>
      <c r="D220" s="1">
        <v>1</v>
      </c>
      <c r="E220" s="4" t="s">
        <v>32</v>
      </c>
      <c r="I220">
        <f t="shared" si="4"/>
        <v>1</v>
      </c>
    </row>
    <row r="221" spans="1:9">
      <c r="A221" s="288"/>
      <c r="B221" s="266"/>
      <c r="C221" s="1" t="s">
        <v>235</v>
      </c>
      <c r="D221" s="1">
        <v>10</v>
      </c>
      <c r="E221" s="4" t="s">
        <v>32</v>
      </c>
      <c r="I221">
        <f t="shared" si="4"/>
        <v>10</v>
      </c>
    </row>
    <row r="222" spans="1:9" ht="15.75" thickBot="1">
      <c r="A222" s="289"/>
      <c r="B222" s="267"/>
      <c r="C222" s="5" t="s">
        <v>236</v>
      </c>
      <c r="D222" s="5">
        <v>1</v>
      </c>
      <c r="E222" s="11" t="s">
        <v>32</v>
      </c>
      <c r="I222">
        <f t="shared" si="4"/>
        <v>1</v>
      </c>
    </row>
    <row r="223" spans="1:9">
      <c r="A223" s="272">
        <v>36</v>
      </c>
      <c r="B223" s="279">
        <v>45979</v>
      </c>
      <c r="C223" s="2" t="s">
        <v>237</v>
      </c>
      <c r="D223" s="2">
        <v>1</v>
      </c>
      <c r="E223" s="43" t="s">
        <v>32</v>
      </c>
      <c r="I223">
        <f t="shared" si="4"/>
        <v>1</v>
      </c>
    </row>
    <row r="224" spans="1:9" ht="15.75" thickBot="1">
      <c r="A224" s="274"/>
      <c r="B224" s="291"/>
      <c r="C224" s="41" t="s">
        <v>238</v>
      </c>
      <c r="D224" s="41">
        <v>8</v>
      </c>
      <c r="E224" s="42" t="s">
        <v>32</v>
      </c>
      <c r="I224">
        <f t="shared" si="4"/>
        <v>8</v>
      </c>
    </row>
    <row r="225" spans="1:9">
      <c r="A225" s="272">
        <v>37</v>
      </c>
      <c r="B225" s="279">
        <v>45979</v>
      </c>
      <c r="C225" s="2" t="s">
        <v>239</v>
      </c>
      <c r="D225" s="2">
        <v>6</v>
      </c>
      <c r="E225" s="3" t="s">
        <v>32</v>
      </c>
      <c r="I225">
        <f t="shared" si="4"/>
        <v>6</v>
      </c>
    </row>
    <row r="226" spans="1:9">
      <c r="A226" s="273"/>
      <c r="B226" s="280"/>
      <c r="C226" s="1" t="s">
        <v>240</v>
      </c>
      <c r="D226" s="1">
        <v>9</v>
      </c>
      <c r="E226" s="4" t="s">
        <v>32</v>
      </c>
      <c r="I226">
        <f t="shared" si="4"/>
        <v>9</v>
      </c>
    </row>
    <row r="227" spans="1:9">
      <c r="A227" s="273"/>
      <c r="B227" s="280"/>
      <c r="C227" s="1" t="s">
        <v>241</v>
      </c>
      <c r="D227" s="1">
        <v>13</v>
      </c>
      <c r="E227" s="4" t="s">
        <v>32</v>
      </c>
      <c r="I227">
        <f t="shared" si="4"/>
        <v>13</v>
      </c>
    </row>
    <row r="228" spans="1:9">
      <c r="A228" s="273"/>
      <c r="B228" s="280"/>
      <c r="C228" s="1" t="s">
        <v>242</v>
      </c>
      <c r="D228" s="1">
        <v>21</v>
      </c>
      <c r="E228" s="4" t="s">
        <v>32</v>
      </c>
      <c r="H228">
        <v>1</v>
      </c>
      <c r="I228">
        <f t="shared" si="4"/>
        <v>22</v>
      </c>
    </row>
    <row r="229" spans="1:9">
      <c r="A229" s="273"/>
      <c r="B229" s="280"/>
      <c r="C229" s="1" t="s">
        <v>243</v>
      </c>
      <c r="D229" s="1">
        <v>4</v>
      </c>
      <c r="E229" s="4" t="s">
        <v>32</v>
      </c>
      <c r="I229">
        <f t="shared" si="4"/>
        <v>4</v>
      </c>
    </row>
    <row r="230" spans="1:9">
      <c r="A230" s="273"/>
      <c r="B230" s="280"/>
      <c r="C230" s="1" t="s">
        <v>244</v>
      </c>
      <c r="D230" s="1">
        <v>1</v>
      </c>
      <c r="E230" s="4" t="s">
        <v>32</v>
      </c>
      <c r="I230">
        <f t="shared" si="4"/>
        <v>1</v>
      </c>
    </row>
    <row r="231" spans="1:9">
      <c r="A231" s="273"/>
      <c r="B231" s="280"/>
      <c r="C231" s="1" t="s">
        <v>245</v>
      </c>
      <c r="D231" s="1">
        <v>1</v>
      </c>
      <c r="E231" s="4" t="s">
        <v>32</v>
      </c>
      <c r="I231">
        <f t="shared" si="4"/>
        <v>1</v>
      </c>
    </row>
    <row r="232" spans="1:9">
      <c r="A232" s="273"/>
      <c r="B232" s="280"/>
      <c r="C232" s="1" t="s">
        <v>246</v>
      </c>
      <c r="D232" s="1">
        <v>1</v>
      </c>
      <c r="E232" s="4" t="s">
        <v>32</v>
      </c>
      <c r="I232">
        <f t="shared" si="4"/>
        <v>1</v>
      </c>
    </row>
    <row r="233" spans="1:9">
      <c r="A233" s="273"/>
      <c r="B233" s="280"/>
      <c r="C233" s="1" t="s">
        <v>247</v>
      </c>
      <c r="D233" s="1">
        <v>2</v>
      </c>
      <c r="E233" s="4" t="s">
        <v>32</v>
      </c>
      <c r="H233">
        <v>4</v>
      </c>
      <c r="I233">
        <f t="shared" si="4"/>
        <v>6</v>
      </c>
    </row>
    <row r="234" spans="1:9" ht="15.75" thickBot="1">
      <c r="A234" s="274"/>
      <c r="B234" s="280"/>
      <c r="C234" s="9" t="s">
        <v>248</v>
      </c>
      <c r="D234" s="9">
        <v>2</v>
      </c>
      <c r="E234" s="10" t="s">
        <v>32</v>
      </c>
      <c r="I234">
        <f t="shared" si="4"/>
        <v>2</v>
      </c>
    </row>
    <row r="235" spans="1:9">
      <c r="A235" s="268">
        <v>38</v>
      </c>
      <c r="B235" s="265">
        <v>45979</v>
      </c>
      <c r="C235" s="2" t="s">
        <v>249</v>
      </c>
      <c r="D235" s="2">
        <v>3</v>
      </c>
      <c r="E235" s="3" t="s">
        <v>32</v>
      </c>
      <c r="I235">
        <f t="shared" si="4"/>
        <v>3</v>
      </c>
    </row>
    <row r="236" spans="1:9">
      <c r="A236" s="269"/>
      <c r="B236" s="266"/>
      <c r="C236" s="1" t="s">
        <v>250</v>
      </c>
      <c r="D236" s="1">
        <v>2</v>
      </c>
      <c r="E236" s="4" t="s">
        <v>32</v>
      </c>
      <c r="I236">
        <f t="shared" si="4"/>
        <v>2</v>
      </c>
    </row>
    <row r="237" spans="1:9">
      <c r="A237" s="269"/>
      <c r="B237" s="266"/>
      <c r="C237" s="1" t="s">
        <v>251</v>
      </c>
      <c r="D237" s="1">
        <v>1</v>
      </c>
      <c r="E237" s="4" t="s">
        <v>32</v>
      </c>
      <c r="I237">
        <f t="shared" si="4"/>
        <v>1</v>
      </c>
    </row>
    <row r="238" spans="1:9">
      <c r="A238" s="269"/>
      <c r="B238" s="266"/>
      <c r="C238" s="1" t="s">
        <v>252</v>
      </c>
      <c r="D238" s="1">
        <v>5</v>
      </c>
      <c r="E238" s="4" t="s">
        <v>32</v>
      </c>
      <c r="I238">
        <f t="shared" si="4"/>
        <v>5</v>
      </c>
    </row>
    <row r="239" spans="1:9">
      <c r="A239" s="269"/>
      <c r="B239" s="266"/>
      <c r="C239" s="1" t="s">
        <v>253</v>
      </c>
      <c r="D239" s="1">
        <v>3</v>
      </c>
      <c r="E239" s="4" t="s">
        <v>32</v>
      </c>
      <c r="I239">
        <f t="shared" si="4"/>
        <v>3</v>
      </c>
    </row>
    <row r="240" spans="1:9">
      <c r="A240" s="269"/>
      <c r="B240" s="266"/>
      <c r="C240" s="1" t="s">
        <v>254</v>
      </c>
      <c r="D240" s="1">
        <v>10</v>
      </c>
      <c r="E240" s="4" t="s">
        <v>32</v>
      </c>
      <c r="H240">
        <v>2</v>
      </c>
      <c r="I240">
        <f>+D240+H240-G240</f>
        <v>12</v>
      </c>
    </row>
    <row r="241" spans="1:9">
      <c r="A241" s="269"/>
      <c r="B241" s="266"/>
      <c r="C241" s="1" t="s">
        <v>255</v>
      </c>
      <c r="D241" s="1">
        <v>1</v>
      </c>
      <c r="E241" s="4" t="s">
        <v>32</v>
      </c>
      <c r="I241">
        <f t="shared" si="4"/>
        <v>1</v>
      </c>
    </row>
    <row r="242" spans="1:9">
      <c r="A242" s="269"/>
      <c r="B242" s="266"/>
      <c r="C242" s="1" t="s">
        <v>256</v>
      </c>
      <c r="D242" s="1">
        <v>1</v>
      </c>
      <c r="E242" s="4" t="s">
        <v>32</v>
      </c>
      <c r="I242">
        <f t="shared" si="4"/>
        <v>1</v>
      </c>
    </row>
    <row r="243" spans="1:9">
      <c r="A243" s="269"/>
      <c r="B243" s="266"/>
      <c r="C243" s="1" t="s">
        <v>257</v>
      </c>
      <c r="D243" s="1">
        <v>1</v>
      </c>
      <c r="E243" s="4" t="s">
        <v>32</v>
      </c>
      <c r="I243">
        <f t="shared" si="4"/>
        <v>1</v>
      </c>
    </row>
    <row r="244" spans="1:9">
      <c r="A244" s="269"/>
      <c r="B244" s="266"/>
      <c r="C244" s="1" t="s">
        <v>258</v>
      </c>
      <c r="D244" s="1">
        <v>2</v>
      </c>
      <c r="E244" s="4" t="s">
        <v>32</v>
      </c>
      <c r="I244">
        <f t="shared" si="4"/>
        <v>2</v>
      </c>
    </row>
    <row r="245" spans="1:9" ht="15.75" thickBot="1">
      <c r="A245" s="270"/>
      <c r="B245" s="271"/>
      <c r="C245" s="9" t="s">
        <v>259</v>
      </c>
      <c r="D245" s="9">
        <v>2</v>
      </c>
      <c r="E245" s="10" t="s">
        <v>32</v>
      </c>
      <c r="I245">
        <f t="shared" si="4"/>
        <v>2</v>
      </c>
    </row>
    <row r="246" spans="1:9" ht="15.75" thickBot="1">
      <c r="A246" s="18">
        <v>39</v>
      </c>
      <c r="B246" s="24">
        <v>45979</v>
      </c>
      <c r="C246" s="30" t="s">
        <v>260</v>
      </c>
      <c r="D246" s="20">
        <v>11</v>
      </c>
      <c r="E246" s="26" t="s">
        <v>32</v>
      </c>
      <c r="I246">
        <f t="shared" si="4"/>
        <v>11</v>
      </c>
    </row>
    <row r="247" spans="1:9">
      <c r="A247" s="269">
        <v>40</v>
      </c>
      <c r="B247" s="265">
        <v>45980</v>
      </c>
      <c r="C247" s="2" t="s">
        <v>261</v>
      </c>
      <c r="D247" s="2">
        <v>2</v>
      </c>
      <c r="E247" s="3" t="s">
        <v>32</v>
      </c>
      <c r="I247">
        <f t="shared" si="4"/>
        <v>2</v>
      </c>
    </row>
    <row r="248" spans="1:9">
      <c r="A248" s="269"/>
      <c r="B248" s="266"/>
      <c r="C248" s="1" t="s">
        <v>262</v>
      </c>
      <c r="D248" s="1">
        <v>1</v>
      </c>
      <c r="E248" s="4" t="s">
        <v>32</v>
      </c>
      <c r="I248">
        <f t="shared" si="4"/>
        <v>1</v>
      </c>
    </row>
    <row r="249" spans="1:9">
      <c r="A249" s="269"/>
      <c r="B249" s="266"/>
      <c r="C249" s="1" t="s">
        <v>263</v>
      </c>
      <c r="D249" s="1">
        <v>5</v>
      </c>
      <c r="E249" s="4" t="s">
        <v>32</v>
      </c>
      <c r="I249">
        <f t="shared" si="4"/>
        <v>5</v>
      </c>
    </row>
    <row r="250" spans="1:9" ht="15.75" thickBot="1">
      <c r="A250" s="270"/>
      <c r="B250" s="271"/>
      <c r="C250" s="9" t="s">
        <v>264</v>
      </c>
      <c r="D250" s="9">
        <v>4</v>
      </c>
      <c r="E250" s="10" t="s">
        <v>32</v>
      </c>
      <c r="I250">
        <f t="shared" si="4"/>
        <v>4</v>
      </c>
    </row>
    <row r="251" spans="1:9">
      <c r="A251" s="268">
        <v>41</v>
      </c>
      <c r="B251" s="265">
        <v>45980</v>
      </c>
      <c r="C251" s="2" t="s">
        <v>265</v>
      </c>
      <c r="D251" s="2">
        <v>6</v>
      </c>
      <c r="E251" s="3" t="s">
        <v>32</v>
      </c>
      <c r="I251">
        <f t="shared" si="4"/>
        <v>6</v>
      </c>
    </row>
    <row r="252" spans="1:9">
      <c r="A252" s="269"/>
      <c r="B252" s="266"/>
      <c r="C252" s="1" t="s">
        <v>266</v>
      </c>
      <c r="D252" s="1">
        <v>9</v>
      </c>
      <c r="E252" s="4" t="s">
        <v>32</v>
      </c>
      <c r="I252">
        <f t="shared" si="4"/>
        <v>9</v>
      </c>
    </row>
    <row r="253" spans="1:9">
      <c r="A253" s="269"/>
      <c r="B253" s="266"/>
      <c r="C253" s="1" t="s">
        <v>267</v>
      </c>
      <c r="D253" s="1">
        <v>5</v>
      </c>
      <c r="E253" s="4" t="s">
        <v>32</v>
      </c>
      <c r="I253">
        <f t="shared" si="4"/>
        <v>5</v>
      </c>
    </row>
    <row r="254" spans="1:9">
      <c r="A254" s="269"/>
      <c r="B254" s="266"/>
      <c r="C254" s="1" t="s">
        <v>268</v>
      </c>
      <c r="D254" s="1">
        <v>5</v>
      </c>
      <c r="E254" s="4" t="s">
        <v>32</v>
      </c>
      <c r="I254">
        <f t="shared" si="4"/>
        <v>5</v>
      </c>
    </row>
    <row r="255" spans="1:9" ht="15.75" thickBot="1">
      <c r="A255" s="270"/>
      <c r="B255" s="271"/>
      <c r="C255" s="9" t="s">
        <v>269</v>
      </c>
      <c r="D255" s="9">
        <v>1</v>
      </c>
      <c r="E255" s="10" t="s">
        <v>32</v>
      </c>
      <c r="I255">
        <f t="shared" si="4"/>
        <v>1</v>
      </c>
    </row>
    <row r="256" spans="1:9">
      <c r="A256" s="268">
        <v>42</v>
      </c>
      <c r="B256" s="265">
        <v>45980</v>
      </c>
      <c r="C256" s="2" t="s">
        <v>270</v>
      </c>
      <c r="D256" s="2">
        <v>1</v>
      </c>
      <c r="E256" s="3" t="s">
        <v>32</v>
      </c>
      <c r="I256">
        <f t="shared" si="4"/>
        <v>1</v>
      </c>
    </row>
    <row r="257" spans="1:9">
      <c r="A257" s="269"/>
      <c r="B257" s="266"/>
      <c r="C257" s="1" t="s">
        <v>202</v>
      </c>
      <c r="D257" s="1">
        <v>7</v>
      </c>
      <c r="E257" s="4" t="s">
        <v>32</v>
      </c>
      <c r="I257">
        <f t="shared" si="4"/>
        <v>7</v>
      </c>
    </row>
    <row r="258" spans="1:9">
      <c r="A258" s="269"/>
      <c r="B258" s="266"/>
      <c r="C258" s="1" t="s">
        <v>271</v>
      </c>
      <c r="D258" s="1">
        <v>1</v>
      </c>
      <c r="E258" s="4" t="s">
        <v>32</v>
      </c>
      <c r="H258">
        <v>1</v>
      </c>
      <c r="I258">
        <f t="shared" si="4"/>
        <v>2</v>
      </c>
    </row>
    <row r="259" spans="1:9">
      <c r="A259" s="269"/>
      <c r="B259" s="266"/>
      <c r="C259" s="1" t="s">
        <v>214</v>
      </c>
      <c r="D259" s="1">
        <v>7</v>
      </c>
      <c r="E259" s="4" t="s">
        <v>32</v>
      </c>
      <c r="I259">
        <f t="shared" si="4"/>
        <v>7</v>
      </c>
    </row>
    <row r="260" spans="1:9" ht="15.75" thickBot="1">
      <c r="A260" s="270"/>
      <c r="B260" s="271"/>
      <c r="C260" s="9" t="s">
        <v>272</v>
      </c>
      <c r="D260" s="9">
        <v>2</v>
      </c>
      <c r="E260" s="10" t="s">
        <v>32</v>
      </c>
      <c r="I260">
        <f t="shared" si="4"/>
        <v>2</v>
      </c>
    </row>
    <row r="261" spans="1:9">
      <c r="A261" s="268">
        <v>43</v>
      </c>
      <c r="B261" s="265">
        <v>45981</v>
      </c>
      <c r="C261" s="2" t="s">
        <v>273</v>
      </c>
      <c r="D261" s="2">
        <v>4</v>
      </c>
      <c r="E261" s="4" t="s">
        <v>274</v>
      </c>
      <c r="I261">
        <f t="shared" si="4"/>
        <v>4</v>
      </c>
    </row>
    <row r="262" spans="1:9">
      <c r="A262" s="269"/>
      <c r="B262" s="266"/>
      <c r="C262" s="1" t="s">
        <v>275</v>
      </c>
      <c r="D262" s="1">
        <v>3</v>
      </c>
      <c r="E262" s="4" t="s">
        <v>274</v>
      </c>
      <c r="I262">
        <f t="shared" si="4"/>
        <v>3</v>
      </c>
    </row>
    <row r="263" spans="1:9" ht="15.75" thickBot="1">
      <c r="A263" s="270"/>
      <c r="B263" s="271"/>
      <c r="C263" s="9" t="s">
        <v>276</v>
      </c>
      <c r="D263" s="62">
        <v>58</v>
      </c>
      <c r="E263" s="11" t="s">
        <v>274</v>
      </c>
      <c r="I263">
        <f t="shared" si="4"/>
        <v>58</v>
      </c>
    </row>
    <row r="264" spans="1:9">
      <c r="A264" s="268">
        <v>44</v>
      </c>
      <c r="B264" s="265">
        <v>45981</v>
      </c>
      <c r="C264" s="2" t="s">
        <v>277</v>
      </c>
      <c r="D264" s="2">
        <v>8</v>
      </c>
      <c r="E264" s="14" t="s">
        <v>274</v>
      </c>
      <c r="I264">
        <f t="shared" si="4"/>
        <v>8</v>
      </c>
    </row>
    <row r="265" spans="1:9">
      <c r="A265" s="269"/>
      <c r="B265" s="266"/>
      <c r="C265" s="1" t="s">
        <v>278</v>
      </c>
      <c r="D265" s="1">
        <v>29</v>
      </c>
      <c r="E265" s="4" t="s">
        <v>274</v>
      </c>
      <c r="I265">
        <f t="shared" si="4"/>
        <v>29</v>
      </c>
    </row>
    <row r="266" spans="1:9" ht="15.75" thickBot="1">
      <c r="A266" s="270"/>
      <c r="B266" s="271"/>
      <c r="C266" s="9" t="s">
        <v>279</v>
      </c>
      <c r="D266" s="9">
        <v>6</v>
      </c>
      <c r="E266" s="4" t="s">
        <v>274</v>
      </c>
      <c r="I266">
        <f t="shared" si="4"/>
        <v>6</v>
      </c>
    </row>
    <row r="267" spans="1:9">
      <c r="A267" s="272">
        <v>45</v>
      </c>
      <c r="B267" s="265">
        <v>45981</v>
      </c>
      <c r="C267" s="2" t="s">
        <v>280</v>
      </c>
      <c r="D267" s="2">
        <v>39</v>
      </c>
      <c r="E267" s="3" t="s">
        <v>281</v>
      </c>
      <c r="H267">
        <v>3</v>
      </c>
      <c r="I267">
        <f t="shared" si="4"/>
        <v>42</v>
      </c>
    </row>
    <row r="268" spans="1:9">
      <c r="A268" s="273"/>
      <c r="B268" s="266"/>
      <c r="C268" s="1" t="s">
        <v>282</v>
      </c>
      <c r="D268" s="1">
        <v>20</v>
      </c>
      <c r="E268" s="4" t="s">
        <v>283</v>
      </c>
      <c r="H268">
        <v>5</v>
      </c>
      <c r="I268">
        <f t="shared" si="4"/>
        <v>25</v>
      </c>
    </row>
    <row r="269" spans="1:9">
      <c r="A269" s="273"/>
      <c r="B269" s="266"/>
      <c r="C269" s="1" t="s">
        <v>284</v>
      </c>
      <c r="D269" s="1">
        <v>4</v>
      </c>
      <c r="E269" s="4" t="s">
        <v>283</v>
      </c>
      <c r="I269">
        <f t="shared" si="4"/>
        <v>4</v>
      </c>
    </row>
    <row r="270" spans="1:9">
      <c r="A270" s="273"/>
      <c r="B270" s="266"/>
      <c r="C270" s="1" t="s">
        <v>285</v>
      </c>
      <c r="D270" s="1">
        <v>32</v>
      </c>
      <c r="E270" s="4" t="s">
        <v>283</v>
      </c>
      <c r="H270">
        <v>5</v>
      </c>
      <c r="I270">
        <f t="shared" si="4"/>
        <v>37</v>
      </c>
    </row>
    <row r="271" spans="1:9">
      <c r="A271" s="273"/>
      <c r="B271" s="266"/>
      <c r="C271" s="1" t="s">
        <v>286</v>
      </c>
      <c r="D271" s="1">
        <v>2</v>
      </c>
      <c r="E271" s="4" t="s">
        <v>283</v>
      </c>
      <c r="I271">
        <f t="shared" si="4"/>
        <v>2</v>
      </c>
    </row>
    <row r="272" spans="1:9">
      <c r="A272" s="273"/>
      <c r="B272" s="266"/>
      <c r="C272" s="1" t="s">
        <v>287</v>
      </c>
      <c r="D272" s="1">
        <v>1</v>
      </c>
      <c r="E272" s="4" t="s">
        <v>283</v>
      </c>
      <c r="I272">
        <f t="shared" si="4"/>
        <v>1</v>
      </c>
    </row>
    <row r="273" spans="1:9">
      <c r="A273" s="273"/>
      <c r="B273" s="266"/>
      <c r="C273" s="1" t="s">
        <v>288</v>
      </c>
      <c r="D273" s="1">
        <v>2</v>
      </c>
      <c r="E273" s="4" t="s">
        <v>283</v>
      </c>
      <c r="H273">
        <v>6</v>
      </c>
      <c r="I273">
        <f t="shared" si="4"/>
        <v>8</v>
      </c>
    </row>
    <row r="274" spans="1:9">
      <c r="A274" s="273"/>
      <c r="B274" s="266"/>
      <c r="C274" s="1" t="s">
        <v>289</v>
      </c>
      <c r="D274" s="1">
        <v>28</v>
      </c>
      <c r="E274" s="4" t="s">
        <v>283</v>
      </c>
      <c r="H274">
        <v>3</v>
      </c>
      <c r="I274">
        <f t="shared" si="4"/>
        <v>31</v>
      </c>
    </row>
    <row r="275" spans="1:9">
      <c r="A275" s="273"/>
      <c r="B275" s="266"/>
      <c r="C275" s="1" t="s">
        <v>290</v>
      </c>
      <c r="D275" s="1">
        <v>2</v>
      </c>
      <c r="E275" s="4" t="s">
        <v>283</v>
      </c>
      <c r="I275">
        <f t="shared" si="4"/>
        <v>2</v>
      </c>
    </row>
    <row r="276" spans="1:9">
      <c r="A276" s="273"/>
      <c r="B276" s="266"/>
      <c r="C276" s="1" t="s">
        <v>291</v>
      </c>
      <c r="D276" s="1">
        <v>3</v>
      </c>
      <c r="E276" s="4" t="s">
        <v>283</v>
      </c>
      <c r="I276">
        <f t="shared" si="4"/>
        <v>3</v>
      </c>
    </row>
    <row r="277" spans="1:9">
      <c r="A277" s="273"/>
      <c r="B277" s="266"/>
      <c r="C277" s="1" t="s">
        <v>292</v>
      </c>
      <c r="D277" s="1">
        <v>43</v>
      </c>
      <c r="E277" s="4" t="s">
        <v>283</v>
      </c>
      <c r="H277">
        <v>6</v>
      </c>
      <c r="I277">
        <f t="shared" si="4"/>
        <v>49</v>
      </c>
    </row>
    <row r="278" spans="1:9">
      <c r="A278" s="273"/>
      <c r="B278" s="266"/>
      <c r="C278" s="1" t="s">
        <v>293</v>
      </c>
      <c r="D278" s="1">
        <v>1</v>
      </c>
      <c r="E278" s="4" t="s">
        <v>283</v>
      </c>
      <c r="I278">
        <f t="shared" si="4"/>
        <v>1</v>
      </c>
    </row>
    <row r="279" spans="1:9">
      <c r="A279" s="273"/>
      <c r="B279" s="266"/>
      <c r="C279" s="1" t="s">
        <v>294</v>
      </c>
      <c r="D279" s="1">
        <v>6</v>
      </c>
      <c r="E279" s="4" t="s">
        <v>283</v>
      </c>
      <c r="I279">
        <f t="shared" si="4"/>
        <v>6</v>
      </c>
    </row>
    <row r="280" spans="1:9" ht="15.75" thickBot="1">
      <c r="A280" s="274"/>
      <c r="B280" s="271"/>
      <c r="C280" s="9" t="s">
        <v>295</v>
      </c>
      <c r="D280" s="9">
        <v>13</v>
      </c>
      <c r="E280" s="10" t="s">
        <v>283</v>
      </c>
      <c r="H280">
        <v>8</v>
      </c>
      <c r="I280">
        <f t="shared" si="4"/>
        <v>21</v>
      </c>
    </row>
    <row r="281" spans="1:9">
      <c r="A281" s="268">
        <v>46</v>
      </c>
      <c r="B281" s="265">
        <v>45981</v>
      </c>
      <c r="C281" s="2" t="s">
        <v>296</v>
      </c>
      <c r="D281" s="2">
        <v>12</v>
      </c>
      <c r="E281" s="3" t="s">
        <v>281</v>
      </c>
      <c r="H281">
        <v>3</v>
      </c>
      <c r="I281">
        <f t="shared" ref="I281:I344" si="5">+D281+H281-G281</f>
        <v>15</v>
      </c>
    </row>
    <row r="282" spans="1:9">
      <c r="A282" s="269"/>
      <c r="B282" s="266"/>
      <c r="C282" s="1" t="s">
        <v>297</v>
      </c>
      <c r="D282" s="1">
        <v>4</v>
      </c>
      <c r="E282" s="4" t="s">
        <v>281</v>
      </c>
      <c r="H282">
        <v>36</v>
      </c>
      <c r="I282">
        <f t="shared" si="5"/>
        <v>40</v>
      </c>
    </row>
    <row r="283" spans="1:9">
      <c r="A283" s="269"/>
      <c r="B283" s="266"/>
      <c r="C283" s="1" t="s">
        <v>298</v>
      </c>
      <c r="D283" s="1">
        <v>2</v>
      </c>
      <c r="E283" s="4" t="s">
        <v>281</v>
      </c>
      <c r="H283">
        <v>2</v>
      </c>
      <c r="I283">
        <f t="shared" si="5"/>
        <v>4</v>
      </c>
    </row>
    <row r="284" spans="1:9">
      <c r="A284" s="269"/>
      <c r="B284" s="266"/>
      <c r="C284" s="1" t="s">
        <v>299</v>
      </c>
      <c r="D284" s="1">
        <v>24</v>
      </c>
      <c r="E284" s="4" t="s">
        <v>281</v>
      </c>
      <c r="I284">
        <f t="shared" si="5"/>
        <v>24</v>
      </c>
    </row>
    <row r="285" spans="1:9">
      <c r="A285" s="269"/>
      <c r="B285" s="266"/>
      <c r="C285" s="1" t="s">
        <v>300</v>
      </c>
      <c r="D285" s="1">
        <v>3</v>
      </c>
      <c r="E285" s="4" t="s">
        <v>281</v>
      </c>
      <c r="I285">
        <f t="shared" si="5"/>
        <v>3</v>
      </c>
    </row>
    <row r="286" spans="1:9">
      <c r="A286" s="269"/>
      <c r="B286" s="266"/>
      <c r="C286" s="1" t="s">
        <v>301</v>
      </c>
      <c r="D286" s="1">
        <v>33</v>
      </c>
      <c r="E286" s="4" t="s">
        <v>281</v>
      </c>
      <c r="H286">
        <v>9</v>
      </c>
      <c r="I286">
        <f t="shared" si="5"/>
        <v>42</v>
      </c>
    </row>
    <row r="287" spans="1:9">
      <c r="A287" s="269"/>
      <c r="B287" s="266"/>
      <c r="C287" s="1" t="s">
        <v>302</v>
      </c>
      <c r="D287" s="1">
        <v>1</v>
      </c>
      <c r="E287" s="4" t="s">
        <v>281</v>
      </c>
      <c r="I287">
        <f t="shared" si="5"/>
        <v>1</v>
      </c>
    </row>
    <row r="288" spans="1:9">
      <c r="A288" s="269"/>
      <c r="B288" s="266"/>
      <c r="C288" s="1" t="s">
        <v>303</v>
      </c>
      <c r="D288" s="1">
        <v>55</v>
      </c>
      <c r="E288" s="4" t="s">
        <v>281</v>
      </c>
      <c r="H288">
        <v>7</v>
      </c>
      <c r="I288">
        <f t="shared" si="5"/>
        <v>62</v>
      </c>
    </row>
    <row r="289" spans="1:9">
      <c r="A289" s="269"/>
      <c r="B289" s="266"/>
      <c r="C289" s="1" t="s">
        <v>304</v>
      </c>
      <c r="D289" s="1">
        <v>3</v>
      </c>
      <c r="E289" s="4" t="s">
        <v>281</v>
      </c>
      <c r="I289">
        <f t="shared" si="5"/>
        <v>3</v>
      </c>
    </row>
    <row r="290" spans="1:9">
      <c r="A290" s="269"/>
      <c r="B290" s="266"/>
      <c r="C290" s="1" t="s">
        <v>305</v>
      </c>
      <c r="D290" s="1">
        <v>15</v>
      </c>
      <c r="E290" s="4" t="s">
        <v>281</v>
      </c>
      <c r="I290">
        <f t="shared" si="5"/>
        <v>15</v>
      </c>
    </row>
    <row r="291" spans="1:9">
      <c r="A291" s="269"/>
      <c r="B291" s="266"/>
      <c r="C291" s="1" t="s">
        <v>306</v>
      </c>
      <c r="D291" s="1">
        <v>2</v>
      </c>
      <c r="E291" s="4" t="s">
        <v>281</v>
      </c>
      <c r="I291">
        <f t="shared" si="5"/>
        <v>2</v>
      </c>
    </row>
    <row r="292" spans="1:9">
      <c r="A292" s="269"/>
      <c r="B292" s="266"/>
      <c r="C292" s="1" t="s">
        <v>307</v>
      </c>
      <c r="D292" s="1">
        <v>7</v>
      </c>
      <c r="E292" s="4" t="s">
        <v>281</v>
      </c>
      <c r="I292">
        <f t="shared" si="5"/>
        <v>7</v>
      </c>
    </row>
    <row r="293" spans="1:9" ht="15.75" thickBot="1">
      <c r="A293" s="270"/>
      <c r="B293" s="267"/>
      <c r="C293" s="5" t="s">
        <v>308</v>
      </c>
      <c r="D293" s="5">
        <v>1</v>
      </c>
      <c r="E293" s="11" t="s">
        <v>281</v>
      </c>
      <c r="H293">
        <v>42</v>
      </c>
      <c r="I293">
        <f t="shared" si="5"/>
        <v>43</v>
      </c>
    </row>
    <row r="294" spans="1:9">
      <c r="A294" s="272">
        <v>47</v>
      </c>
      <c r="B294" s="277">
        <v>45981</v>
      </c>
      <c r="C294" s="13" t="s">
        <v>309</v>
      </c>
      <c r="D294" s="13">
        <v>7</v>
      </c>
      <c r="E294" s="14" t="s">
        <v>123</v>
      </c>
      <c r="H294">
        <v>11</v>
      </c>
      <c r="I294">
        <f t="shared" si="5"/>
        <v>18</v>
      </c>
    </row>
    <row r="295" spans="1:9">
      <c r="A295" s="273"/>
      <c r="B295" s="277"/>
      <c r="C295" s="1" t="s">
        <v>310</v>
      </c>
      <c r="D295" s="1">
        <v>9</v>
      </c>
      <c r="E295" s="4" t="s">
        <v>311</v>
      </c>
      <c r="I295">
        <f t="shared" si="5"/>
        <v>9</v>
      </c>
    </row>
    <row r="296" spans="1:9">
      <c r="A296" s="273"/>
      <c r="B296" s="277"/>
      <c r="C296" s="1" t="s">
        <v>312</v>
      </c>
      <c r="D296" s="1">
        <v>21</v>
      </c>
      <c r="E296" s="4" t="s">
        <v>123</v>
      </c>
      <c r="I296">
        <f t="shared" si="5"/>
        <v>21</v>
      </c>
    </row>
    <row r="297" spans="1:9">
      <c r="A297" s="273"/>
      <c r="B297" s="277"/>
      <c r="C297" s="1" t="s">
        <v>313</v>
      </c>
      <c r="D297" s="1">
        <v>29</v>
      </c>
      <c r="E297" s="4" t="s">
        <v>311</v>
      </c>
      <c r="I297">
        <f t="shared" si="5"/>
        <v>29</v>
      </c>
    </row>
    <row r="298" spans="1:9">
      <c r="A298" s="273"/>
      <c r="B298" s="277"/>
      <c r="C298" s="1" t="s">
        <v>314</v>
      </c>
      <c r="D298" s="1">
        <v>5</v>
      </c>
      <c r="E298" s="4" t="s">
        <v>311</v>
      </c>
      <c r="I298">
        <f t="shared" si="5"/>
        <v>5</v>
      </c>
    </row>
    <row r="299" spans="1:9">
      <c r="A299" s="273"/>
      <c r="B299" s="277"/>
      <c r="C299" s="1" t="s">
        <v>315</v>
      </c>
      <c r="D299" s="1">
        <v>5</v>
      </c>
      <c r="E299" s="4" t="s">
        <v>311</v>
      </c>
      <c r="I299">
        <f t="shared" si="5"/>
        <v>5</v>
      </c>
    </row>
    <row r="300" spans="1:9">
      <c r="A300" s="273"/>
      <c r="B300" s="277"/>
      <c r="C300" s="1" t="s">
        <v>316</v>
      </c>
      <c r="D300" s="1">
        <v>13</v>
      </c>
      <c r="E300" s="4" t="s">
        <v>311</v>
      </c>
      <c r="I300">
        <f t="shared" si="5"/>
        <v>13</v>
      </c>
    </row>
    <row r="301" spans="1:9">
      <c r="A301" s="273"/>
      <c r="B301" s="277"/>
      <c r="C301" s="1" t="s">
        <v>317</v>
      </c>
      <c r="D301" s="1">
        <v>64</v>
      </c>
      <c r="E301" s="4" t="s">
        <v>311</v>
      </c>
      <c r="H301">
        <v>33</v>
      </c>
      <c r="I301">
        <f t="shared" si="5"/>
        <v>97</v>
      </c>
    </row>
    <row r="302" spans="1:9">
      <c r="A302" s="273"/>
      <c r="B302" s="277"/>
      <c r="C302" s="1" t="s">
        <v>318</v>
      </c>
      <c r="D302" s="1">
        <v>4</v>
      </c>
      <c r="E302" s="4" t="s">
        <v>311</v>
      </c>
      <c r="I302">
        <f t="shared" si="5"/>
        <v>4</v>
      </c>
    </row>
    <row r="303" spans="1:9" ht="15.75" thickBot="1">
      <c r="A303" s="274"/>
      <c r="B303" s="278"/>
      <c r="C303" s="5" t="s">
        <v>319</v>
      </c>
      <c r="D303" s="5">
        <v>3</v>
      </c>
      <c r="E303" s="11" t="s">
        <v>311</v>
      </c>
      <c r="I303">
        <f t="shared" si="5"/>
        <v>3</v>
      </c>
    </row>
    <row r="304" spans="1:9">
      <c r="A304" s="272"/>
      <c r="B304" s="279">
        <v>45987</v>
      </c>
      <c r="C304" s="33" t="s">
        <v>320</v>
      </c>
      <c r="D304" s="52">
        <v>50</v>
      </c>
      <c r="E304" s="34" t="s">
        <v>321</v>
      </c>
      <c r="G304" s="58">
        <v>30</v>
      </c>
      <c r="H304" s="58"/>
      <c r="I304" s="58">
        <f t="shared" si="5"/>
        <v>20</v>
      </c>
    </row>
    <row r="305" spans="1:9">
      <c r="A305" s="273"/>
      <c r="B305" s="280"/>
      <c r="C305" s="1" t="s">
        <v>322</v>
      </c>
      <c r="D305" s="53">
        <v>124</v>
      </c>
      <c r="E305" s="4" t="s">
        <v>321</v>
      </c>
      <c r="G305" s="58"/>
      <c r="H305" s="58"/>
      <c r="I305" s="58">
        <f t="shared" si="5"/>
        <v>124</v>
      </c>
    </row>
    <row r="306" spans="1:9">
      <c r="A306" s="273"/>
      <c r="B306" s="280"/>
      <c r="C306" s="31" t="s">
        <v>323</v>
      </c>
      <c r="D306" s="54">
        <v>31</v>
      </c>
      <c r="E306" s="32" t="s">
        <v>321</v>
      </c>
      <c r="G306" s="58">
        <v>15</v>
      </c>
      <c r="H306" s="58">
        <v>16</v>
      </c>
      <c r="I306" s="58">
        <f t="shared" si="5"/>
        <v>32</v>
      </c>
    </row>
    <row r="307" spans="1:9">
      <c r="A307" s="273"/>
      <c r="B307" s="280"/>
      <c r="C307" s="1" t="s">
        <v>324</v>
      </c>
      <c r="D307" s="53">
        <v>118</v>
      </c>
      <c r="E307" s="4" t="s">
        <v>321</v>
      </c>
      <c r="G307" s="58"/>
      <c r="H307" s="58"/>
      <c r="I307" s="58">
        <f t="shared" si="5"/>
        <v>118</v>
      </c>
    </row>
    <row r="308" spans="1:9">
      <c r="A308" s="273"/>
      <c r="B308" s="280"/>
      <c r="C308" s="1" t="s">
        <v>325</v>
      </c>
      <c r="D308" s="53">
        <v>95</v>
      </c>
      <c r="E308" s="4" t="s">
        <v>321</v>
      </c>
      <c r="G308" s="58"/>
      <c r="H308" s="58">
        <v>2</v>
      </c>
      <c r="I308" s="58">
        <f t="shared" si="5"/>
        <v>97</v>
      </c>
    </row>
    <row r="309" spans="1:9">
      <c r="A309" s="273"/>
      <c r="B309" s="280"/>
      <c r="C309" s="1" t="s">
        <v>326</v>
      </c>
      <c r="D309" s="53">
        <v>241</v>
      </c>
      <c r="E309" s="4" t="s">
        <v>321</v>
      </c>
      <c r="G309" s="58">
        <v>60</v>
      </c>
      <c r="H309" s="58">
        <v>13</v>
      </c>
      <c r="I309" s="58">
        <f t="shared" si="5"/>
        <v>194</v>
      </c>
    </row>
    <row r="310" spans="1:9">
      <c r="A310" s="273"/>
      <c r="B310" s="280"/>
      <c r="C310" s="1" t="s">
        <v>327</v>
      </c>
      <c r="D310" s="53">
        <v>77</v>
      </c>
      <c r="E310" s="4" t="s">
        <v>321</v>
      </c>
      <c r="G310" s="58"/>
      <c r="H310" s="58"/>
      <c r="I310" s="58">
        <f t="shared" si="5"/>
        <v>77</v>
      </c>
    </row>
    <row r="311" spans="1:9" ht="15.75" thickBot="1">
      <c r="A311" s="274"/>
      <c r="B311" s="280"/>
      <c r="C311" s="35" t="s">
        <v>328</v>
      </c>
      <c r="D311" s="55">
        <v>112</v>
      </c>
      <c r="E311" s="36" t="s">
        <v>321</v>
      </c>
      <c r="G311" s="58">
        <v>23</v>
      </c>
      <c r="H311" s="58">
        <v>3</v>
      </c>
      <c r="I311" s="58">
        <f t="shared" si="5"/>
        <v>92</v>
      </c>
    </row>
    <row r="312" spans="1:9">
      <c r="A312" s="268"/>
      <c r="B312" s="275" t="s">
        <v>329</v>
      </c>
      <c r="C312" s="2" t="s">
        <v>330</v>
      </c>
      <c r="D312" s="56">
        <v>1</v>
      </c>
      <c r="E312" s="3" t="s">
        <v>321</v>
      </c>
      <c r="G312" s="58"/>
      <c r="H312" s="58"/>
      <c r="I312" s="58">
        <f t="shared" si="5"/>
        <v>1</v>
      </c>
    </row>
    <row r="313" spans="1:9" ht="15.75" thickBot="1">
      <c r="A313" s="269"/>
      <c r="B313" s="276"/>
      <c r="C313" s="9" t="s">
        <v>331</v>
      </c>
      <c r="D313" s="57">
        <v>23</v>
      </c>
      <c r="E313" s="10" t="s">
        <v>321</v>
      </c>
      <c r="G313" s="58"/>
      <c r="H313" s="58"/>
      <c r="I313" s="58">
        <f t="shared" si="5"/>
        <v>23</v>
      </c>
    </row>
    <row r="314" spans="1:9">
      <c r="A314" s="287"/>
      <c r="B314" s="265">
        <v>46008</v>
      </c>
      <c r="C314" s="2" t="s">
        <v>332</v>
      </c>
      <c r="D314" s="38">
        <v>6</v>
      </c>
      <c r="E314" s="3" t="s">
        <v>333</v>
      </c>
      <c r="G314" s="37"/>
      <c r="H314" s="37"/>
      <c r="I314" s="37">
        <f t="shared" si="5"/>
        <v>6</v>
      </c>
    </row>
    <row r="315" spans="1:9">
      <c r="A315" s="288"/>
      <c r="B315" s="266"/>
      <c r="C315" s="1" t="s">
        <v>334</v>
      </c>
      <c r="D315" s="39">
        <v>3</v>
      </c>
      <c r="E315" s="4" t="s">
        <v>333</v>
      </c>
      <c r="G315" s="37"/>
      <c r="H315" s="37"/>
      <c r="I315" s="37">
        <f t="shared" si="5"/>
        <v>3</v>
      </c>
    </row>
    <row r="316" spans="1:9">
      <c r="A316" s="288"/>
      <c r="B316" s="266"/>
      <c r="C316" s="1" t="s">
        <v>335</v>
      </c>
      <c r="D316" s="39">
        <v>15</v>
      </c>
      <c r="E316" s="4" t="s">
        <v>333</v>
      </c>
      <c r="G316" s="37"/>
      <c r="H316" s="37"/>
      <c r="I316" s="37">
        <f t="shared" si="5"/>
        <v>15</v>
      </c>
    </row>
    <row r="317" spans="1:9">
      <c r="A317" s="288"/>
      <c r="B317" s="266"/>
      <c r="C317" s="1" t="s">
        <v>336</v>
      </c>
      <c r="D317" s="39">
        <v>3</v>
      </c>
      <c r="E317" s="4" t="s">
        <v>333</v>
      </c>
      <c r="G317" s="37"/>
      <c r="H317" s="37"/>
      <c r="I317" s="37">
        <f t="shared" si="5"/>
        <v>3</v>
      </c>
    </row>
    <row r="318" spans="1:9">
      <c r="A318" s="288"/>
      <c r="B318" s="266"/>
      <c r="C318" s="1" t="s">
        <v>337</v>
      </c>
      <c r="D318" s="39">
        <v>3</v>
      </c>
      <c r="E318" s="4" t="s">
        <v>32</v>
      </c>
      <c r="G318" s="37"/>
      <c r="H318" s="37"/>
      <c r="I318" s="37">
        <f t="shared" si="5"/>
        <v>3</v>
      </c>
    </row>
    <row r="319" spans="1:9">
      <c r="A319" s="288"/>
      <c r="B319" s="266"/>
      <c r="C319" s="1" t="s">
        <v>338</v>
      </c>
      <c r="D319" s="39">
        <v>5.5</v>
      </c>
      <c r="E319" s="4" t="s">
        <v>32</v>
      </c>
      <c r="G319" s="37"/>
      <c r="H319" s="37"/>
      <c r="I319" s="37">
        <f t="shared" si="5"/>
        <v>5.5</v>
      </c>
    </row>
    <row r="320" spans="1:9">
      <c r="A320" s="288"/>
      <c r="B320" s="266"/>
      <c r="C320" s="1" t="s">
        <v>339</v>
      </c>
      <c r="D320" s="39">
        <v>5.34</v>
      </c>
      <c r="E320" s="4" t="s">
        <v>32</v>
      </c>
      <c r="G320" s="37"/>
      <c r="H320" s="37"/>
      <c r="I320" s="37">
        <f t="shared" si="5"/>
        <v>5.34</v>
      </c>
    </row>
    <row r="321" spans="1:9">
      <c r="A321" s="288"/>
      <c r="B321" s="266"/>
      <c r="C321" s="1" t="s">
        <v>340</v>
      </c>
      <c r="D321" s="39">
        <v>17.2</v>
      </c>
      <c r="E321" s="4" t="s">
        <v>32</v>
      </c>
      <c r="G321" s="37"/>
      <c r="H321" s="37">
        <v>12</v>
      </c>
      <c r="I321" s="37">
        <f>+D321+H321-G321</f>
        <v>29.2</v>
      </c>
    </row>
    <row r="322" spans="1:9">
      <c r="A322" s="288"/>
      <c r="B322" s="266"/>
      <c r="C322" s="1" t="s">
        <v>341</v>
      </c>
      <c r="D322" s="39">
        <v>10.75</v>
      </c>
      <c r="E322" s="4" t="s">
        <v>32</v>
      </c>
      <c r="G322" s="37"/>
      <c r="H322" s="37"/>
      <c r="I322" s="37">
        <f t="shared" si="5"/>
        <v>10.75</v>
      </c>
    </row>
    <row r="323" spans="1:9">
      <c r="A323" s="288"/>
      <c r="B323" s="266"/>
      <c r="C323" s="1" t="s">
        <v>342</v>
      </c>
      <c r="D323" s="39">
        <v>10.1</v>
      </c>
      <c r="E323" s="4" t="s">
        <v>32</v>
      </c>
      <c r="G323" s="37"/>
      <c r="H323" s="37">
        <v>17.600000000000001</v>
      </c>
      <c r="I323" s="37">
        <f t="shared" si="5"/>
        <v>27.700000000000003</v>
      </c>
    </row>
    <row r="324" spans="1:9">
      <c r="A324" s="288"/>
      <c r="B324" s="266"/>
      <c r="C324" s="1" t="s">
        <v>343</v>
      </c>
      <c r="D324" s="39">
        <v>10.75</v>
      </c>
      <c r="E324" s="4" t="s">
        <v>32</v>
      </c>
      <c r="G324" s="37"/>
      <c r="H324" s="37"/>
      <c r="I324" s="37">
        <f t="shared" si="5"/>
        <v>10.75</v>
      </c>
    </row>
    <row r="325" spans="1:9">
      <c r="A325" s="288"/>
      <c r="B325" s="266"/>
      <c r="C325" s="1" t="s">
        <v>344</v>
      </c>
      <c r="D325" s="39">
        <v>6</v>
      </c>
      <c r="E325" s="4" t="s">
        <v>193</v>
      </c>
      <c r="G325" s="37"/>
      <c r="H325" s="37"/>
      <c r="I325" s="37">
        <f t="shared" si="5"/>
        <v>6</v>
      </c>
    </row>
    <row r="326" spans="1:9">
      <c r="A326" s="288"/>
      <c r="B326" s="266"/>
      <c r="C326" s="1" t="s">
        <v>345</v>
      </c>
      <c r="D326" s="39">
        <v>5.15</v>
      </c>
      <c r="E326" s="4" t="s">
        <v>172</v>
      </c>
      <c r="G326" s="37"/>
      <c r="H326" s="37"/>
      <c r="I326" s="37">
        <f t="shared" si="5"/>
        <v>5.15</v>
      </c>
    </row>
    <row r="327" spans="1:9">
      <c r="A327" s="288"/>
      <c r="B327" s="266"/>
      <c r="C327" s="1" t="s">
        <v>346</v>
      </c>
      <c r="D327" s="39">
        <v>6</v>
      </c>
      <c r="E327" s="4" t="s">
        <v>13</v>
      </c>
      <c r="G327" s="37"/>
      <c r="H327" s="37"/>
      <c r="I327" s="37">
        <f t="shared" si="5"/>
        <v>6</v>
      </c>
    </row>
    <row r="328" spans="1:9">
      <c r="A328" s="288"/>
      <c r="B328" s="266"/>
      <c r="C328" s="1" t="s">
        <v>347</v>
      </c>
      <c r="D328" s="39">
        <v>6</v>
      </c>
      <c r="E328" s="4" t="s">
        <v>172</v>
      </c>
      <c r="G328" s="37"/>
      <c r="H328" s="37"/>
      <c r="I328" s="37">
        <f t="shared" si="5"/>
        <v>6</v>
      </c>
    </row>
    <row r="329" spans="1:9" ht="15.75" thickBot="1">
      <c r="A329" s="289"/>
      <c r="B329" s="267"/>
      <c r="C329" s="9" t="s">
        <v>348</v>
      </c>
      <c r="D329" s="40">
        <v>5.2</v>
      </c>
      <c r="E329" s="10" t="s">
        <v>172</v>
      </c>
      <c r="G329" s="37"/>
      <c r="H329" s="37"/>
      <c r="I329" s="37">
        <f t="shared" si="5"/>
        <v>5.2</v>
      </c>
    </row>
    <row r="330" spans="1:9" ht="15" customHeight="1">
      <c r="A330" s="256" t="s">
        <v>349</v>
      </c>
      <c r="B330" s="262"/>
      <c r="C330" s="2" t="s">
        <v>350</v>
      </c>
      <c r="D330" s="2">
        <v>4</v>
      </c>
      <c r="E330" s="3" t="s">
        <v>351</v>
      </c>
      <c r="I330">
        <f t="shared" si="5"/>
        <v>4</v>
      </c>
    </row>
    <row r="331" spans="1:9" ht="15" customHeight="1">
      <c r="A331" s="258"/>
      <c r="B331" s="263"/>
      <c r="C331" s="1" t="s">
        <v>352</v>
      </c>
      <c r="D331" s="1">
        <v>13</v>
      </c>
      <c r="E331" s="4" t="s">
        <v>351</v>
      </c>
      <c r="I331">
        <f t="shared" si="5"/>
        <v>13</v>
      </c>
    </row>
    <row r="332" spans="1:9" ht="15" customHeight="1">
      <c r="A332" s="258"/>
      <c r="B332" s="263"/>
      <c r="C332" s="1" t="s">
        <v>353</v>
      </c>
      <c r="D332" s="1">
        <v>8</v>
      </c>
      <c r="E332" s="4" t="s">
        <v>351</v>
      </c>
      <c r="I332">
        <f t="shared" si="5"/>
        <v>8</v>
      </c>
    </row>
    <row r="333" spans="1:9" ht="15" customHeight="1">
      <c r="A333" s="258"/>
      <c r="B333" s="263"/>
      <c r="C333" s="1" t="s">
        <v>354</v>
      </c>
      <c r="D333" s="1">
        <v>1</v>
      </c>
      <c r="E333" s="4" t="s">
        <v>355</v>
      </c>
      <c r="I333">
        <f t="shared" si="5"/>
        <v>1</v>
      </c>
    </row>
    <row r="334" spans="1:9" ht="15" customHeight="1">
      <c r="A334" s="258"/>
      <c r="B334" s="263"/>
      <c r="C334" s="1" t="s">
        <v>356</v>
      </c>
      <c r="D334" s="1">
        <v>4</v>
      </c>
      <c r="E334" s="4" t="s">
        <v>351</v>
      </c>
      <c r="I334">
        <f t="shared" si="5"/>
        <v>4</v>
      </c>
    </row>
    <row r="335" spans="1:9" ht="15" customHeight="1">
      <c r="A335" s="258"/>
      <c r="B335" s="263"/>
      <c r="C335" s="1" t="s">
        <v>357</v>
      </c>
      <c r="D335" s="1">
        <v>3</v>
      </c>
      <c r="E335" s="4" t="s">
        <v>351</v>
      </c>
      <c r="I335">
        <f t="shared" si="5"/>
        <v>3</v>
      </c>
    </row>
    <row r="336" spans="1:9" ht="15" customHeight="1">
      <c r="A336" s="258"/>
      <c r="B336" s="263"/>
      <c r="C336" s="1" t="s">
        <v>358</v>
      </c>
      <c r="D336" s="1">
        <v>8</v>
      </c>
      <c r="E336" s="4" t="s">
        <v>351</v>
      </c>
      <c r="I336">
        <f t="shared" si="5"/>
        <v>8</v>
      </c>
    </row>
    <row r="337" spans="1:9" ht="15" customHeight="1">
      <c r="A337" s="258"/>
      <c r="B337" s="263"/>
      <c r="C337" s="1" t="s">
        <v>359</v>
      </c>
      <c r="D337" s="1">
        <v>2</v>
      </c>
      <c r="E337" s="4" t="s">
        <v>360</v>
      </c>
      <c r="I337">
        <f t="shared" si="5"/>
        <v>2</v>
      </c>
    </row>
    <row r="338" spans="1:9" ht="15" customHeight="1">
      <c r="A338" s="258"/>
      <c r="B338" s="263"/>
      <c r="C338" s="1" t="s">
        <v>361</v>
      </c>
      <c r="D338" s="1">
        <v>2</v>
      </c>
      <c r="E338" s="4" t="s">
        <v>360</v>
      </c>
      <c r="I338">
        <f t="shared" si="5"/>
        <v>2</v>
      </c>
    </row>
    <row r="339" spans="1:9" ht="15" customHeight="1">
      <c r="A339" s="258"/>
      <c r="B339" s="263"/>
      <c r="C339" s="1" t="s">
        <v>362</v>
      </c>
      <c r="D339" s="1">
        <v>3</v>
      </c>
      <c r="E339" s="4" t="s">
        <v>360</v>
      </c>
      <c r="I339">
        <f t="shared" si="5"/>
        <v>3</v>
      </c>
    </row>
    <row r="340" spans="1:9" ht="15" customHeight="1">
      <c r="A340" s="258"/>
      <c r="B340" s="263"/>
      <c r="C340" s="1" t="s">
        <v>363</v>
      </c>
      <c r="D340" s="1">
        <v>1</v>
      </c>
      <c r="E340" s="4" t="s">
        <v>360</v>
      </c>
      <c r="I340">
        <f t="shared" si="5"/>
        <v>1</v>
      </c>
    </row>
    <row r="341" spans="1:9" ht="15" customHeight="1">
      <c r="A341" s="258"/>
      <c r="B341" s="263"/>
      <c r="C341" s="1" t="s">
        <v>364</v>
      </c>
      <c r="D341" s="1">
        <v>13</v>
      </c>
      <c r="E341" s="4" t="s">
        <v>360</v>
      </c>
      <c r="I341">
        <f t="shared" si="5"/>
        <v>13</v>
      </c>
    </row>
    <row r="342" spans="1:9" ht="15" customHeight="1">
      <c r="A342" s="258"/>
      <c r="B342" s="263"/>
      <c r="C342" s="1" t="s">
        <v>365</v>
      </c>
      <c r="D342" s="1">
        <v>6</v>
      </c>
      <c r="E342" s="4" t="s">
        <v>360</v>
      </c>
      <c r="I342">
        <f t="shared" si="5"/>
        <v>6</v>
      </c>
    </row>
    <row r="343" spans="1:9" ht="15" customHeight="1">
      <c r="A343" s="258"/>
      <c r="B343" s="263"/>
      <c r="C343" s="1" t="s">
        <v>366</v>
      </c>
      <c r="D343" s="1">
        <v>21</v>
      </c>
      <c r="E343" s="4" t="s">
        <v>360</v>
      </c>
      <c r="I343">
        <f t="shared" si="5"/>
        <v>21</v>
      </c>
    </row>
    <row r="344" spans="1:9" ht="15" customHeight="1">
      <c r="A344" s="258"/>
      <c r="B344" s="263"/>
      <c r="C344" s="1" t="s">
        <v>367</v>
      </c>
      <c r="D344" s="1">
        <v>8</v>
      </c>
      <c r="E344" s="4" t="s">
        <v>368</v>
      </c>
      <c r="I344">
        <f t="shared" si="5"/>
        <v>8</v>
      </c>
    </row>
    <row r="345" spans="1:9" ht="15" customHeight="1">
      <c r="A345" s="258"/>
      <c r="B345" s="263"/>
      <c r="C345" s="1" t="s">
        <v>369</v>
      </c>
      <c r="D345" s="1">
        <v>7</v>
      </c>
      <c r="E345" s="4" t="s">
        <v>351</v>
      </c>
      <c r="I345">
        <f t="shared" ref="I345:I407" si="6">+D345+H345-G345</f>
        <v>7</v>
      </c>
    </row>
    <row r="346" spans="1:9" ht="15" customHeight="1">
      <c r="A346" s="258"/>
      <c r="B346" s="263"/>
      <c r="C346" s="1" t="s">
        <v>370</v>
      </c>
      <c r="D346" s="1">
        <v>1</v>
      </c>
      <c r="E346" s="4" t="s">
        <v>193</v>
      </c>
      <c r="I346">
        <f t="shared" si="6"/>
        <v>1</v>
      </c>
    </row>
    <row r="347" spans="1:9" ht="15" customHeight="1">
      <c r="A347" s="258"/>
      <c r="B347" s="263"/>
      <c r="C347" s="1" t="s">
        <v>371</v>
      </c>
      <c r="D347" s="1">
        <v>1</v>
      </c>
      <c r="E347" s="4" t="s">
        <v>351</v>
      </c>
      <c r="I347">
        <f t="shared" si="6"/>
        <v>1</v>
      </c>
    </row>
    <row r="348" spans="1:9" ht="15" customHeight="1">
      <c r="A348" s="258"/>
      <c r="B348" s="263"/>
      <c r="C348" s="1" t="s">
        <v>372</v>
      </c>
      <c r="D348" s="1">
        <v>1</v>
      </c>
      <c r="E348" s="4" t="s">
        <v>193</v>
      </c>
      <c r="I348">
        <f t="shared" si="6"/>
        <v>1</v>
      </c>
    </row>
    <row r="349" spans="1:9" ht="15" customHeight="1">
      <c r="A349" s="258"/>
      <c r="B349" s="263"/>
      <c r="C349" s="1" t="s">
        <v>373</v>
      </c>
      <c r="D349" s="1">
        <v>4</v>
      </c>
      <c r="E349" s="4" t="s">
        <v>374</v>
      </c>
      <c r="I349">
        <f t="shared" si="6"/>
        <v>4</v>
      </c>
    </row>
    <row r="350" spans="1:9" ht="15" customHeight="1">
      <c r="A350" s="258"/>
      <c r="B350" s="263"/>
      <c r="C350" s="1" t="s">
        <v>375</v>
      </c>
      <c r="D350" s="1">
        <v>28</v>
      </c>
      <c r="E350" s="4" t="s">
        <v>360</v>
      </c>
      <c r="I350">
        <f t="shared" si="6"/>
        <v>28</v>
      </c>
    </row>
    <row r="351" spans="1:9" ht="15" customHeight="1">
      <c r="A351" s="258"/>
      <c r="B351" s="263"/>
      <c r="C351" s="1" t="s">
        <v>376</v>
      </c>
      <c r="D351" s="1">
        <v>2</v>
      </c>
      <c r="E351" s="4" t="s">
        <v>351</v>
      </c>
      <c r="I351">
        <f t="shared" si="6"/>
        <v>2</v>
      </c>
    </row>
    <row r="352" spans="1:9" ht="15" customHeight="1">
      <c r="A352" s="258"/>
      <c r="B352" s="263"/>
      <c r="C352" s="1" t="s">
        <v>377</v>
      </c>
      <c r="D352" s="1">
        <v>1</v>
      </c>
      <c r="E352" s="4" t="s">
        <v>360</v>
      </c>
      <c r="I352">
        <f t="shared" si="6"/>
        <v>1</v>
      </c>
    </row>
    <row r="353" spans="1:9" ht="15" customHeight="1">
      <c r="A353" s="258"/>
      <c r="B353" s="263"/>
      <c r="C353" s="1" t="s">
        <v>378</v>
      </c>
      <c r="D353" s="1">
        <v>3</v>
      </c>
      <c r="E353" s="4"/>
      <c r="I353">
        <f t="shared" si="6"/>
        <v>3</v>
      </c>
    </row>
    <row r="354" spans="1:9" ht="15" customHeight="1">
      <c r="A354" s="258"/>
      <c r="B354" s="263"/>
      <c r="C354" s="1" t="s">
        <v>379</v>
      </c>
      <c r="D354" s="1">
        <v>2</v>
      </c>
      <c r="E354" s="4"/>
      <c r="I354">
        <f t="shared" si="6"/>
        <v>2</v>
      </c>
    </row>
    <row r="355" spans="1:9" ht="15" customHeight="1">
      <c r="A355" s="258"/>
      <c r="B355" s="263"/>
      <c r="C355" s="1" t="s">
        <v>380</v>
      </c>
      <c r="D355" s="1">
        <v>2</v>
      </c>
      <c r="E355" s="4" t="s">
        <v>355</v>
      </c>
      <c r="I355">
        <f t="shared" si="6"/>
        <v>2</v>
      </c>
    </row>
    <row r="356" spans="1:9" ht="15" customHeight="1">
      <c r="A356" s="258"/>
      <c r="B356" s="263"/>
      <c r="C356" s="1" t="s">
        <v>381</v>
      </c>
      <c r="D356" s="1">
        <v>1</v>
      </c>
      <c r="E356" s="4" t="s">
        <v>355</v>
      </c>
      <c r="I356">
        <f t="shared" si="6"/>
        <v>1</v>
      </c>
    </row>
    <row r="357" spans="1:9" ht="15" customHeight="1">
      <c r="A357" s="258"/>
      <c r="B357" s="263"/>
      <c r="C357" s="1" t="s">
        <v>382</v>
      </c>
      <c r="D357" s="1">
        <v>1</v>
      </c>
      <c r="E357" s="4" t="s">
        <v>351</v>
      </c>
      <c r="I357">
        <f t="shared" si="6"/>
        <v>1</v>
      </c>
    </row>
    <row r="358" spans="1:9" ht="15" customHeight="1">
      <c r="A358" s="258"/>
      <c r="B358" s="263"/>
      <c r="C358" s="1" t="s">
        <v>383</v>
      </c>
      <c r="D358" s="1">
        <v>74</v>
      </c>
      <c r="E358" s="4" t="s">
        <v>355</v>
      </c>
      <c r="I358">
        <f t="shared" si="6"/>
        <v>74</v>
      </c>
    </row>
    <row r="359" spans="1:9" ht="15" customHeight="1">
      <c r="A359" s="258"/>
      <c r="B359" s="263"/>
      <c r="C359" s="1" t="s">
        <v>384</v>
      </c>
      <c r="D359" s="1">
        <v>3</v>
      </c>
      <c r="E359" s="4" t="s">
        <v>351</v>
      </c>
      <c r="I359">
        <f t="shared" si="6"/>
        <v>3</v>
      </c>
    </row>
    <row r="360" spans="1:9" ht="15" customHeight="1">
      <c r="A360" s="258"/>
      <c r="B360" s="263"/>
      <c r="C360" s="1" t="s">
        <v>385</v>
      </c>
      <c r="D360" s="1">
        <v>2</v>
      </c>
      <c r="E360" s="4" t="s">
        <v>351</v>
      </c>
      <c r="I360">
        <f t="shared" si="6"/>
        <v>2</v>
      </c>
    </row>
    <row r="361" spans="1:9" ht="15" customHeight="1">
      <c r="A361" s="258"/>
      <c r="B361" s="263"/>
      <c r="C361" s="1" t="s">
        <v>386</v>
      </c>
      <c r="D361" s="1">
        <v>1</v>
      </c>
      <c r="E361" s="4" t="s">
        <v>360</v>
      </c>
      <c r="I361">
        <f t="shared" si="6"/>
        <v>1</v>
      </c>
    </row>
    <row r="362" spans="1:9" ht="15" customHeight="1">
      <c r="A362" s="258"/>
      <c r="B362" s="263"/>
      <c r="C362" s="1" t="s">
        <v>387</v>
      </c>
      <c r="D362" s="1">
        <v>2</v>
      </c>
      <c r="E362" s="4" t="s">
        <v>193</v>
      </c>
      <c r="I362">
        <f t="shared" si="6"/>
        <v>2</v>
      </c>
    </row>
    <row r="363" spans="1:9" ht="15" customHeight="1">
      <c r="A363" s="258"/>
      <c r="B363" s="263"/>
      <c r="C363" s="1" t="s">
        <v>388</v>
      </c>
      <c r="D363" s="1">
        <v>7</v>
      </c>
      <c r="E363" s="4" t="s">
        <v>351</v>
      </c>
      <c r="I363">
        <f t="shared" si="6"/>
        <v>7</v>
      </c>
    </row>
    <row r="364" spans="1:9" ht="15" customHeight="1">
      <c r="A364" s="258"/>
      <c r="B364" s="263"/>
      <c r="C364" s="1" t="s">
        <v>389</v>
      </c>
      <c r="D364" s="1">
        <v>21</v>
      </c>
      <c r="E364" s="4" t="s">
        <v>351</v>
      </c>
      <c r="I364">
        <f t="shared" si="6"/>
        <v>21</v>
      </c>
    </row>
    <row r="365" spans="1:9" ht="15" customHeight="1">
      <c r="A365" s="258"/>
      <c r="B365" s="263"/>
      <c r="C365" s="1" t="s">
        <v>390</v>
      </c>
      <c r="D365" s="1">
        <v>69</v>
      </c>
      <c r="E365" s="4" t="s">
        <v>351</v>
      </c>
      <c r="I365">
        <f>+D365+H365-G365</f>
        <v>69</v>
      </c>
    </row>
    <row r="366" spans="1:9" ht="15" customHeight="1">
      <c r="A366" s="258"/>
      <c r="B366" s="263"/>
      <c r="C366" s="1" t="s">
        <v>391</v>
      </c>
      <c r="D366" s="49">
        <v>10</v>
      </c>
      <c r="E366" s="4" t="s">
        <v>360</v>
      </c>
      <c r="G366" s="37">
        <v>2.2999999999999998</v>
      </c>
      <c r="H366" s="37"/>
      <c r="I366" s="37">
        <f>+D366-G366+H366</f>
        <v>7.7</v>
      </c>
    </row>
    <row r="367" spans="1:9" ht="15" customHeight="1">
      <c r="A367" s="258"/>
      <c r="B367" s="263"/>
      <c r="C367" s="1" t="s">
        <v>392</v>
      </c>
      <c r="D367" s="49">
        <v>24</v>
      </c>
      <c r="E367" s="4" t="s">
        <v>360</v>
      </c>
      <c r="G367" s="37"/>
      <c r="H367" s="37"/>
      <c r="I367" s="37">
        <f>+D367-G367+H367</f>
        <v>24</v>
      </c>
    </row>
    <row r="368" spans="1:9" ht="15" customHeight="1">
      <c r="A368" s="258"/>
      <c r="B368" s="263"/>
      <c r="C368" s="1" t="s">
        <v>393</v>
      </c>
      <c r="D368" s="49">
        <v>6</v>
      </c>
      <c r="E368" s="4" t="s">
        <v>193</v>
      </c>
      <c r="G368" s="37"/>
      <c r="H368" s="37"/>
      <c r="I368" s="37">
        <f>+D368-G368+H368</f>
        <v>6</v>
      </c>
    </row>
    <row r="369" spans="1:9" ht="15" customHeight="1">
      <c r="A369" s="258"/>
      <c r="B369" s="263"/>
      <c r="C369" s="1" t="s">
        <v>394</v>
      </c>
      <c r="D369" s="1">
        <v>2</v>
      </c>
      <c r="E369" s="4" t="s">
        <v>351</v>
      </c>
      <c r="I369">
        <f t="shared" si="6"/>
        <v>2</v>
      </c>
    </row>
    <row r="370" spans="1:9" ht="15" customHeight="1">
      <c r="A370" s="258"/>
      <c r="B370" s="263"/>
      <c r="C370" s="1" t="s">
        <v>395</v>
      </c>
      <c r="D370" s="1">
        <v>2</v>
      </c>
      <c r="E370" s="4" t="s">
        <v>360</v>
      </c>
      <c r="I370">
        <f t="shared" si="6"/>
        <v>2</v>
      </c>
    </row>
    <row r="371" spans="1:9" ht="15" customHeight="1">
      <c r="A371" s="258"/>
      <c r="B371" s="263"/>
      <c r="C371" s="1" t="s">
        <v>396</v>
      </c>
      <c r="D371" s="1">
        <v>1</v>
      </c>
      <c r="E371" s="4" t="s">
        <v>193</v>
      </c>
      <c r="I371">
        <f t="shared" si="6"/>
        <v>1</v>
      </c>
    </row>
    <row r="372" spans="1:9" ht="15" customHeight="1">
      <c r="A372" s="258"/>
      <c r="B372" s="263"/>
      <c r="C372" s="1" t="s">
        <v>397</v>
      </c>
      <c r="D372" s="1">
        <v>13</v>
      </c>
      <c r="E372" s="4" t="s">
        <v>398</v>
      </c>
      <c r="I372">
        <f t="shared" si="6"/>
        <v>13</v>
      </c>
    </row>
    <row r="373" spans="1:9" ht="15" customHeight="1">
      <c r="A373" s="258"/>
      <c r="B373" s="263"/>
      <c r="C373" s="1" t="s">
        <v>399</v>
      </c>
      <c r="D373" s="1">
        <v>3</v>
      </c>
      <c r="E373" s="4" t="s">
        <v>368</v>
      </c>
      <c r="G373">
        <v>1</v>
      </c>
      <c r="I373">
        <f t="shared" si="6"/>
        <v>2</v>
      </c>
    </row>
    <row r="374" spans="1:9" ht="15" customHeight="1">
      <c r="A374" s="258"/>
      <c r="B374" s="263"/>
      <c r="C374" s="1" t="s">
        <v>400</v>
      </c>
      <c r="D374" s="1">
        <v>3</v>
      </c>
      <c r="E374" s="4" t="s">
        <v>368</v>
      </c>
      <c r="I374">
        <f t="shared" si="6"/>
        <v>3</v>
      </c>
    </row>
    <row r="375" spans="1:9" ht="15.75" customHeight="1" thickBot="1">
      <c r="A375" s="260"/>
      <c r="B375" s="264"/>
      <c r="C375" s="9" t="s">
        <v>401</v>
      </c>
      <c r="D375" s="9">
        <v>1</v>
      </c>
      <c r="E375" s="10"/>
      <c r="I375">
        <f t="shared" si="6"/>
        <v>1</v>
      </c>
    </row>
    <row r="376" spans="1:9" ht="15" customHeight="1">
      <c r="A376" s="256" t="s">
        <v>402</v>
      </c>
      <c r="B376" s="257"/>
      <c r="C376" s="50" t="s">
        <v>403</v>
      </c>
      <c r="D376" s="2">
        <v>2</v>
      </c>
      <c r="E376" s="3" t="s">
        <v>404</v>
      </c>
      <c r="I376">
        <f t="shared" si="6"/>
        <v>2</v>
      </c>
    </row>
    <row r="377" spans="1:9" ht="15" customHeight="1">
      <c r="A377" s="258"/>
      <c r="B377" s="259"/>
      <c r="C377" s="12" t="s">
        <v>405</v>
      </c>
      <c r="D377" s="1">
        <v>2</v>
      </c>
      <c r="E377" s="4" t="s">
        <v>351</v>
      </c>
      <c r="I377">
        <f t="shared" si="6"/>
        <v>2</v>
      </c>
    </row>
    <row r="378" spans="1:9" ht="15" customHeight="1">
      <c r="A378" s="258"/>
      <c r="B378" s="259"/>
      <c r="C378" s="12" t="s">
        <v>406</v>
      </c>
      <c r="D378" s="1">
        <v>5</v>
      </c>
      <c r="E378" s="4" t="s">
        <v>351</v>
      </c>
      <c r="I378">
        <f t="shared" si="6"/>
        <v>5</v>
      </c>
    </row>
    <row r="379" spans="1:9" ht="15" customHeight="1">
      <c r="A379" s="258"/>
      <c r="B379" s="259"/>
      <c r="C379" s="12" t="s">
        <v>407</v>
      </c>
      <c r="D379" s="1">
        <v>5</v>
      </c>
      <c r="E379" s="4" t="s">
        <v>351</v>
      </c>
      <c r="I379">
        <f t="shared" si="6"/>
        <v>5</v>
      </c>
    </row>
    <row r="380" spans="1:9" ht="15" customHeight="1">
      <c r="A380" s="258"/>
      <c r="B380" s="259"/>
      <c r="C380" s="12" t="s">
        <v>408</v>
      </c>
      <c r="D380" s="1">
        <v>2</v>
      </c>
      <c r="E380" s="4" t="s">
        <v>193</v>
      </c>
      <c r="I380">
        <f t="shared" si="6"/>
        <v>2</v>
      </c>
    </row>
    <row r="381" spans="1:9" ht="15" customHeight="1">
      <c r="A381" s="258"/>
      <c r="B381" s="259"/>
      <c r="C381" s="12" t="s">
        <v>409</v>
      </c>
      <c r="D381" s="1">
        <v>2</v>
      </c>
      <c r="E381" s="4" t="s">
        <v>193</v>
      </c>
      <c r="I381">
        <f t="shared" si="6"/>
        <v>2</v>
      </c>
    </row>
    <row r="382" spans="1:9" ht="15" customHeight="1">
      <c r="A382" s="258"/>
      <c r="B382" s="259"/>
      <c r="C382" s="12" t="s">
        <v>410</v>
      </c>
      <c r="D382" s="1">
        <v>4</v>
      </c>
      <c r="E382" s="4" t="s">
        <v>32</v>
      </c>
      <c r="I382">
        <f t="shared" si="6"/>
        <v>4</v>
      </c>
    </row>
    <row r="383" spans="1:9" ht="15" customHeight="1">
      <c r="A383" s="258"/>
      <c r="B383" s="259"/>
      <c r="C383" s="12" t="s">
        <v>411</v>
      </c>
      <c r="D383" s="1">
        <v>1</v>
      </c>
      <c r="E383" s="4" t="s">
        <v>32</v>
      </c>
      <c r="I383">
        <f t="shared" si="6"/>
        <v>1</v>
      </c>
    </row>
    <row r="384" spans="1:9" ht="15" customHeight="1">
      <c r="A384" s="258"/>
      <c r="B384" s="259"/>
      <c r="C384" s="12" t="s">
        <v>412</v>
      </c>
      <c r="D384" s="1">
        <v>2</v>
      </c>
      <c r="E384" s="4" t="s">
        <v>413</v>
      </c>
      <c r="I384">
        <f t="shared" si="6"/>
        <v>2</v>
      </c>
    </row>
    <row r="385" spans="1:9" ht="15" customHeight="1">
      <c r="A385" s="258"/>
      <c r="B385" s="259"/>
      <c r="C385" s="12" t="s">
        <v>414</v>
      </c>
      <c r="D385" s="1">
        <v>3</v>
      </c>
      <c r="E385" s="4" t="s">
        <v>413</v>
      </c>
      <c r="I385">
        <f t="shared" si="6"/>
        <v>3</v>
      </c>
    </row>
    <row r="386" spans="1:9" ht="15" customHeight="1">
      <c r="A386" s="258"/>
      <c r="B386" s="259"/>
      <c r="C386" s="12" t="s">
        <v>415</v>
      </c>
      <c r="D386" s="1">
        <v>2</v>
      </c>
      <c r="E386" s="4" t="s">
        <v>413</v>
      </c>
      <c r="I386">
        <f t="shared" si="6"/>
        <v>2</v>
      </c>
    </row>
    <row r="387" spans="1:9" ht="15" customHeight="1">
      <c r="A387" s="258"/>
      <c r="B387" s="259"/>
      <c r="C387" s="12" t="s">
        <v>416</v>
      </c>
      <c r="D387" s="1">
        <v>1</v>
      </c>
      <c r="E387" s="4" t="s">
        <v>281</v>
      </c>
      <c r="I387">
        <f t="shared" si="6"/>
        <v>1</v>
      </c>
    </row>
    <row r="388" spans="1:9" ht="15" customHeight="1">
      <c r="A388" s="258"/>
      <c r="B388" s="259"/>
      <c r="C388" s="12" t="s">
        <v>417</v>
      </c>
      <c r="D388" s="1">
        <v>11</v>
      </c>
      <c r="E388" s="4" t="s">
        <v>281</v>
      </c>
      <c r="I388">
        <f t="shared" si="6"/>
        <v>11</v>
      </c>
    </row>
    <row r="389" spans="1:9" ht="15" customHeight="1">
      <c r="A389" s="258"/>
      <c r="B389" s="259"/>
      <c r="C389" s="12" t="s">
        <v>418</v>
      </c>
      <c r="D389" s="1">
        <v>3</v>
      </c>
      <c r="E389" s="4" t="s">
        <v>32</v>
      </c>
      <c r="I389">
        <f t="shared" si="6"/>
        <v>3</v>
      </c>
    </row>
    <row r="390" spans="1:9" ht="15" customHeight="1">
      <c r="A390" s="258"/>
      <c r="B390" s="259"/>
      <c r="C390" s="12" t="s">
        <v>419</v>
      </c>
      <c r="D390" s="1">
        <v>5</v>
      </c>
      <c r="E390" s="4" t="s">
        <v>32</v>
      </c>
      <c r="I390">
        <f t="shared" si="6"/>
        <v>5</v>
      </c>
    </row>
    <row r="391" spans="1:9" ht="15" customHeight="1">
      <c r="A391" s="258"/>
      <c r="B391" s="259"/>
      <c r="C391" s="12" t="s">
        <v>420</v>
      </c>
      <c r="D391" s="1">
        <v>1</v>
      </c>
      <c r="E391" s="4"/>
      <c r="I391">
        <f t="shared" si="6"/>
        <v>1</v>
      </c>
    </row>
    <row r="392" spans="1:9" ht="15" customHeight="1">
      <c r="A392" s="258"/>
      <c r="B392" s="259"/>
      <c r="C392" s="12" t="s">
        <v>421</v>
      </c>
      <c r="D392" s="1">
        <v>2</v>
      </c>
      <c r="E392" s="4" t="s">
        <v>321</v>
      </c>
      <c r="I392">
        <f t="shared" si="6"/>
        <v>2</v>
      </c>
    </row>
    <row r="393" spans="1:9" ht="15" customHeight="1">
      <c r="A393" s="258"/>
      <c r="B393" s="259"/>
      <c r="C393" s="12" t="s">
        <v>422</v>
      </c>
      <c r="D393" s="1">
        <v>54</v>
      </c>
      <c r="E393" s="4" t="s">
        <v>321</v>
      </c>
      <c r="I393">
        <f t="shared" si="6"/>
        <v>54</v>
      </c>
    </row>
    <row r="394" spans="1:9" ht="15" customHeight="1">
      <c r="A394" s="258"/>
      <c r="B394" s="259"/>
      <c r="C394" s="12" t="s">
        <v>423</v>
      </c>
      <c r="D394" s="1">
        <v>52</v>
      </c>
      <c r="E394" s="4" t="s">
        <v>321</v>
      </c>
      <c r="I394">
        <f t="shared" si="6"/>
        <v>52</v>
      </c>
    </row>
    <row r="395" spans="1:9" ht="15" customHeight="1">
      <c r="A395" s="258"/>
      <c r="B395" s="259"/>
      <c r="C395" s="12" t="s">
        <v>424</v>
      </c>
      <c r="D395" s="1">
        <v>9</v>
      </c>
      <c r="E395" s="4" t="s">
        <v>321</v>
      </c>
      <c r="I395">
        <f t="shared" si="6"/>
        <v>9</v>
      </c>
    </row>
    <row r="396" spans="1:9" ht="15" customHeight="1">
      <c r="A396" s="258"/>
      <c r="B396" s="259"/>
      <c r="C396" s="12" t="s">
        <v>425</v>
      </c>
      <c r="D396" s="1">
        <v>40</v>
      </c>
      <c r="E396" s="4" t="s">
        <v>321</v>
      </c>
      <c r="I396">
        <f t="shared" si="6"/>
        <v>40</v>
      </c>
    </row>
    <row r="397" spans="1:9" ht="15" customHeight="1">
      <c r="A397" s="258"/>
      <c r="B397" s="259"/>
      <c r="C397" s="12" t="s">
        <v>426</v>
      </c>
      <c r="D397" s="1">
        <v>30</v>
      </c>
      <c r="E397" s="4" t="s">
        <v>321</v>
      </c>
      <c r="I397">
        <f t="shared" si="6"/>
        <v>30</v>
      </c>
    </row>
    <row r="398" spans="1:9" ht="15" customHeight="1">
      <c r="A398" s="258"/>
      <c r="B398" s="259"/>
      <c r="C398" s="12" t="s">
        <v>427</v>
      </c>
      <c r="D398" s="1">
        <v>23</v>
      </c>
      <c r="E398" s="4" t="s">
        <v>321</v>
      </c>
      <c r="I398">
        <f t="shared" si="6"/>
        <v>23</v>
      </c>
    </row>
    <row r="399" spans="1:9" ht="15" customHeight="1">
      <c r="A399" s="258"/>
      <c r="B399" s="259"/>
      <c r="C399" s="12" t="s">
        <v>428</v>
      </c>
      <c r="D399" s="1">
        <v>37</v>
      </c>
      <c r="E399" s="4" t="s">
        <v>321</v>
      </c>
      <c r="I399">
        <f t="shared" si="6"/>
        <v>37</v>
      </c>
    </row>
    <row r="400" spans="1:9" ht="15" customHeight="1">
      <c r="A400" s="258"/>
      <c r="B400" s="259"/>
      <c r="C400" s="12" t="s">
        <v>429</v>
      </c>
      <c r="D400" s="1">
        <v>13</v>
      </c>
      <c r="E400" s="4" t="s">
        <v>321</v>
      </c>
      <c r="I400">
        <f t="shared" si="6"/>
        <v>13</v>
      </c>
    </row>
    <row r="401" spans="1:9" ht="15" customHeight="1">
      <c r="A401" s="258"/>
      <c r="B401" s="259"/>
      <c r="C401" s="12" t="s">
        <v>430</v>
      </c>
      <c r="D401" s="1">
        <v>57</v>
      </c>
      <c r="E401" s="4" t="s">
        <v>321</v>
      </c>
      <c r="I401">
        <f t="shared" si="6"/>
        <v>57</v>
      </c>
    </row>
    <row r="402" spans="1:9" ht="15" customHeight="1">
      <c r="A402" s="258"/>
      <c r="B402" s="259"/>
      <c r="C402" s="12" t="s">
        <v>431</v>
      </c>
      <c r="D402" s="1">
        <v>4</v>
      </c>
      <c r="E402" s="4" t="s">
        <v>321</v>
      </c>
      <c r="I402">
        <f t="shared" si="6"/>
        <v>4</v>
      </c>
    </row>
    <row r="403" spans="1:9" ht="15" customHeight="1">
      <c r="A403" s="258"/>
      <c r="B403" s="259"/>
      <c r="C403" s="12" t="s">
        <v>432</v>
      </c>
      <c r="D403" s="1">
        <v>2</v>
      </c>
      <c r="E403" s="4" t="s">
        <v>321</v>
      </c>
      <c r="I403">
        <f t="shared" si="6"/>
        <v>2</v>
      </c>
    </row>
    <row r="404" spans="1:9" ht="15" customHeight="1">
      <c r="A404" s="258"/>
      <c r="B404" s="259"/>
      <c r="C404" s="12" t="s">
        <v>433</v>
      </c>
      <c r="D404" s="1">
        <v>20</v>
      </c>
      <c r="E404" s="4" t="s">
        <v>321</v>
      </c>
      <c r="I404">
        <f t="shared" si="6"/>
        <v>20</v>
      </c>
    </row>
    <row r="405" spans="1:9" ht="15" customHeight="1">
      <c r="A405" s="258"/>
      <c r="B405" s="259"/>
      <c r="C405" s="12" t="s">
        <v>434</v>
      </c>
      <c r="D405" s="1">
        <v>18</v>
      </c>
      <c r="E405" s="4" t="s">
        <v>321</v>
      </c>
      <c r="I405">
        <f t="shared" si="6"/>
        <v>18</v>
      </c>
    </row>
    <row r="406" spans="1:9" ht="15" customHeight="1">
      <c r="A406" s="258"/>
      <c r="B406" s="259"/>
      <c r="C406" s="12" t="s">
        <v>435</v>
      </c>
      <c r="D406" s="1">
        <v>117</v>
      </c>
      <c r="E406" s="4" t="s">
        <v>321</v>
      </c>
      <c r="I406">
        <f t="shared" si="6"/>
        <v>117</v>
      </c>
    </row>
    <row r="407" spans="1:9" ht="15" customHeight="1">
      <c r="A407" s="258"/>
      <c r="B407" s="259"/>
      <c r="C407" s="12" t="s">
        <v>436</v>
      </c>
      <c r="D407" s="1">
        <v>2</v>
      </c>
      <c r="E407" s="4" t="s">
        <v>321</v>
      </c>
      <c r="I407">
        <f t="shared" si="6"/>
        <v>2</v>
      </c>
    </row>
    <row r="408" spans="1:9" ht="15" customHeight="1">
      <c r="A408" s="258"/>
      <c r="B408" s="259"/>
      <c r="C408" s="12" t="s">
        <v>437</v>
      </c>
      <c r="D408" s="1">
        <v>23</v>
      </c>
      <c r="E408" s="4" t="s">
        <v>321</v>
      </c>
      <c r="I408">
        <f t="shared" ref="I408:I471" si="7">+D408+H408-G408</f>
        <v>23</v>
      </c>
    </row>
    <row r="409" spans="1:9" ht="15" customHeight="1">
      <c r="A409" s="258"/>
      <c r="B409" s="259"/>
      <c r="C409" s="12" t="s">
        <v>438</v>
      </c>
      <c r="D409" s="1">
        <v>1</v>
      </c>
      <c r="E409" s="4" t="s">
        <v>321</v>
      </c>
      <c r="I409">
        <f t="shared" si="7"/>
        <v>1</v>
      </c>
    </row>
    <row r="410" spans="1:9" ht="15" customHeight="1">
      <c r="A410" s="258"/>
      <c r="B410" s="259"/>
      <c r="C410" s="12" t="s">
        <v>439</v>
      </c>
      <c r="D410" s="1">
        <v>3</v>
      </c>
      <c r="E410" s="4" t="s">
        <v>321</v>
      </c>
      <c r="I410">
        <f t="shared" si="7"/>
        <v>3</v>
      </c>
    </row>
    <row r="411" spans="1:9" ht="15" customHeight="1">
      <c r="A411" s="258"/>
      <c r="B411" s="259"/>
      <c r="C411" s="12" t="s">
        <v>440</v>
      </c>
      <c r="D411" s="1">
        <v>108</v>
      </c>
      <c r="E411" s="4" t="s">
        <v>321</v>
      </c>
      <c r="I411">
        <f t="shared" si="7"/>
        <v>108</v>
      </c>
    </row>
    <row r="412" spans="1:9" ht="15" customHeight="1">
      <c r="A412" s="258"/>
      <c r="B412" s="259"/>
      <c r="C412" s="12" t="s">
        <v>441</v>
      </c>
      <c r="D412" s="1">
        <v>62</v>
      </c>
      <c r="E412" s="4"/>
      <c r="I412">
        <f t="shared" si="7"/>
        <v>62</v>
      </c>
    </row>
    <row r="413" spans="1:9" ht="15" customHeight="1">
      <c r="A413" s="258"/>
      <c r="B413" s="259"/>
      <c r="C413" s="12" t="s">
        <v>442</v>
      </c>
      <c r="D413" s="1">
        <v>79</v>
      </c>
      <c r="E413" s="4"/>
      <c r="I413">
        <f t="shared" si="7"/>
        <v>79</v>
      </c>
    </row>
    <row r="414" spans="1:9" ht="15" customHeight="1">
      <c r="A414" s="258"/>
      <c r="B414" s="259"/>
      <c r="C414" s="12" t="s">
        <v>443</v>
      </c>
      <c r="D414" s="1">
        <v>155</v>
      </c>
      <c r="E414" s="4"/>
      <c r="I414">
        <f t="shared" si="7"/>
        <v>155</v>
      </c>
    </row>
    <row r="415" spans="1:9" ht="15" customHeight="1">
      <c r="A415" s="258"/>
      <c r="B415" s="259"/>
      <c r="C415" s="12" t="s">
        <v>444</v>
      </c>
      <c r="D415" s="1">
        <v>244</v>
      </c>
      <c r="E415" s="4"/>
      <c r="I415">
        <f t="shared" si="7"/>
        <v>244</v>
      </c>
    </row>
    <row r="416" spans="1:9" ht="15" customHeight="1">
      <c r="A416" s="258"/>
      <c r="B416" s="259"/>
      <c r="C416" s="12" t="s">
        <v>445</v>
      </c>
      <c r="D416" s="1">
        <v>57</v>
      </c>
      <c r="E416" s="4"/>
      <c r="I416">
        <f t="shared" si="7"/>
        <v>57</v>
      </c>
    </row>
    <row r="417" spans="1:9" ht="15" customHeight="1">
      <c r="A417" s="258"/>
      <c r="B417" s="259"/>
      <c r="C417" s="12" t="s">
        <v>446</v>
      </c>
      <c r="D417" s="1">
        <v>460</v>
      </c>
      <c r="E417" s="4"/>
      <c r="I417">
        <f t="shared" si="7"/>
        <v>460</v>
      </c>
    </row>
    <row r="418" spans="1:9" ht="15" customHeight="1">
      <c r="A418" s="258"/>
      <c r="B418" s="259"/>
      <c r="C418" s="12" t="s">
        <v>447</v>
      </c>
      <c r="D418" s="1">
        <v>2</v>
      </c>
      <c r="E418" s="4" t="s">
        <v>448</v>
      </c>
      <c r="I418">
        <f t="shared" si="7"/>
        <v>2</v>
      </c>
    </row>
    <row r="419" spans="1:9" ht="15" customHeight="1">
      <c r="A419" s="258"/>
      <c r="B419" s="259"/>
      <c r="C419" s="12" t="s">
        <v>449</v>
      </c>
      <c r="D419" s="1">
        <v>1</v>
      </c>
      <c r="E419" s="4" t="s">
        <v>448</v>
      </c>
      <c r="I419">
        <f t="shared" si="7"/>
        <v>1</v>
      </c>
    </row>
    <row r="420" spans="1:9" ht="15" customHeight="1">
      <c r="A420" s="258"/>
      <c r="B420" s="259"/>
      <c r="C420" s="12" t="s">
        <v>450</v>
      </c>
      <c r="D420" s="1">
        <v>7</v>
      </c>
      <c r="E420" s="4" t="s">
        <v>448</v>
      </c>
      <c r="I420">
        <f t="shared" si="7"/>
        <v>7</v>
      </c>
    </row>
    <row r="421" spans="1:9" ht="15" customHeight="1">
      <c r="A421" s="258"/>
      <c r="B421" s="259"/>
      <c r="C421" s="12" t="s">
        <v>451</v>
      </c>
      <c r="D421" s="1">
        <v>15</v>
      </c>
      <c r="E421" s="4" t="s">
        <v>448</v>
      </c>
      <c r="I421">
        <f t="shared" si="7"/>
        <v>15</v>
      </c>
    </row>
    <row r="422" spans="1:9" ht="15" customHeight="1">
      <c r="A422" s="258"/>
      <c r="B422" s="259"/>
      <c r="C422" s="12" t="s">
        <v>452</v>
      </c>
      <c r="D422" s="1">
        <v>4</v>
      </c>
      <c r="E422" s="4" t="s">
        <v>448</v>
      </c>
      <c r="I422">
        <f t="shared" si="7"/>
        <v>4</v>
      </c>
    </row>
    <row r="423" spans="1:9" ht="15" customHeight="1">
      <c r="A423" s="258"/>
      <c r="B423" s="259"/>
      <c r="C423" s="12" t="s">
        <v>453</v>
      </c>
      <c r="D423" s="1">
        <v>26</v>
      </c>
      <c r="E423" s="4" t="s">
        <v>448</v>
      </c>
      <c r="I423">
        <f t="shared" si="7"/>
        <v>26</v>
      </c>
    </row>
    <row r="424" spans="1:9" ht="15" customHeight="1">
      <c r="A424" s="258"/>
      <c r="B424" s="259"/>
      <c r="C424" s="12" t="s">
        <v>454</v>
      </c>
      <c r="D424" s="1">
        <v>4</v>
      </c>
      <c r="E424" s="4" t="s">
        <v>448</v>
      </c>
      <c r="H424" s="44"/>
      <c r="I424">
        <f t="shared" si="7"/>
        <v>4</v>
      </c>
    </row>
    <row r="425" spans="1:9" ht="15" customHeight="1">
      <c r="A425" s="258"/>
      <c r="B425" s="259"/>
      <c r="C425" s="12" t="s">
        <v>455</v>
      </c>
      <c r="D425" s="1">
        <v>4</v>
      </c>
      <c r="E425" s="4" t="s">
        <v>448</v>
      </c>
      <c r="H425" s="44"/>
      <c r="I425">
        <f t="shared" si="7"/>
        <v>4</v>
      </c>
    </row>
    <row r="426" spans="1:9" ht="15" customHeight="1">
      <c r="A426" s="258"/>
      <c r="B426" s="259"/>
      <c r="C426" s="12" t="s">
        <v>456</v>
      </c>
      <c r="D426" s="1">
        <v>10</v>
      </c>
      <c r="E426" s="4" t="s">
        <v>448</v>
      </c>
      <c r="H426" s="45"/>
      <c r="I426">
        <f t="shared" si="7"/>
        <v>10</v>
      </c>
    </row>
    <row r="427" spans="1:9" ht="15" customHeight="1">
      <c r="A427" s="258"/>
      <c r="B427" s="259"/>
      <c r="C427" s="12" t="s">
        <v>457</v>
      </c>
      <c r="D427" s="1">
        <v>7</v>
      </c>
      <c r="E427" s="4" t="s">
        <v>448</v>
      </c>
      <c r="I427">
        <f t="shared" si="7"/>
        <v>7</v>
      </c>
    </row>
    <row r="428" spans="1:9" ht="15" customHeight="1">
      <c r="A428" s="258"/>
      <c r="B428" s="259"/>
      <c r="C428" s="12" t="s">
        <v>458</v>
      </c>
      <c r="D428" s="1">
        <v>1</v>
      </c>
      <c r="E428" s="4" t="s">
        <v>448</v>
      </c>
      <c r="I428">
        <f t="shared" si="7"/>
        <v>1</v>
      </c>
    </row>
    <row r="429" spans="1:9" ht="15" customHeight="1">
      <c r="A429" s="258"/>
      <c r="B429" s="259"/>
      <c r="C429" s="12" t="s">
        <v>459</v>
      </c>
      <c r="D429" s="1">
        <v>6</v>
      </c>
      <c r="E429" s="4" t="s">
        <v>460</v>
      </c>
      <c r="I429">
        <f t="shared" si="7"/>
        <v>6</v>
      </c>
    </row>
    <row r="430" spans="1:9" ht="15" customHeight="1">
      <c r="A430" s="258"/>
      <c r="B430" s="259"/>
      <c r="C430" s="12" t="s">
        <v>461</v>
      </c>
      <c r="D430" s="1">
        <v>2</v>
      </c>
      <c r="E430" s="4" t="s">
        <v>460</v>
      </c>
      <c r="I430">
        <f t="shared" si="7"/>
        <v>2</v>
      </c>
    </row>
    <row r="431" spans="1:9" ht="15" customHeight="1">
      <c r="A431" s="258"/>
      <c r="B431" s="259"/>
      <c r="C431" s="12" t="s">
        <v>462</v>
      </c>
      <c r="D431" s="1">
        <v>1</v>
      </c>
      <c r="E431" s="4" t="s">
        <v>460</v>
      </c>
      <c r="I431">
        <f t="shared" si="7"/>
        <v>1</v>
      </c>
    </row>
    <row r="432" spans="1:9" ht="15" customHeight="1">
      <c r="A432" s="258"/>
      <c r="B432" s="259"/>
      <c r="C432" s="12" t="s">
        <v>463</v>
      </c>
      <c r="D432" s="1">
        <v>3</v>
      </c>
      <c r="E432" s="4" t="s">
        <v>460</v>
      </c>
      <c r="I432">
        <f t="shared" si="7"/>
        <v>3</v>
      </c>
    </row>
    <row r="433" spans="1:9" ht="15" customHeight="1">
      <c r="A433" s="258"/>
      <c r="B433" s="259"/>
      <c r="C433" s="12" t="s">
        <v>464</v>
      </c>
      <c r="D433" s="1">
        <v>1</v>
      </c>
      <c r="E433" s="4" t="s">
        <v>460</v>
      </c>
      <c r="I433">
        <f t="shared" si="7"/>
        <v>1</v>
      </c>
    </row>
    <row r="434" spans="1:9" ht="15" customHeight="1">
      <c r="A434" s="258"/>
      <c r="B434" s="259"/>
      <c r="C434" s="12" t="s">
        <v>465</v>
      </c>
      <c r="D434" s="1">
        <v>2</v>
      </c>
      <c r="E434" s="4" t="s">
        <v>460</v>
      </c>
      <c r="I434">
        <f t="shared" si="7"/>
        <v>2</v>
      </c>
    </row>
    <row r="435" spans="1:9" ht="15" customHeight="1">
      <c r="A435" s="258"/>
      <c r="B435" s="259"/>
      <c r="C435" s="12" t="s">
        <v>466</v>
      </c>
      <c r="D435" s="1">
        <v>1</v>
      </c>
      <c r="E435" s="4" t="s">
        <v>368</v>
      </c>
      <c r="I435">
        <f t="shared" si="7"/>
        <v>1</v>
      </c>
    </row>
    <row r="436" spans="1:9" ht="15" customHeight="1">
      <c r="A436" s="258"/>
      <c r="B436" s="259"/>
      <c r="C436" s="12" t="s">
        <v>467</v>
      </c>
      <c r="D436" s="1">
        <v>4</v>
      </c>
      <c r="E436" s="4" t="s">
        <v>368</v>
      </c>
      <c r="I436">
        <f t="shared" si="7"/>
        <v>4</v>
      </c>
    </row>
    <row r="437" spans="1:9" ht="15" customHeight="1">
      <c r="A437" s="258"/>
      <c r="B437" s="259"/>
      <c r="C437" s="12" t="s">
        <v>400</v>
      </c>
      <c r="D437" s="1">
        <v>7</v>
      </c>
      <c r="E437" s="4" t="s">
        <v>368</v>
      </c>
      <c r="I437">
        <f t="shared" si="7"/>
        <v>7</v>
      </c>
    </row>
    <row r="438" spans="1:9" ht="15" customHeight="1">
      <c r="A438" s="258"/>
      <c r="B438" s="259"/>
      <c r="C438" s="12" t="s">
        <v>399</v>
      </c>
      <c r="D438" s="1">
        <v>6</v>
      </c>
      <c r="E438" s="4" t="s">
        <v>368</v>
      </c>
      <c r="I438">
        <f t="shared" si="7"/>
        <v>6</v>
      </c>
    </row>
    <row r="439" spans="1:9" ht="15" customHeight="1">
      <c r="A439" s="258"/>
      <c r="B439" s="259"/>
      <c r="C439" s="12" t="s">
        <v>468</v>
      </c>
      <c r="D439" s="1">
        <v>1</v>
      </c>
      <c r="E439" s="4" t="s">
        <v>368</v>
      </c>
      <c r="I439">
        <f t="shared" si="7"/>
        <v>1</v>
      </c>
    </row>
    <row r="440" spans="1:9" ht="15" customHeight="1">
      <c r="A440" s="258"/>
      <c r="B440" s="259"/>
      <c r="C440" s="12" t="s">
        <v>469</v>
      </c>
      <c r="D440" s="1">
        <v>10</v>
      </c>
      <c r="E440" s="4" t="s">
        <v>368</v>
      </c>
      <c r="I440">
        <f t="shared" si="7"/>
        <v>10</v>
      </c>
    </row>
    <row r="441" spans="1:9" ht="15" customHeight="1">
      <c r="A441" s="258"/>
      <c r="B441" s="259"/>
      <c r="C441" s="12" t="s">
        <v>470</v>
      </c>
      <c r="D441" s="1">
        <v>10</v>
      </c>
      <c r="E441" s="4" t="s">
        <v>368</v>
      </c>
      <c r="I441">
        <f t="shared" si="7"/>
        <v>10</v>
      </c>
    </row>
    <row r="442" spans="1:9" ht="15" customHeight="1">
      <c r="A442" s="258"/>
      <c r="B442" s="259"/>
      <c r="C442" s="12" t="s">
        <v>471</v>
      </c>
      <c r="D442" s="1">
        <v>2</v>
      </c>
      <c r="E442" s="4" t="s">
        <v>368</v>
      </c>
      <c r="I442">
        <f t="shared" si="7"/>
        <v>2</v>
      </c>
    </row>
    <row r="443" spans="1:9" ht="15" customHeight="1">
      <c r="A443" s="258"/>
      <c r="B443" s="259"/>
      <c r="C443" s="12" t="s">
        <v>472</v>
      </c>
      <c r="D443" s="1">
        <v>1</v>
      </c>
      <c r="E443" s="4" t="s">
        <v>368</v>
      </c>
      <c r="I443">
        <f t="shared" si="7"/>
        <v>1</v>
      </c>
    </row>
    <row r="444" spans="1:9" ht="15" customHeight="1">
      <c r="A444" s="258"/>
      <c r="B444" s="259"/>
      <c r="C444" s="12" t="s">
        <v>473</v>
      </c>
      <c r="D444" s="1">
        <v>6</v>
      </c>
      <c r="E444" s="4" t="s">
        <v>368</v>
      </c>
      <c r="I444">
        <f t="shared" si="7"/>
        <v>6</v>
      </c>
    </row>
    <row r="445" spans="1:9" ht="15" customHeight="1">
      <c r="A445" s="258"/>
      <c r="B445" s="259"/>
      <c r="C445" s="12" t="s">
        <v>474</v>
      </c>
      <c r="D445" s="1">
        <v>1</v>
      </c>
      <c r="E445" s="4" t="s">
        <v>368</v>
      </c>
      <c r="I445">
        <f t="shared" si="7"/>
        <v>1</v>
      </c>
    </row>
    <row r="446" spans="1:9" ht="15" customHeight="1">
      <c r="A446" s="258"/>
      <c r="B446" s="259"/>
      <c r="C446" s="12" t="s">
        <v>475</v>
      </c>
      <c r="D446" s="1">
        <v>1</v>
      </c>
      <c r="E446" s="4" t="s">
        <v>368</v>
      </c>
      <c r="I446">
        <f t="shared" si="7"/>
        <v>1</v>
      </c>
    </row>
    <row r="447" spans="1:9" ht="15" customHeight="1">
      <c r="A447" s="258"/>
      <c r="B447" s="259"/>
      <c r="C447" s="12" t="s">
        <v>476</v>
      </c>
      <c r="D447" s="1">
        <v>8</v>
      </c>
      <c r="E447" s="4" t="s">
        <v>368</v>
      </c>
      <c r="I447">
        <f t="shared" si="7"/>
        <v>8</v>
      </c>
    </row>
    <row r="448" spans="1:9" ht="15" customHeight="1">
      <c r="A448" s="258"/>
      <c r="B448" s="259"/>
      <c r="C448" s="12" t="s">
        <v>477</v>
      </c>
      <c r="D448" s="1">
        <v>4</v>
      </c>
      <c r="E448" s="4" t="s">
        <v>368</v>
      </c>
      <c r="I448">
        <f t="shared" si="7"/>
        <v>4</v>
      </c>
    </row>
    <row r="449" spans="1:9" ht="15" customHeight="1">
      <c r="A449" s="258"/>
      <c r="B449" s="259"/>
      <c r="C449" s="12" t="s">
        <v>478</v>
      </c>
      <c r="D449" s="1">
        <v>5</v>
      </c>
      <c r="E449" s="4" t="s">
        <v>368</v>
      </c>
      <c r="I449">
        <f t="shared" si="7"/>
        <v>5</v>
      </c>
    </row>
    <row r="450" spans="1:9" ht="15" customHeight="1">
      <c r="A450" s="258"/>
      <c r="B450" s="259"/>
      <c r="C450" s="12" t="s">
        <v>479</v>
      </c>
      <c r="D450" s="1">
        <v>1</v>
      </c>
      <c r="E450" s="4" t="s">
        <v>368</v>
      </c>
      <c r="I450">
        <f t="shared" si="7"/>
        <v>1</v>
      </c>
    </row>
    <row r="451" spans="1:9" ht="15" customHeight="1">
      <c r="A451" s="258"/>
      <c r="B451" s="259"/>
      <c r="C451" s="12" t="s">
        <v>480</v>
      </c>
      <c r="D451" s="1">
        <v>1</v>
      </c>
      <c r="E451" s="4" t="s">
        <v>368</v>
      </c>
      <c r="I451">
        <f t="shared" si="7"/>
        <v>1</v>
      </c>
    </row>
    <row r="452" spans="1:9" ht="15" customHeight="1">
      <c r="A452" s="258"/>
      <c r="B452" s="259"/>
      <c r="C452" s="12" t="s">
        <v>481</v>
      </c>
      <c r="D452" s="1">
        <v>1</v>
      </c>
      <c r="E452" s="4" t="s">
        <v>368</v>
      </c>
      <c r="I452">
        <f t="shared" si="7"/>
        <v>1</v>
      </c>
    </row>
    <row r="453" spans="1:9" ht="15" customHeight="1">
      <c r="A453" s="258"/>
      <c r="B453" s="259"/>
      <c r="C453" s="12" t="s">
        <v>482</v>
      </c>
      <c r="D453" s="1">
        <v>1</v>
      </c>
      <c r="E453" s="4" t="s">
        <v>368</v>
      </c>
      <c r="I453">
        <f t="shared" si="7"/>
        <v>1</v>
      </c>
    </row>
    <row r="454" spans="1:9" ht="15" customHeight="1">
      <c r="A454" s="258"/>
      <c r="B454" s="259"/>
      <c r="C454" s="12" t="s">
        <v>483</v>
      </c>
      <c r="D454" s="1">
        <v>4</v>
      </c>
      <c r="E454" s="4" t="s">
        <v>368</v>
      </c>
      <c r="I454">
        <f t="shared" si="7"/>
        <v>4</v>
      </c>
    </row>
    <row r="455" spans="1:9" ht="15" customHeight="1">
      <c r="A455" s="258"/>
      <c r="B455" s="259"/>
      <c r="C455" s="12" t="s">
        <v>484</v>
      </c>
      <c r="D455" s="1">
        <v>3</v>
      </c>
      <c r="E455" s="4" t="s">
        <v>368</v>
      </c>
      <c r="I455">
        <f t="shared" si="7"/>
        <v>3</v>
      </c>
    </row>
    <row r="456" spans="1:9" ht="15" customHeight="1">
      <c r="A456" s="258"/>
      <c r="B456" s="259"/>
      <c r="C456" s="12" t="s">
        <v>485</v>
      </c>
      <c r="D456" s="1">
        <v>1</v>
      </c>
      <c r="E456" s="4" t="s">
        <v>368</v>
      </c>
      <c r="I456">
        <f t="shared" si="7"/>
        <v>1</v>
      </c>
    </row>
    <row r="457" spans="1:9" ht="15" customHeight="1">
      <c r="A457" s="258"/>
      <c r="B457" s="259"/>
      <c r="C457" s="12" t="s">
        <v>486</v>
      </c>
      <c r="D457" s="1">
        <v>1</v>
      </c>
      <c r="E457" s="4" t="s">
        <v>368</v>
      </c>
      <c r="I457">
        <f t="shared" si="7"/>
        <v>1</v>
      </c>
    </row>
    <row r="458" spans="1:9" ht="15" customHeight="1">
      <c r="A458" s="258"/>
      <c r="B458" s="259"/>
      <c r="C458" s="12" t="s">
        <v>487</v>
      </c>
      <c r="D458" s="1">
        <v>2</v>
      </c>
      <c r="E458" s="4" t="s">
        <v>368</v>
      </c>
      <c r="I458">
        <f t="shared" si="7"/>
        <v>2</v>
      </c>
    </row>
    <row r="459" spans="1:9" ht="15" customHeight="1">
      <c r="A459" s="258"/>
      <c r="B459" s="259"/>
      <c r="C459" s="12" t="s">
        <v>488</v>
      </c>
      <c r="D459" s="1">
        <v>2</v>
      </c>
      <c r="E459" s="4" t="s">
        <v>321</v>
      </c>
      <c r="I459">
        <f t="shared" si="7"/>
        <v>2</v>
      </c>
    </row>
    <row r="460" spans="1:9" ht="15" customHeight="1">
      <c r="A460" s="258"/>
      <c r="B460" s="259"/>
      <c r="C460" s="12" t="s">
        <v>489</v>
      </c>
      <c r="D460" s="1">
        <v>2</v>
      </c>
      <c r="E460" s="4" t="s">
        <v>448</v>
      </c>
      <c r="I460">
        <f t="shared" si="7"/>
        <v>2</v>
      </c>
    </row>
    <row r="461" spans="1:9" ht="15" customHeight="1">
      <c r="A461" s="258"/>
      <c r="B461" s="259"/>
      <c r="C461" s="12" t="s">
        <v>490</v>
      </c>
      <c r="D461" s="1">
        <v>1</v>
      </c>
      <c r="E461" s="4" t="s">
        <v>448</v>
      </c>
      <c r="I461">
        <f t="shared" si="7"/>
        <v>1</v>
      </c>
    </row>
    <row r="462" spans="1:9" ht="15" customHeight="1">
      <c r="A462" s="258"/>
      <c r="B462" s="259"/>
      <c r="C462" s="12" t="s">
        <v>491</v>
      </c>
      <c r="D462" s="1">
        <v>3</v>
      </c>
      <c r="E462" s="4" t="s">
        <v>448</v>
      </c>
      <c r="I462">
        <f t="shared" si="7"/>
        <v>3</v>
      </c>
    </row>
    <row r="463" spans="1:9" ht="15" customHeight="1">
      <c r="A463" s="258"/>
      <c r="B463" s="259"/>
      <c r="C463" s="12" t="s">
        <v>492</v>
      </c>
      <c r="D463" s="1">
        <v>3</v>
      </c>
      <c r="E463" s="4" t="s">
        <v>448</v>
      </c>
      <c r="I463">
        <f t="shared" si="7"/>
        <v>3</v>
      </c>
    </row>
    <row r="464" spans="1:9" ht="15" customHeight="1">
      <c r="A464" s="258"/>
      <c r="B464" s="259"/>
      <c r="C464" s="12" t="s">
        <v>493</v>
      </c>
      <c r="D464" s="1">
        <v>1</v>
      </c>
      <c r="E464" s="4" t="s">
        <v>448</v>
      </c>
      <c r="I464">
        <f t="shared" si="7"/>
        <v>1</v>
      </c>
    </row>
    <row r="465" spans="1:9" ht="15" customHeight="1">
      <c r="A465" s="258"/>
      <c r="B465" s="259"/>
      <c r="C465" s="12" t="s">
        <v>494</v>
      </c>
      <c r="D465" s="1">
        <v>1</v>
      </c>
      <c r="E465" s="4" t="s">
        <v>448</v>
      </c>
      <c r="I465">
        <f t="shared" si="7"/>
        <v>1</v>
      </c>
    </row>
    <row r="466" spans="1:9" ht="15" customHeight="1">
      <c r="A466" s="258"/>
      <c r="B466" s="259"/>
      <c r="C466" s="12" t="s">
        <v>495</v>
      </c>
      <c r="D466" s="1">
        <v>2</v>
      </c>
      <c r="E466" s="4" t="s">
        <v>448</v>
      </c>
      <c r="I466">
        <f t="shared" si="7"/>
        <v>2</v>
      </c>
    </row>
    <row r="467" spans="1:9" ht="15" customHeight="1">
      <c r="A467" s="258"/>
      <c r="B467" s="259"/>
      <c r="C467" s="12" t="s">
        <v>496</v>
      </c>
      <c r="D467" s="1">
        <v>2</v>
      </c>
      <c r="E467" s="4" t="s">
        <v>497</v>
      </c>
      <c r="I467">
        <f t="shared" si="7"/>
        <v>2</v>
      </c>
    </row>
    <row r="468" spans="1:9" ht="15" customHeight="1">
      <c r="A468" s="258"/>
      <c r="B468" s="259"/>
      <c r="C468" s="12" t="s">
        <v>498</v>
      </c>
      <c r="D468" s="1">
        <v>7</v>
      </c>
      <c r="E468" s="4" t="s">
        <v>497</v>
      </c>
      <c r="I468">
        <f t="shared" si="7"/>
        <v>7</v>
      </c>
    </row>
    <row r="469" spans="1:9" ht="15" customHeight="1">
      <c r="A469" s="258"/>
      <c r="B469" s="259"/>
      <c r="C469" s="12" t="s">
        <v>499</v>
      </c>
      <c r="D469" s="1">
        <v>8</v>
      </c>
      <c r="E469" s="4" t="s">
        <v>497</v>
      </c>
      <c r="I469">
        <f t="shared" si="7"/>
        <v>8</v>
      </c>
    </row>
    <row r="470" spans="1:9" ht="15" customHeight="1">
      <c r="A470" s="258"/>
      <c r="B470" s="259"/>
      <c r="C470" s="12" t="s">
        <v>500</v>
      </c>
      <c r="D470" s="1">
        <v>2</v>
      </c>
      <c r="E470" s="4" t="s">
        <v>497</v>
      </c>
      <c r="I470">
        <f t="shared" si="7"/>
        <v>2</v>
      </c>
    </row>
    <row r="471" spans="1:9" ht="15" customHeight="1">
      <c r="A471" s="258"/>
      <c r="B471" s="259"/>
      <c r="C471" s="12" t="s">
        <v>501</v>
      </c>
      <c r="D471" s="1">
        <v>1</v>
      </c>
      <c r="E471" s="4" t="s">
        <v>497</v>
      </c>
      <c r="I471">
        <f t="shared" si="7"/>
        <v>1</v>
      </c>
    </row>
    <row r="472" spans="1:9" ht="15" customHeight="1">
      <c r="A472" s="258"/>
      <c r="B472" s="259"/>
      <c r="C472" s="12" t="s">
        <v>502</v>
      </c>
      <c r="D472" s="1">
        <v>4</v>
      </c>
      <c r="E472" s="4" t="s">
        <v>448</v>
      </c>
      <c r="I472">
        <f t="shared" ref="I472:I565" si="8">+D472+H472-G472</f>
        <v>4</v>
      </c>
    </row>
    <row r="473" spans="1:9" ht="15" customHeight="1">
      <c r="A473" s="258"/>
      <c r="B473" s="259"/>
      <c r="C473" s="12" t="s">
        <v>503</v>
      </c>
      <c r="D473" s="1">
        <v>2</v>
      </c>
      <c r="E473" s="4" t="s">
        <v>448</v>
      </c>
      <c r="I473">
        <f t="shared" si="8"/>
        <v>2</v>
      </c>
    </row>
    <row r="474" spans="1:9" ht="15" customHeight="1">
      <c r="A474" s="258"/>
      <c r="B474" s="259"/>
      <c r="C474" s="12" t="s">
        <v>504</v>
      </c>
      <c r="D474" s="1">
        <v>4</v>
      </c>
      <c r="E474" s="4" t="s">
        <v>448</v>
      </c>
      <c r="I474">
        <f t="shared" si="8"/>
        <v>4</v>
      </c>
    </row>
    <row r="475" spans="1:9" ht="15" customHeight="1">
      <c r="A475" s="258"/>
      <c r="B475" s="259"/>
      <c r="C475" s="12" t="s">
        <v>505</v>
      </c>
      <c r="D475" s="1">
        <v>1</v>
      </c>
      <c r="E475" s="4" t="s">
        <v>448</v>
      </c>
      <c r="I475">
        <f t="shared" si="8"/>
        <v>1</v>
      </c>
    </row>
    <row r="476" spans="1:9" ht="15" customHeight="1">
      <c r="A476" s="258"/>
      <c r="B476" s="259"/>
      <c r="C476" s="12" t="s">
        <v>506</v>
      </c>
      <c r="D476" s="1">
        <v>4</v>
      </c>
      <c r="E476" s="4" t="s">
        <v>448</v>
      </c>
      <c r="I476">
        <f t="shared" si="8"/>
        <v>4</v>
      </c>
    </row>
    <row r="477" spans="1:9" ht="15" customHeight="1">
      <c r="A477" s="258"/>
      <c r="B477" s="259"/>
      <c r="C477" s="12" t="s">
        <v>507</v>
      </c>
      <c r="D477" s="1">
        <v>6</v>
      </c>
      <c r="E477" s="4" t="s">
        <v>448</v>
      </c>
      <c r="I477">
        <f t="shared" si="8"/>
        <v>6</v>
      </c>
    </row>
    <row r="478" spans="1:9" ht="15" customHeight="1">
      <c r="A478" s="258"/>
      <c r="B478" s="259"/>
      <c r="C478" s="12" t="s">
        <v>508</v>
      </c>
      <c r="D478" s="1">
        <v>1</v>
      </c>
      <c r="E478" s="4" t="s">
        <v>448</v>
      </c>
      <c r="I478">
        <f t="shared" si="8"/>
        <v>1</v>
      </c>
    </row>
    <row r="479" spans="1:9" ht="15" customHeight="1">
      <c r="A479" s="258"/>
      <c r="B479" s="259"/>
      <c r="C479" s="12" t="s">
        <v>509</v>
      </c>
      <c r="D479" s="1">
        <v>4</v>
      </c>
      <c r="E479" s="4" t="s">
        <v>448</v>
      </c>
      <c r="I479">
        <f t="shared" si="8"/>
        <v>4</v>
      </c>
    </row>
    <row r="480" spans="1:9" ht="15" customHeight="1">
      <c r="A480" s="258"/>
      <c r="B480" s="259"/>
      <c r="C480" s="12" t="s">
        <v>510</v>
      </c>
      <c r="D480" s="1">
        <v>5</v>
      </c>
      <c r="E480" s="4" t="s">
        <v>448</v>
      </c>
      <c r="I480">
        <f t="shared" si="8"/>
        <v>5</v>
      </c>
    </row>
    <row r="481" spans="1:9" ht="15" customHeight="1">
      <c r="A481" s="258"/>
      <c r="B481" s="259"/>
      <c r="C481" s="12" t="s">
        <v>511</v>
      </c>
      <c r="D481" s="1">
        <v>22</v>
      </c>
      <c r="E481" s="4" t="s">
        <v>448</v>
      </c>
      <c r="I481">
        <f t="shared" si="8"/>
        <v>22</v>
      </c>
    </row>
    <row r="482" spans="1:9" ht="15" customHeight="1">
      <c r="A482" s="258"/>
      <c r="B482" s="259"/>
      <c r="C482" s="12" t="s">
        <v>512</v>
      </c>
      <c r="D482" s="1">
        <v>1</v>
      </c>
      <c r="E482" s="4" t="s">
        <v>448</v>
      </c>
      <c r="I482">
        <f t="shared" si="8"/>
        <v>1</v>
      </c>
    </row>
    <row r="483" spans="1:9" ht="15" customHeight="1">
      <c r="A483" s="258"/>
      <c r="B483" s="259"/>
      <c r="C483" s="12" t="s">
        <v>513</v>
      </c>
      <c r="D483" s="1">
        <v>23</v>
      </c>
      <c r="E483" s="4" t="s">
        <v>448</v>
      </c>
      <c r="I483">
        <f t="shared" si="8"/>
        <v>23</v>
      </c>
    </row>
    <row r="484" spans="1:9" ht="15" customHeight="1">
      <c r="A484" s="258"/>
      <c r="B484" s="259"/>
      <c r="C484" s="12" t="s">
        <v>514</v>
      </c>
      <c r="D484" s="1">
        <v>2</v>
      </c>
      <c r="E484" s="4" t="s">
        <v>448</v>
      </c>
      <c r="I484">
        <f t="shared" si="8"/>
        <v>2</v>
      </c>
    </row>
    <row r="485" spans="1:9" ht="15" customHeight="1">
      <c r="A485" s="258"/>
      <c r="B485" s="259"/>
      <c r="C485" s="12" t="s">
        <v>515</v>
      </c>
      <c r="D485" s="1">
        <v>2</v>
      </c>
      <c r="E485" s="4" t="s">
        <v>448</v>
      </c>
      <c r="G485">
        <v>1</v>
      </c>
      <c r="I485">
        <f t="shared" si="8"/>
        <v>1</v>
      </c>
    </row>
    <row r="486" spans="1:9" ht="15" customHeight="1">
      <c r="A486" s="258"/>
      <c r="B486" s="259"/>
      <c r="C486" s="12" t="s">
        <v>516</v>
      </c>
      <c r="D486" s="1">
        <v>1</v>
      </c>
      <c r="E486" s="4" t="s">
        <v>448</v>
      </c>
      <c r="I486">
        <f t="shared" si="8"/>
        <v>1</v>
      </c>
    </row>
    <row r="487" spans="1:9" ht="15" customHeight="1">
      <c r="A487" s="258"/>
      <c r="B487" s="259"/>
      <c r="C487" s="12" t="s">
        <v>517</v>
      </c>
      <c r="D487" s="1">
        <v>1</v>
      </c>
      <c r="E487" s="4" t="s">
        <v>448</v>
      </c>
      <c r="I487">
        <f t="shared" si="8"/>
        <v>1</v>
      </c>
    </row>
    <row r="488" spans="1:9" ht="15" customHeight="1">
      <c r="A488" s="258"/>
      <c r="B488" s="259"/>
      <c r="C488" s="12" t="s">
        <v>518</v>
      </c>
      <c r="D488" s="1">
        <v>1</v>
      </c>
      <c r="E488" s="4" t="s">
        <v>448</v>
      </c>
      <c r="I488">
        <f t="shared" si="8"/>
        <v>1</v>
      </c>
    </row>
    <row r="489" spans="1:9" ht="15" customHeight="1">
      <c r="A489" s="258"/>
      <c r="B489" s="259"/>
      <c r="C489" s="12" t="s">
        <v>519</v>
      </c>
      <c r="D489" s="1">
        <v>4</v>
      </c>
      <c r="E489" s="4" t="s">
        <v>448</v>
      </c>
      <c r="G489">
        <v>2</v>
      </c>
      <c r="I489">
        <f t="shared" si="8"/>
        <v>2</v>
      </c>
    </row>
    <row r="490" spans="1:9" ht="15" customHeight="1">
      <c r="A490" s="258"/>
      <c r="B490" s="259"/>
      <c r="C490" s="12" t="s">
        <v>520</v>
      </c>
      <c r="D490" s="1">
        <v>1</v>
      </c>
      <c r="E490" s="4" t="s">
        <v>448</v>
      </c>
      <c r="I490">
        <f t="shared" si="8"/>
        <v>1</v>
      </c>
    </row>
    <row r="491" spans="1:9" ht="15" customHeight="1">
      <c r="A491" s="258"/>
      <c r="B491" s="259"/>
      <c r="C491" s="12" t="s">
        <v>521</v>
      </c>
      <c r="D491" s="1">
        <v>3</v>
      </c>
      <c r="E491" s="4" t="s">
        <v>448</v>
      </c>
      <c r="I491">
        <f t="shared" si="8"/>
        <v>3</v>
      </c>
    </row>
    <row r="492" spans="1:9" ht="15" customHeight="1">
      <c r="A492" s="258"/>
      <c r="B492" s="259"/>
      <c r="C492" s="12" t="s">
        <v>522</v>
      </c>
      <c r="D492" s="1">
        <v>2</v>
      </c>
      <c r="E492" s="4" t="s">
        <v>448</v>
      </c>
      <c r="I492">
        <f t="shared" si="8"/>
        <v>2</v>
      </c>
    </row>
    <row r="493" spans="1:9" ht="15.75" customHeight="1" thickBot="1">
      <c r="A493" s="258"/>
      <c r="B493" s="259"/>
      <c r="C493" s="51" t="s">
        <v>523</v>
      </c>
      <c r="D493" s="9">
        <v>4</v>
      </c>
      <c r="E493" s="10" t="s">
        <v>460</v>
      </c>
      <c r="I493">
        <f t="shared" si="8"/>
        <v>4</v>
      </c>
    </row>
    <row r="494" spans="1:9">
      <c r="A494" s="258"/>
      <c r="B494" s="259"/>
      <c r="C494" s="50" t="s">
        <v>524</v>
      </c>
      <c r="D494" s="2">
        <v>20</v>
      </c>
      <c r="E494" s="3" t="s">
        <v>321</v>
      </c>
      <c r="I494">
        <f t="shared" si="8"/>
        <v>20</v>
      </c>
    </row>
    <row r="495" spans="1:9">
      <c r="A495" s="258"/>
      <c r="B495" s="259"/>
      <c r="C495" s="12" t="s">
        <v>525</v>
      </c>
      <c r="D495" s="1">
        <v>19</v>
      </c>
      <c r="E495" s="4" t="s">
        <v>321</v>
      </c>
      <c r="I495">
        <f t="shared" si="8"/>
        <v>19</v>
      </c>
    </row>
    <row r="496" spans="1:9">
      <c r="A496" s="258"/>
      <c r="B496" s="259"/>
      <c r="C496" s="12" t="s">
        <v>526</v>
      </c>
      <c r="D496" s="1">
        <v>13</v>
      </c>
      <c r="E496" s="4" t="s">
        <v>321</v>
      </c>
      <c r="I496">
        <f t="shared" si="8"/>
        <v>13</v>
      </c>
    </row>
    <row r="497" spans="1:9">
      <c r="A497" s="258"/>
      <c r="B497" s="259"/>
      <c r="C497" s="12" t="s">
        <v>527</v>
      </c>
      <c r="D497" s="1">
        <v>3</v>
      </c>
      <c r="E497" s="4" t="s">
        <v>321</v>
      </c>
      <c r="I497">
        <f t="shared" si="8"/>
        <v>3</v>
      </c>
    </row>
    <row r="498" spans="1:9">
      <c r="A498" s="258"/>
      <c r="B498" s="259"/>
      <c r="C498" s="12" t="s">
        <v>528</v>
      </c>
      <c r="D498" s="1">
        <v>1</v>
      </c>
      <c r="E498" s="4" t="s">
        <v>321</v>
      </c>
      <c r="I498">
        <f t="shared" si="8"/>
        <v>1</v>
      </c>
    </row>
    <row r="499" spans="1:9">
      <c r="A499" s="258"/>
      <c r="B499" s="259"/>
      <c r="C499" s="12" t="s">
        <v>529</v>
      </c>
      <c r="D499" s="1">
        <v>6</v>
      </c>
      <c r="E499" s="4" t="s">
        <v>321</v>
      </c>
      <c r="I499">
        <f t="shared" si="8"/>
        <v>6</v>
      </c>
    </row>
    <row r="500" spans="1:9">
      <c r="A500" s="258"/>
      <c r="B500" s="259"/>
      <c r="C500" s="12" t="s">
        <v>530</v>
      </c>
      <c r="D500" s="1">
        <v>46</v>
      </c>
      <c r="E500" s="4" t="s">
        <v>321</v>
      </c>
      <c r="I500">
        <f t="shared" si="8"/>
        <v>46</v>
      </c>
    </row>
    <row r="501" spans="1:9">
      <c r="A501" s="258"/>
      <c r="B501" s="259"/>
      <c r="C501" s="12" t="s">
        <v>531</v>
      </c>
      <c r="D501" s="1">
        <v>10</v>
      </c>
      <c r="E501" s="4" t="s">
        <v>321</v>
      </c>
      <c r="I501">
        <f t="shared" si="8"/>
        <v>10</v>
      </c>
    </row>
    <row r="502" spans="1:9">
      <c r="A502" s="258"/>
      <c r="B502" s="259"/>
      <c r="C502" s="12" t="s">
        <v>532</v>
      </c>
      <c r="D502" s="1">
        <v>63</v>
      </c>
      <c r="E502" s="4" t="s">
        <v>321</v>
      </c>
      <c r="I502">
        <f t="shared" si="8"/>
        <v>63</v>
      </c>
    </row>
    <row r="503" spans="1:9">
      <c r="A503" s="258"/>
      <c r="B503" s="259"/>
      <c r="C503" s="12" t="s">
        <v>533</v>
      </c>
      <c r="D503" s="1">
        <v>7</v>
      </c>
      <c r="E503" s="4" t="s">
        <v>321</v>
      </c>
      <c r="I503">
        <f t="shared" si="8"/>
        <v>7</v>
      </c>
    </row>
    <row r="504" spans="1:9">
      <c r="A504" s="258"/>
      <c r="B504" s="259"/>
      <c r="C504" s="12" t="s">
        <v>534</v>
      </c>
      <c r="D504" s="1">
        <v>1</v>
      </c>
      <c r="E504" s="4" t="s">
        <v>448</v>
      </c>
      <c r="I504">
        <f t="shared" si="8"/>
        <v>1</v>
      </c>
    </row>
    <row r="505" spans="1:9">
      <c r="A505" s="258"/>
      <c r="B505" s="259"/>
      <c r="C505" s="12" t="s">
        <v>535</v>
      </c>
      <c r="D505" s="1">
        <v>2</v>
      </c>
      <c r="E505" s="4" t="s">
        <v>448</v>
      </c>
      <c r="I505">
        <f t="shared" si="8"/>
        <v>2</v>
      </c>
    </row>
    <row r="506" spans="1:9">
      <c r="A506" s="258"/>
      <c r="B506" s="259"/>
      <c r="C506" s="12" t="s">
        <v>536</v>
      </c>
      <c r="D506" s="1">
        <v>6</v>
      </c>
      <c r="E506" s="4" t="s">
        <v>448</v>
      </c>
      <c r="I506">
        <f t="shared" si="8"/>
        <v>6</v>
      </c>
    </row>
    <row r="507" spans="1:9">
      <c r="A507" s="258"/>
      <c r="B507" s="259"/>
      <c r="C507" s="12" t="s">
        <v>537</v>
      </c>
      <c r="D507" s="1">
        <v>5</v>
      </c>
      <c r="E507" s="4" t="s">
        <v>448</v>
      </c>
      <c r="I507">
        <f t="shared" si="8"/>
        <v>5</v>
      </c>
    </row>
    <row r="508" spans="1:9">
      <c r="A508" s="258"/>
      <c r="B508" s="259"/>
      <c r="C508" s="12" t="s">
        <v>538</v>
      </c>
      <c r="D508" s="1">
        <v>18</v>
      </c>
      <c r="E508" s="4" t="s">
        <v>448</v>
      </c>
      <c r="I508">
        <f t="shared" si="8"/>
        <v>18</v>
      </c>
    </row>
    <row r="509" spans="1:9">
      <c r="A509" s="258"/>
      <c r="B509" s="259"/>
      <c r="C509" s="12" t="s">
        <v>539</v>
      </c>
      <c r="D509" s="1">
        <v>6</v>
      </c>
      <c r="E509" s="4" t="s">
        <v>448</v>
      </c>
      <c r="I509">
        <f t="shared" si="8"/>
        <v>6</v>
      </c>
    </row>
    <row r="510" spans="1:9">
      <c r="A510" s="258"/>
      <c r="B510" s="259"/>
      <c r="C510" s="12" t="s">
        <v>540</v>
      </c>
      <c r="D510" s="1">
        <v>1</v>
      </c>
      <c r="E510" s="4" t="s">
        <v>448</v>
      </c>
      <c r="I510">
        <f t="shared" si="8"/>
        <v>1</v>
      </c>
    </row>
    <row r="511" spans="1:9">
      <c r="A511" s="258"/>
      <c r="B511" s="259"/>
      <c r="C511" s="12" t="s">
        <v>541</v>
      </c>
      <c r="D511" s="1">
        <v>1</v>
      </c>
      <c r="E511" s="4" t="s">
        <v>448</v>
      </c>
      <c r="I511">
        <f t="shared" si="8"/>
        <v>1</v>
      </c>
    </row>
    <row r="512" spans="1:9">
      <c r="A512" s="258"/>
      <c r="B512" s="259"/>
      <c r="C512" s="12" t="s">
        <v>542</v>
      </c>
      <c r="D512" s="1">
        <v>1</v>
      </c>
      <c r="E512" s="4" t="s">
        <v>448</v>
      </c>
      <c r="I512">
        <f t="shared" si="8"/>
        <v>1</v>
      </c>
    </row>
    <row r="513" spans="1:9">
      <c r="A513" s="258"/>
      <c r="B513" s="259"/>
      <c r="C513" s="12" t="s">
        <v>543</v>
      </c>
      <c r="D513" s="1">
        <v>1</v>
      </c>
      <c r="E513" s="4" t="s">
        <v>448</v>
      </c>
      <c r="I513">
        <f t="shared" si="8"/>
        <v>1</v>
      </c>
    </row>
    <row r="514" spans="1:9">
      <c r="A514" s="258"/>
      <c r="B514" s="259"/>
      <c r="C514" s="12" t="s">
        <v>544</v>
      </c>
      <c r="D514" s="1">
        <v>1</v>
      </c>
      <c r="E514" s="4" t="s">
        <v>448</v>
      </c>
      <c r="I514">
        <f t="shared" si="8"/>
        <v>1</v>
      </c>
    </row>
    <row r="515" spans="1:9">
      <c r="A515" s="258"/>
      <c r="B515" s="259"/>
      <c r="C515" s="12" t="s">
        <v>545</v>
      </c>
      <c r="D515" s="1">
        <v>1</v>
      </c>
      <c r="E515" s="4" t="s">
        <v>448</v>
      </c>
      <c r="I515">
        <f t="shared" si="8"/>
        <v>1</v>
      </c>
    </row>
    <row r="516" spans="1:9">
      <c r="A516" s="258"/>
      <c r="B516" s="259"/>
      <c r="C516" s="12" t="s">
        <v>546</v>
      </c>
      <c r="D516" s="1">
        <v>1</v>
      </c>
      <c r="E516" s="4" t="s">
        <v>448</v>
      </c>
      <c r="I516">
        <f t="shared" si="8"/>
        <v>1</v>
      </c>
    </row>
    <row r="517" spans="1:9">
      <c r="A517" s="258"/>
      <c r="B517" s="259"/>
      <c r="C517" s="12" t="s">
        <v>547</v>
      </c>
      <c r="D517" s="1">
        <v>7</v>
      </c>
      <c r="E517" s="4" t="s">
        <v>448</v>
      </c>
      <c r="I517">
        <f t="shared" si="8"/>
        <v>7</v>
      </c>
    </row>
    <row r="518" spans="1:9">
      <c r="A518" s="258"/>
      <c r="B518" s="259"/>
      <c r="C518" s="12" t="s">
        <v>548</v>
      </c>
      <c r="D518" s="1">
        <v>5</v>
      </c>
      <c r="E518" s="4" t="s">
        <v>448</v>
      </c>
      <c r="I518">
        <f t="shared" si="8"/>
        <v>5</v>
      </c>
    </row>
    <row r="519" spans="1:9">
      <c r="A519" s="258"/>
      <c r="B519" s="259"/>
      <c r="C519" s="12" t="s">
        <v>549</v>
      </c>
      <c r="D519" s="1">
        <v>15</v>
      </c>
      <c r="E519" s="4" t="s">
        <v>460</v>
      </c>
      <c r="I519">
        <f t="shared" si="8"/>
        <v>15</v>
      </c>
    </row>
    <row r="520" spans="1:9">
      <c r="A520" s="258"/>
      <c r="B520" s="259"/>
      <c r="C520" s="12" t="s">
        <v>550</v>
      </c>
      <c r="D520" s="1">
        <v>4</v>
      </c>
      <c r="E520" s="4" t="s">
        <v>460</v>
      </c>
      <c r="I520">
        <f t="shared" si="8"/>
        <v>4</v>
      </c>
    </row>
    <row r="521" spans="1:9">
      <c r="A521" s="258"/>
      <c r="B521" s="259"/>
      <c r="C521" s="12" t="s">
        <v>551</v>
      </c>
      <c r="D521" s="1">
        <v>3</v>
      </c>
      <c r="E521" s="4" t="s">
        <v>460</v>
      </c>
      <c r="I521">
        <f t="shared" si="8"/>
        <v>3</v>
      </c>
    </row>
    <row r="522" spans="1:9">
      <c r="A522" s="258"/>
      <c r="B522" s="259"/>
      <c r="C522" s="12" t="s">
        <v>552</v>
      </c>
      <c r="D522" s="1">
        <v>1</v>
      </c>
      <c r="E522" s="4" t="s">
        <v>460</v>
      </c>
      <c r="I522">
        <f t="shared" si="8"/>
        <v>1</v>
      </c>
    </row>
    <row r="523" spans="1:9">
      <c r="A523" s="258"/>
      <c r="B523" s="259"/>
      <c r="C523" s="12" t="s">
        <v>553</v>
      </c>
      <c r="D523" s="1">
        <v>1</v>
      </c>
      <c r="E523" s="4" t="s">
        <v>460</v>
      </c>
      <c r="I523">
        <f t="shared" si="8"/>
        <v>1</v>
      </c>
    </row>
    <row r="524" spans="1:9">
      <c r="A524" s="258"/>
      <c r="B524" s="259"/>
      <c r="C524" s="12" t="s">
        <v>554</v>
      </c>
      <c r="D524" s="1">
        <v>2</v>
      </c>
      <c r="E524" s="4" t="s">
        <v>460</v>
      </c>
      <c r="I524">
        <f t="shared" si="8"/>
        <v>2</v>
      </c>
    </row>
    <row r="525" spans="1:9">
      <c r="A525" s="258"/>
      <c r="B525" s="259"/>
      <c r="C525" s="12" t="s">
        <v>555</v>
      </c>
      <c r="D525" s="39">
        <v>66</v>
      </c>
      <c r="E525" s="4" t="s">
        <v>460</v>
      </c>
      <c r="G525" s="37"/>
      <c r="H525" s="37"/>
      <c r="I525" s="37">
        <f t="shared" si="8"/>
        <v>66</v>
      </c>
    </row>
    <row r="526" spans="1:9">
      <c r="A526" s="258"/>
      <c r="B526" s="259"/>
      <c r="C526" s="12" t="s">
        <v>556</v>
      </c>
      <c r="D526" s="1">
        <v>3</v>
      </c>
      <c r="E526" s="4" t="s">
        <v>321</v>
      </c>
      <c r="I526">
        <f t="shared" si="8"/>
        <v>3</v>
      </c>
    </row>
    <row r="527" spans="1:9">
      <c r="A527" s="258"/>
      <c r="B527" s="259"/>
      <c r="C527" s="12" t="s">
        <v>557</v>
      </c>
      <c r="D527" s="1">
        <v>18</v>
      </c>
      <c r="E527" s="4" t="s">
        <v>321</v>
      </c>
      <c r="I527">
        <f t="shared" si="8"/>
        <v>18</v>
      </c>
    </row>
    <row r="528" spans="1:9">
      <c r="A528" s="258"/>
      <c r="B528" s="259"/>
      <c r="C528" s="12" t="s">
        <v>558</v>
      </c>
      <c r="D528" s="1">
        <v>18</v>
      </c>
      <c r="E528" s="4" t="s">
        <v>321</v>
      </c>
      <c r="I528">
        <f t="shared" si="8"/>
        <v>18</v>
      </c>
    </row>
    <row r="529" spans="1:9">
      <c r="A529" s="258"/>
      <c r="B529" s="259"/>
      <c r="C529" s="12" t="s">
        <v>559</v>
      </c>
      <c r="D529" s="1">
        <v>2</v>
      </c>
      <c r="E529" s="4" t="s">
        <v>321</v>
      </c>
      <c r="I529">
        <f t="shared" si="8"/>
        <v>2</v>
      </c>
    </row>
    <row r="530" spans="1:9">
      <c r="A530" s="258"/>
      <c r="B530" s="259"/>
      <c r="C530" s="12" t="s">
        <v>560</v>
      </c>
      <c r="D530" s="1">
        <v>12</v>
      </c>
      <c r="E530" s="4" t="s">
        <v>321</v>
      </c>
      <c r="I530">
        <f t="shared" si="8"/>
        <v>12</v>
      </c>
    </row>
    <row r="531" spans="1:9">
      <c r="A531" s="258"/>
      <c r="B531" s="259"/>
      <c r="C531" s="12" t="s">
        <v>561</v>
      </c>
      <c r="D531" s="1">
        <v>12</v>
      </c>
      <c r="E531" s="4" t="s">
        <v>321</v>
      </c>
      <c r="I531">
        <f t="shared" si="8"/>
        <v>12</v>
      </c>
    </row>
    <row r="532" spans="1:9">
      <c r="A532" s="258"/>
      <c r="B532" s="259"/>
      <c r="C532" s="12" t="s">
        <v>562</v>
      </c>
      <c r="D532" s="1">
        <v>1</v>
      </c>
      <c r="E532" s="4" t="s">
        <v>321</v>
      </c>
      <c r="I532">
        <f t="shared" si="8"/>
        <v>1</v>
      </c>
    </row>
    <row r="533" spans="1:9">
      <c r="A533" s="258"/>
      <c r="B533" s="259"/>
      <c r="C533" s="12" t="s">
        <v>563</v>
      </c>
      <c r="D533" s="1">
        <v>4</v>
      </c>
      <c r="E533" s="4" t="s">
        <v>321</v>
      </c>
      <c r="I533">
        <f t="shared" si="8"/>
        <v>4</v>
      </c>
    </row>
    <row r="534" spans="1:9">
      <c r="A534" s="258"/>
      <c r="B534" s="259"/>
      <c r="C534" s="12" t="s">
        <v>564</v>
      </c>
      <c r="D534" s="1">
        <v>2</v>
      </c>
      <c r="E534" s="4" t="s">
        <v>321</v>
      </c>
      <c r="I534">
        <f t="shared" si="8"/>
        <v>2</v>
      </c>
    </row>
    <row r="535" spans="1:9">
      <c r="A535" s="258"/>
      <c r="B535" s="259"/>
      <c r="C535" s="12" t="s">
        <v>565</v>
      </c>
      <c r="D535" s="1">
        <v>3</v>
      </c>
      <c r="E535" s="4" t="s">
        <v>321</v>
      </c>
      <c r="I535">
        <f t="shared" si="8"/>
        <v>3</v>
      </c>
    </row>
    <row r="536" spans="1:9">
      <c r="A536" s="258"/>
      <c r="B536" s="259"/>
      <c r="C536" s="12" t="s">
        <v>566</v>
      </c>
      <c r="D536" s="1">
        <v>10</v>
      </c>
      <c r="E536" s="4" t="s">
        <v>321</v>
      </c>
      <c r="I536">
        <f t="shared" si="8"/>
        <v>10</v>
      </c>
    </row>
    <row r="537" spans="1:9">
      <c r="A537" s="258"/>
      <c r="B537" s="259"/>
      <c r="C537" s="12" t="s">
        <v>567</v>
      </c>
      <c r="D537" s="1">
        <v>1</v>
      </c>
      <c r="E537" s="4" t="s">
        <v>321</v>
      </c>
      <c r="I537">
        <f t="shared" si="8"/>
        <v>1</v>
      </c>
    </row>
    <row r="538" spans="1:9">
      <c r="A538" s="258"/>
      <c r="B538" s="259"/>
      <c r="C538" s="12" t="s">
        <v>568</v>
      </c>
      <c r="D538" s="1">
        <v>1</v>
      </c>
      <c r="E538" s="4" t="s">
        <v>321</v>
      </c>
      <c r="I538">
        <f t="shared" si="8"/>
        <v>1</v>
      </c>
    </row>
    <row r="539" spans="1:9">
      <c r="A539" s="258"/>
      <c r="B539" s="259"/>
      <c r="C539" s="12" t="s">
        <v>569</v>
      </c>
      <c r="D539" s="1">
        <v>4</v>
      </c>
      <c r="E539" s="4" t="s">
        <v>321</v>
      </c>
      <c r="I539">
        <f t="shared" si="8"/>
        <v>4</v>
      </c>
    </row>
    <row r="540" spans="1:9">
      <c r="A540" s="258"/>
      <c r="B540" s="259"/>
      <c r="C540" s="12" t="s">
        <v>570</v>
      </c>
      <c r="D540" s="1">
        <v>2</v>
      </c>
      <c r="E540" s="4" t="s">
        <v>321</v>
      </c>
      <c r="I540">
        <f t="shared" si="8"/>
        <v>2</v>
      </c>
    </row>
    <row r="541" spans="1:9">
      <c r="A541" s="258"/>
      <c r="B541" s="259"/>
      <c r="C541" s="12" t="s">
        <v>571</v>
      </c>
      <c r="D541" s="1">
        <v>7</v>
      </c>
      <c r="E541" s="4" t="s">
        <v>321</v>
      </c>
      <c r="I541">
        <f t="shared" si="8"/>
        <v>7</v>
      </c>
    </row>
    <row r="542" spans="1:9">
      <c r="A542" s="258"/>
      <c r="B542" s="259"/>
      <c r="C542" s="12" t="s">
        <v>572</v>
      </c>
      <c r="D542" s="1">
        <v>21</v>
      </c>
      <c r="E542" s="4" t="s">
        <v>321</v>
      </c>
      <c r="I542">
        <f t="shared" si="8"/>
        <v>21</v>
      </c>
    </row>
    <row r="543" spans="1:9">
      <c r="A543" s="258"/>
      <c r="B543" s="259"/>
      <c r="C543" s="12" t="s">
        <v>573</v>
      </c>
      <c r="D543" s="1">
        <v>5</v>
      </c>
      <c r="E543" s="4" t="s">
        <v>321</v>
      </c>
      <c r="I543">
        <f t="shared" si="8"/>
        <v>5</v>
      </c>
    </row>
    <row r="544" spans="1:9">
      <c r="A544" s="258"/>
      <c r="B544" s="259"/>
      <c r="C544" s="12" t="s">
        <v>574</v>
      </c>
      <c r="D544" s="1">
        <v>14</v>
      </c>
      <c r="E544" s="4" t="s">
        <v>321</v>
      </c>
      <c r="I544">
        <f t="shared" si="8"/>
        <v>14</v>
      </c>
    </row>
    <row r="545" spans="1:9">
      <c r="A545" s="258"/>
      <c r="B545" s="259"/>
      <c r="C545" s="12" t="s">
        <v>575</v>
      </c>
      <c r="D545" s="1">
        <v>2</v>
      </c>
      <c r="E545" s="4" t="s">
        <v>321</v>
      </c>
      <c r="I545">
        <f t="shared" si="8"/>
        <v>2</v>
      </c>
    </row>
    <row r="546" spans="1:9">
      <c r="A546" s="258"/>
      <c r="B546" s="259"/>
      <c r="C546" s="12" t="s">
        <v>576</v>
      </c>
      <c r="D546" s="1">
        <v>1</v>
      </c>
      <c r="E546" s="4" t="s">
        <v>321</v>
      </c>
      <c r="I546">
        <f t="shared" si="8"/>
        <v>1</v>
      </c>
    </row>
    <row r="547" spans="1:9">
      <c r="A547" s="258"/>
      <c r="B547" s="259"/>
      <c r="C547" s="12" t="s">
        <v>577</v>
      </c>
      <c r="D547" s="1">
        <v>8</v>
      </c>
      <c r="E547" s="4" t="s">
        <v>321</v>
      </c>
      <c r="I547">
        <f t="shared" si="8"/>
        <v>8</v>
      </c>
    </row>
    <row r="548" spans="1:9">
      <c r="A548" s="258"/>
      <c r="B548" s="259"/>
      <c r="C548" s="12" t="s">
        <v>578</v>
      </c>
      <c r="D548" s="1">
        <v>2</v>
      </c>
      <c r="E548" s="4" t="s">
        <v>321</v>
      </c>
      <c r="I548">
        <f t="shared" si="8"/>
        <v>2</v>
      </c>
    </row>
    <row r="549" spans="1:9">
      <c r="A549" s="258"/>
      <c r="B549" s="259"/>
      <c r="C549" s="12" t="s">
        <v>579</v>
      </c>
      <c r="D549" s="1">
        <v>4</v>
      </c>
      <c r="E549" s="4" t="s">
        <v>321</v>
      </c>
      <c r="I549">
        <f t="shared" si="8"/>
        <v>4</v>
      </c>
    </row>
    <row r="550" spans="1:9">
      <c r="A550" s="258"/>
      <c r="B550" s="259"/>
      <c r="C550" s="12" t="s">
        <v>580</v>
      </c>
      <c r="D550" s="1">
        <v>3</v>
      </c>
      <c r="E550" s="4" t="s">
        <v>321</v>
      </c>
      <c r="I550">
        <f t="shared" si="8"/>
        <v>3</v>
      </c>
    </row>
    <row r="551" spans="1:9">
      <c r="A551" s="258"/>
      <c r="B551" s="259"/>
      <c r="C551" s="12" t="s">
        <v>581</v>
      </c>
      <c r="D551" s="1">
        <v>7</v>
      </c>
      <c r="E551" s="4" t="s">
        <v>321</v>
      </c>
      <c r="I551">
        <f t="shared" si="8"/>
        <v>7</v>
      </c>
    </row>
    <row r="552" spans="1:9">
      <c r="A552" s="258"/>
      <c r="B552" s="259"/>
      <c r="C552" s="12" t="s">
        <v>582</v>
      </c>
      <c r="D552" s="1">
        <v>2</v>
      </c>
      <c r="E552" s="4" t="s">
        <v>321</v>
      </c>
      <c r="I552">
        <f t="shared" si="8"/>
        <v>2</v>
      </c>
    </row>
    <row r="553" spans="1:9">
      <c r="A553" s="258"/>
      <c r="B553" s="259"/>
      <c r="C553" s="12" t="s">
        <v>583</v>
      </c>
      <c r="D553" s="1">
        <v>4</v>
      </c>
      <c r="E553" s="4" t="s">
        <v>321</v>
      </c>
      <c r="I553">
        <f t="shared" si="8"/>
        <v>4</v>
      </c>
    </row>
    <row r="554" spans="1:9">
      <c r="A554" s="258"/>
      <c r="B554" s="259"/>
      <c r="C554" s="12" t="s">
        <v>584</v>
      </c>
      <c r="D554" s="1">
        <v>10</v>
      </c>
      <c r="E554" s="4" t="s">
        <v>321</v>
      </c>
      <c r="I554">
        <f t="shared" si="8"/>
        <v>10</v>
      </c>
    </row>
    <row r="555" spans="1:9">
      <c r="A555" s="258"/>
      <c r="B555" s="259"/>
      <c r="C555" s="12" t="s">
        <v>585</v>
      </c>
      <c r="D555" s="1">
        <v>3</v>
      </c>
      <c r="E555" s="4" t="s">
        <v>321</v>
      </c>
      <c r="I555">
        <f t="shared" si="8"/>
        <v>3</v>
      </c>
    </row>
    <row r="556" spans="1:9">
      <c r="A556" s="258"/>
      <c r="B556" s="259"/>
      <c r="C556" s="12" t="s">
        <v>586</v>
      </c>
      <c r="D556" s="1">
        <v>5</v>
      </c>
      <c r="E556" s="4" t="s">
        <v>321</v>
      </c>
      <c r="I556">
        <f t="shared" si="8"/>
        <v>5</v>
      </c>
    </row>
    <row r="557" spans="1:9">
      <c r="A557" s="258"/>
      <c r="B557" s="259"/>
      <c r="C557" s="12" t="s">
        <v>587</v>
      </c>
      <c r="D557" s="1">
        <v>2</v>
      </c>
      <c r="E557" s="4" t="s">
        <v>321</v>
      </c>
      <c r="I557">
        <f t="shared" si="8"/>
        <v>2</v>
      </c>
    </row>
    <row r="558" spans="1:9">
      <c r="A558" s="258"/>
      <c r="B558" s="259"/>
      <c r="C558" s="12" t="s">
        <v>588</v>
      </c>
      <c r="D558" s="1">
        <v>2</v>
      </c>
      <c r="E558" s="4" t="s">
        <v>321</v>
      </c>
      <c r="I558">
        <f t="shared" si="8"/>
        <v>2</v>
      </c>
    </row>
    <row r="559" spans="1:9">
      <c r="A559" s="258"/>
      <c r="B559" s="259"/>
      <c r="C559" s="12" t="s">
        <v>589</v>
      </c>
      <c r="D559" s="1">
        <v>1</v>
      </c>
      <c r="E559" s="4" t="s">
        <v>321</v>
      </c>
      <c r="I559">
        <f t="shared" si="8"/>
        <v>1</v>
      </c>
    </row>
    <row r="560" spans="1:9">
      <c r="A560" s="258"/>
      <c r="B560" s="259"/>
      <c r="C560" s="12" t="s">
        <v>590</v>
      </c>
      <c r="D560" s="1">
        <v>1</v>
      </c>
      <c r="E560" s="4" t="s">
        <v>321</v>
      </c>
      <c r="I560">
        <f t="shared" si="8"/>
        <v>1</v>
      </c>
    </row>
    <row r="561" spans="1:9">
      <c r="A561" s="258"/>
      <c r="B561" s="259"/>
      <c r="C561" s="12" t="s">
        <v>591</v>
      </c>
      <c r="D561" s="1">
        <v>2</v>
      </c>
      <c r="E561" s="4" t="s">
        <v>321</v>
      </c>
      <c r="I561">
        <f t="shared" si="8"/>
        <v>2</v>
      </c>
    </row>
    <row r="562" spans="1:9">
      <c r="A562" s="258"/>
      <c r="B562" s="259"/>
      <c r="C562" s="12" t="s">
        <v>592</v>
      </c>
      <c r="D562" s="1">
        <v>6</v>
      </c>
      <c r="E562" s="4" t="s">
        <v>321</v>
      </c>
      <c r="I562">
        <f t="shared" si="8"/>
        <v>6</v>
      </c>
    </row>
    <row r="563" spans="1:9">
      <c r="A563" s="258"/>
      <c r="B563" s="259"/>
      <c r="C563" s="12" t="s">
        <v>593</v>
      </c>
      <c r="D563" s="1">
        <v>1</v>
      </c>
      <c r="E563" s="4" t="s">
        <v>321</v>
      </c>
      <c r="I563">
        <f t="shared" si="8"/>
        <v>1</v>
      </c>
    </row>
    <row r="564" spans="1:9">
      <c r="A564" s="258"/>
      <c r="B564" s="259"/>
      <c r="C564" s="12" t="s">
        <v>594</v>
      </c>
      <c r="D564" s="1">
        <v>4</v>
      </c>
      <c r="E564" s="4" t="s">
        <v>321</v>
      </c>
      <c r="I564">
        <f t="shared" si="8"/>
        <v>4</v>
      </c>
    </row>
    <row r="565" spans="1:9">
      <c r="A565" s="258"/>
      <c r="B565" s="259"/>
      <c r="C565" s="12" t="s">
        <v>595</v>
      </c>
      <c r="D565" s="1">
        <v>2</v>
      </c>
      <c r="E565" s="4" t="s">
        <v>321</v>
      </c>
      <c r="I565">
        <f t="shared" si="8"/>
        <v>2</v>
      </c>
    </row>
    <row r="566" spans="1:9">
      <c r="A566" s="258"/>
      <c r="B566" s="259"/>
      <c r="C566" s="12" t="s">
        <v>596</v>
      </c>
      <c r="D566" s="1">
        <v>4</v>
      </c>
      <c r="E566" s="4" t="s">
        <v>321</v>
      </c>
      <c r="I566">
        <f t="shared" ref="I566:I610" si="9">+D566+H566-G566</f>
        <v>4</v>
      </c>
    </row>
    <row r="567" spans="1:9">
      <c r="A567" s="258"/>
      <c r="B567" s="259"/>
      <c r="C567" s="12" t="s">
        <v>597</v>
      </c>
      <c r="D567" s="1">
        <v>2</v>
      </c>
      <c r="E567" s="4" t="s">
        <v>321</v>
      </c>
      <c r="I567">
        <f t="shared" si="9"/>
        <v>2</v>
      </c>
    </row>
    <row r="568" spans="1:9">
      <c r="A568" s="258"/>
      <c r="B568" s="259"/>
      <c r="C568" s="12" t="s">
        <v>598</v>
      </c>
      <c r="D568" s="1">
        <v>1</v>
      </c>
      <c r="E568" s="4" t="s">
        <v>321</v>
      </c>
      <c r="I568">
        <f t="shared" si="9"/>
        <v>1</v>
      </c>
    </row>
    <row r="569" spans="1:9">
      <c r="A569" s="258"/>
      <c r="B569" s="259"/>
      <c r="C569" s="12" t="s">
        <v>599</v>
      </c>
      <c r="D569" s="1">
        <v>1</v>
      </c>
      <c r="E569" s="4" t="s">
        <v>321</v>
      </c>
      <c r="I569">
        <f t="shared" si="9"/>
        <v>1</v>
      </c>
    </row>
    <row r="570" spans="1:9">
      <c r="A570" s="258"/>
      <c r="B570" s="259"/>
      <c r="C570" s="12" t="s">
        <v>600</v>
      </c>
      <c r="D570" s="1">
        <v>6</v>
      </c>
      <c r="E570" s="4" t="s">
        <v>448</v>
      </c>
      <c r="I570">
        <f t="shared" si="9"/>
        <v>6</v>
      </c>
    </row>
    <row r="571" spans="1:9">
      <c r="A571" s="258"/>
      <c r="B571" s="259"/>
      <c r="C571" s="12" t="s">
        <v>601</v>
      </c>
      <c r="D571" s="1">
        <v>6</v>
      </c>
      <c r="E571" s="4" t="s">
        <v>448</v>
      </c>
      <c r="I571">
        <f t="shared" si="9"/>
        <v>6</v>
      </c>
    </row>
    <row r="572" spans="1:9">
      <c r="A572" s="258"/>
      <c r="B572" s="259"/>
      <c r="C572" s="12" t="s">
        <v>602</v>
      </c>
      <c r="D572" s="1">
        <v>3</v>
      </c>
      <c r="E572" s="4" t="s">
        <v>448</v>
      </c>
      <c r="I572">
        <f t="shared" si="9"/>
        <v>3</v>
      </c>
    </row>
    <row r="573" spans="1:9">
      <c r="A573" s="258"/>
      <c r="B573" s="259"/>
      <c r="C573" s="12" t="s">
        <v>603</v>
      </c>
      <c r="D573" s="1">
        <v>1</v>
      </c>
      <c r="E573" s="4" t="s">
        <v>448</v>
      </c>
      <c r="I573">
        <f t="shared" si="9"/>
        <v>1</v>
      </c>
    </row>
    <row r="574" spans="1:9">
      <c r="A574" s="258"/>
      <c r="B574" s="259"/>
      <c r="C574" s="12" t="s">
        <v>604</v>
      </c>
      <c r="D574" s="1">
        <v>28</v>
      </c>
      <c r="E574" s="4" t="s">
        <v>448</v>
      </c>
      <c r="I574">
        <f t="shared" si="9"/>
        <v>28</v>
      </c>
    </row>
    <row r="575" spans="1:9">
      <c r="A575" s="258"/>
      <c r="B575" s="259"/>
      <c r="C575" s="12" t="s">
        <v>605</v>
      </c>
      <c r="D575" s="1">
        <v>3</v>
      </c>
      <c r="E575" s="4" t="s">
        <v>448</v>
      </c>
      <c r="I575">
        <f t="shared" si="9"/>
        <v>3</v>
      </c>
    </row>
    <row r="576" spans="1:9">
      <c r="A576" s="258"/>
      <c r="B576" s="259"/>
      <c r="C576" s="12" t="s">
        <v>606</v>
      </c>
      <c r="D576" s="1">
        <v>32</v>
      </c>
      <c r="E576" s="4" t="s">
        <v>448</v>
      </c>
      <c r="I576">
        <f t="shared" si="9"/>
        <v>32</v>
      </c>
    </row>
    <row r="577" spans="1:9">
      <c r="A577" s="258"/>
      <c r="B577" s="259"/>
      <c r="C577" s="12" t="s">
        <v>607</v>
      </c>
      <c r="D577" s="1">
        <v>6</v>
      </c>
      <c r="E577" s="4" t="s">
        <v>448</v>
      </c>
      <c r="I577">
        <f t="shared" si="9"/>
        <v>6</v>
      </c>
    </row>
    <row r="578" spans="1:9">
      <c r="A578" s="258"/>
      <c r="B578" s="259"/>
      <c r="C578" s="12" t="s">
        <v>608</v>
      </c>
      <c r="D578" s="1">
        <v>27</v>
      </c>
      <c r="E578" s="4" t="s">
        <v>448</v>
      </c>
      <c r="I578">
        <f t="shared" si="9"/>
        <v>27</v>
      </c>
    </row>
    <row r="579" spans="1:9">
      <c r="A579" s="258"/>
      <c r="B579" s="259"/>
      <c r="C579" s="12" t="s">
        <v>609</v>
      </c>
      <c r="D579" s="1">
        <v>21</v>
      </c>
      <c r="E579" s="4" t="s">
        <v>448</v>
      </c>
      <c r="I579">
        <f t="shared" si="9"/>
        <v>21</v>
      </c>
    </row>
    <row r="580" spans="1:9">
      <c r="A580" s="258"/>
      <c r="B580" s="259"/>
      <c r="C580" s="12" t="s">
        <v>610</v>
      </c>
      <c r="D580" s="1">
        <v>63</v>
      </c>
      <c r="E580" s="4" t="s">
        <v>448</v>
      </c>
      <c r="I580">
        <f t="shared" si="9"/>
        <v>63</v>
      </c>
    </row>
    <row r="581" spans="1:9">
      <c r="A581" s="258"/>
      <c r="B581" s="259"/>
      <c r="C581" s="12" t="s">
        <v>611</v>
      </c>
      <c r="D581" s="1">
        <v>38</v>
      </c>
      <c r="E581" s="4" t="s">
        <v>448</v>
      </c>
      <c r="I581">
        <f t="shared" si="9"/>
        <v>38</v>
      </c>
    </row>
    <row r="582" spans="1:9">
      <c r="A582" s="258"/>
      <c r="B582" s="259"/>
      <c r="C582" s="12" t="s">
        <v>612</v>
      </c>
      <c r="D582" s="1">
        <v>3</v>
      </c>
      <c r="E582" s="4" t="s">
        <v>448</v>
      </c>
      <c r="I582">
        <f t="shared" si="9"/>
        <v>3</v>
      </c>
    </row>
    <row r="583" spans="1:9">
      <c r="A583" s="258"/>
      <c r="B583" s="259"/>
      <c r="C583" s="12" t="s">
        <v>613</v>
      </c>
      <c r="D583" s="1">
        <v>21</v>
      </c>
      <c r="E583" s="4" t="s">
        <v>448</v>
      </c>
      <c r="I583">
        <f t="shared" si="9"/>
        <v>21</v>
      </c>
    </row>
    <row r="584" spans="1:9">
      <c r="A584" s="258"/>
      <c r="B584" s="259"/>
      <c r="C584" s="12" t="s">
        <v>614</v>
      </c>
      <c r="D584" s="1">
        <v>4</v>
      </c>
      <c r="E584" s="4" t="s">
        <v>448</v>
      </c>
      <c r="I584">
        <f t="shared" si="9"/>
        <v>4</v>
      </c>
    </row>
    <row r="585" spans="1:9">
      <c r="A585" s="258"/>
      <c r="B585" s="259"/>
      <c r="C585" s="12" t="s">
        <v>615</v>
      </c>
      <c r="D585" s="1">
        <v>1</v>
      </c>
      <c r="E585" s="4" t="s">
        <v>448</v>
      </c>
      <c r="I585">
        <f t="shared" si="9"/>
        <v>1</v>
      </c>
    </row>
    <row r="586" spans="1:9">
      <c r="A586" s="258"/>
      <c r="B586" s="259"/>
      <c r="C586" s="12" t="s">
        <v>616</v>
      </c>
      <c r="D586" s="1">
        <v>1</v>
      </c>
      <c r="E586" s="4" t="s">
        <v>448</v>
      </c>
      <c r="I586">
        <f t="shared" si="9"/>
        <v>1</v>
      </c>
    </row>
    <row r="587" spans="1:9">
      <c r="A587" s="258"/>
      <c r="B587" s="259"/>
      <c r="C587" s="12" t="s">
        <v>617</v>
      </c>
      <c r="D587" s="1">
        <v>1</v>
      </c>
      <c r="E587" s="4" t="s">
        <v>448</v>
      </c>
      <c r="I587">
        <f t="shared" si="9"/>
        <v>1</v>
      </c>
    </row>
    <row r="588" spans="1:9">
      <c r="A588" s="258"/>
      <c r="B588" s="259"/>
      <c r="C588" s="12" t="s">
        <v>618</v>
      </c>
      <c r="D588" s="1">
        <v>1</v>
      </c>
      <c r="E588" s="4" t="s">
        <v>448</v>
      </c>
      <c r="I588">
        <f t="shared" si="9"/>
        <v>1</v>
      </c>
    </row>
    <row r="589" spans="1:9">
      <c r="A589" s="258"/>
      <c r="B589" s="259"/>
      <c r="C589" s="12" t="s">
        <v>619</v>
      </c>
      <c r="D589" s="1">
        <v>6</v>
      </c>
      <c r="E589" s="4" t="s">
        <v>448</v>
      </c>
      <c r="I589">
        <f t="shared" si="9"/>
        <v>6</v>
      </c>
    </row>
    <row r="590" spans="1:9">
      <c r="A590" s="258"/>
      <c r="B590" s="259"/>
      <c r="C590" s="12" t="s">
        <v>620</v>
      </c>
      <c r="D590" s="1">
        <v>1</v>
      </c>
      <c r="E590" s="4" t="s">
        <v>448</v>
      </c>
      <c r="I590">
        <f t="shared" si="9"/>
        <v>1</v>
      </c>
    </row>
    <row r="591" spans="1:9">
      <c r="A591" s="258"/>
      <c r="B591" s="259"/>
      <c r="C591" s="12" t="s">
        <v>621</v>
      </c>
      <c r="D591" s="1">
        <v>2</v>
      </c>
      <c r="E591" s="4" t="s">
        <v>448</v>
      </c>
      <c r="I591">
        <f t="shared" si="9"/>
        <v>2</v>
      </c>
    </row>
    <row r="592" spans="1:9">
      <c r="A592" s="258"/>
      <c r="B592" s="259"/>
      <c r="C592" s="12" t="s">
        <v>622</v>
      </c>
      <c r="D592" s="1">
        <v>8</v>
      </c>
      <c r="E592" s="4" t="s">
        <v>448</v>
      </c>
      <c r="I592">
        <f t="shared" si="9"/>
        <v>8</v>
      </c>
    </row>
    <row r="593" spans="1:9">
      <c r="A593" s="258"/>
      <c r="B593" s="259"/>
      <c r="C593" s="12" t="s">
        <v>623</v>
      </c>
      <c r="D593" s="1">
        <v>13</v>
      </c>
      <c r="E593" s="4" t="s">
        <v>448</v>
      </c>
      <c r="I593">
        <f t="shared" si="9"/>
        <v>13</v>
      </c>
    </row>
    <row r="594" spans="1:9">
      <c r="A594" s="258"/>
      <c r="B594" s="259"/>
      <c r="C594" s="12" t="s">
        <v>624</v>
      </c>
      <c r="D594" s="1">
        <v>8</v>
      </c>
      <c r="E594" s="4" t="s">
        <v>448</v>
      </c>
      <c r="I594">
        <f t="shared" si="9"/>
        <v>8</v>
      </c>
    </row>
    <row r="595" spans="1:9">
      <c r="A595" s="258"/>
      <c r="B595" s="259"/>
      <c r="C595" s="12" t="s">
        <v>625</v>
      </c>
      <c r="D595" s="1">
        <v>6</v>
      </c>
      <c r="E595" s="4" t="s">
        <v>448</v>
      </c>
      <c r="I595">
        <f t="shared" si="9"/>
        <v>6</v>
      </c>
    </row>
    <row r="596" spans="1:9">
      <c r="A596" s="258"/>
      <c r="B596" s="259"/>
      <c r="C596" s="12" t="s">
        <v>626</v>
      </c>
      <c r="D596" s="1">
        <v>22</v>
      </c>
      <c r="E596" s="4" t="s">
        <v>448</v>
      </c>
      <c r="I596">
        <f t="shared" si="9"/>
        <v>22</v>
      </c>
    </row>
    <row r="597" spans="1:9">
      <c r="A597" s="258"/>
      <c r="B597" s="259"/>
      <c r="C597" s="12" t="s">
        <v>627</v>
      </c>
      <c r="D597" s="1">
        <v>32</v>
      </c>
      <c r="E597" s="4" t="s">
        <v>448</v>
      </c>
      <c r="I597">
        <f t="shared" si="9"/>
        <v>32</v>
      </c>
    </row>
    <row r="598" spans="1:9">
      <c r="A598" s="258"/>
      <c r="B598" s="259"/>
      <c r="C598" s="12" t="s">
        <v>628</v>
      </c>
      <c r="D598" s="1">
        <v>37</v>
      </c>
      <c r="E598" s="4" t="s">
        <v>448</v>
      </c>
      <c r="I598">
        <f t="shared" si="9"/>
        <v>37</v>
      </c>
    </row>
    <row r="599" spans="1:9">
      <c r="A599" s="258"/>
      <c r="B599" s="259"/>
      <c r="C599" s="12" t="s">
        <v>629</v>
      </c>
      <c r="D599" s="1">
        <v>11</v>
      </c>
      <c r="E599" s="4" t="s">
        <v>448</v>
      </c>
      <c r="I599">
        <f t="shared" si="9"/>
        <v>11</v>
      </c>
    </row>
    <row r="600" spans="1:9">
      <c r="A600" s="258"/>
      <c r="B600" s="259"/>
      <c r="C600" s="12" t="s">
        <v>389</v>
      </c>
      <c r="D600" s="1">
        <v>45</v>
      </c>
      <c r="E600" s="4" t="s">
        <v>448</v>
      </c>
      <c r="I600">
        <f t="shared" si="9"/>
        <v>45</v>
      </c>
    </row>
    <row r="601" spans="1:9">
      <c r="A601" s="258"/>
      <c r="B601" s="259"/>
      <c r="C601" s="12" t="s">
        <v>630</v>
      </c>
      <c r="D601" s="1">
        <v>9</v>
      </c>
      <c r="E601" s="4" t="s">
        <v>448</v>
      </c>
      <c r="I601">
        <f t="shared" si="9"/>
        <v>9</v>
      </c>
    </row>
    <row r="602" spans="1:9">
      <c r="A602" s="258"/>
      <c r="B602" s="259"/>
      <c r="C602" s="12" t="s">
        <v>631</v>
      </c>
      <c r="D602" s="1">
        <v>19</v>
      </c>
      <c r="E602" s="4" t="s">
        <v>448</v>
      </c>
      <c r="I602">
        <f t="shared" si="9"/>
        <v>19</v>
      </c>
    </row>
    <row r="603" spans="1:9">
      <c r="A603" s="258"/>
      <c r="B603" s="259"/>
      <c r="C603" s="12" t="s">
        <v>632</v>
      </c>
      <c r="D603" s="1">
        <v>21</v>
      </c>
      <c r="E603" s="4" t="s">
        <v>448</v>
      </c>
      <c r="I603">
        <f t="shared" si="9"/>
        <v>21</v>
      </c>
    </row>
    <row r="604" spans="1:9">
      <c r="A604" s="258"/>
      <c r="B604" s="259"/>
      <c r="C604" s="12" t="s">
        <v>633</v>
      </c>
      <c r="D604" s="1">
        <v>4</v>
      </c>
      <c r="E604" s="4" t="s">
        <v>448</v>
      </c>
      <c r="I604">
        <f t="shared" si="9"/>
        <v>4</v>
      </c>
    </row>
    <row r="605" spans="1:9">
      <c r="A605" s="258"/>
      <c r="B605" s="259"/>
      <c r="C605" s="12" t="s">
        <v>634</v>
      </c>
      <c r="D605" s="1">
        <v>27</v>
      </c>
      <c r="E605" s="4" t="s">
        <v>448</v>
      </c>
      <c r="I605">
        <f t="shared" si="9"/>
        <v>27</v>
      </c>
    </row>
    <row r="606" spans="1:9">
      <c r="A606" s="258"/>
      <c r="B606" s="259"/>
      <c r="C606" s="12" t="s">
        <v>635</v>
      </c>
      <c r="D606" s="1">
        <v>111</v>
      </c>
      <c r="E606" s="4" t="s">
        <v>448</v>
      </c>
      <c r="I606">
        <f t="shared" si="9"/>
        <v>111</v>
      </c>
    </row>
    <row r="607" spans="1:9">
      <c r="A607" s="258"/>
      <c r="B607" s="259"/>
      <c r="C607" s="12" t="s">
        <v>636</v>
      </c>
      <c r="D607" s="1">
        <v>65</v>
      </c>
      <c r="E607" s="4" t="s">
        <v>448</v>
      </c>
      <c r="I607">
        <f t="shared" si="9"/>
        <v>65</v>
      </c>
    </row>
    <row r="608" spans="1:9">
      <c r="A608" s="258"/>
      <c r="B608" s="259"/>
      <c r="C608" s="12" t="s">
        <v>637</v>
      </c>
      <c r="D608" s="1">
        <v>169</v>
      </c>
      <c r="E608" s="4" t="s">
        <v>448</v>
      </c>
      <c r="I608">
        <f t="shared" si="9"/>
        <v>169</v>
      </c>
    </row>
    <row r="609" spans="1:9">
      <c r="A609" s="258"/>
      <c r="B609" s="259"/>
      <c r="C609" s="12" t="s">
        <v>638</v>
      </c>
      <c r="D609" s="1">
        <v>1</v>
      </c>
      <c r="E609" s="4" t="s">
        <v>448</v>
      </c>
      <c r="I609">
        <f t="shared" si="9"/>
        <v>1</v>
      </c>
    </row>
    <row r="610" spans="1:9" ht="15.75" thickBot="1">
      <c r="A610" s="260"/>
      <c r="B610" s="261"/>
      <c r="C610" s="15" t="s">
        <v>639</v>
      </c>
      <c r="D610" s="5">
        <v>1</v>
      </c>
      <c r="E610" s="11" t="s">
        <v>448</v>
      </c>
      <c r="I610">
        <f t="shared" si="9"/>
        <v>1</v>
      </c>
    </row>
  </sheetData>
  <autoFilter ref="A1:I610" xr:uid="{DCCB1761-D68B-4125-A430-94C1ECC82B16}"/>
  <mergeCells count="90">
    <mergeCell ref="B314:B329"/>
    <mergeCell ref="A314:A329"/>
    <mergeCell ref="A225:A234"/>
    <mergeCell ref="B225:B234"/>
    <mergeCell ref="A235:A245"/>
    <mergeCell ref="B235:B245"/>
    <mergeCell ref="B247:B250"/>
    <mergeCell ref="A247:A250"/>
    <mergeCell ref="A251:A255"/>
    <mergeCell ref="B251:B255"/>
    <mergeCell ref="B256:B260"/>
    <mergeCell ref="A256:A260"/>
    <mergeCell ref="B219:B222"/>
    <mergeCell ref="A219:A222"/>
    <mergeCell ref="A223:A224"/>
    <mergeCell ref="B223:B224"/>
    <mergeCell ref="A117:A120"/>
    <mergeCell ref="B117:B120"/>
    <mergeCell ref="A139:A140"/>
    <mergeCell ref="B139:B140"/>
    <mergeCell ref="A142:A155"/>
    <mergeCell ref="B142:B155"/>
    <mergeCell ref="A121:A123"/>
    <mergeCell ref="B121:B123"/>
    <mergeCell ref="B124:B138"/>
    <mergeCell ref="A124:A138"/>
    <mergeCell ref="A157:A176"/>
    <mergeCell ref="B157:B176"/>
    <mergeCell ref="B111:B113"/>
    <mergeCell ref="A111:A113"/>
    <mergeCell ref="A114:A116"/>
    <mergeCell ref="B114:B116"/>
    <mergeCell ref="A80:A110"/>
    <mergeCell ref="B80:B110"/>
    <mergeCell ref="B67:B79"/>
    <mergeCell ref="A67:A79"/>
    <mergeCell ref="A2:A11"/>
    <mergeCell ref="B2:B11"/>
    <mergeCell ref="A62:A66"/>
    <mergeCell ref="A12:A17"/>
    <mergeCell ref="A18:A21"/>
    <mergeCell ref="A22:A24"/>
    <mergeCell ref="A25:A30"/>
    <mergeCell ref="A31:A32"/>
    <mergeCell ref="A33:A36"/>
    <mergeCell ref="A37:A46"/>
    <mergeCell ref="A47:A55"/>
    <mergeCell ref="A56:A57"/>
    <mergeCell ref="A58:A61"/>
    <mergeCell ref="B62:B66"/>
    <mergeCell ref="B37:B46"/>
    <mergeCell ref="B47:B55"/>
    <mergeCell ref="B56:B57"/>
    <mergeCell ref="B58:B61"/>
    <mergeCell ref="B33:B36"/>
    <mergeCell ref="B12:B17"/>
    <mergeCell ref="B18:B21"/>
    <mergeCell ref="B22:B24"/>
    <mergeCell ref="B25:B30"/>
    <mergeCell ref="B31:B32"/>
    <mergeCell ref="B177:B182"/>
    <mergeCell ref="A177:A182"/>
    <mergeCell ref="B183:B188"/>
    <mergeCell ref="A183:A188"/>
    <mergeCell ref="B200:B205"/>
    <mergeCell ref="A200:A205"/>
    <mergeCell ref="B206:B215"/>
    <mergeCell ref="A206:A215"/>
    <mergeCell ref="B189:B190"/>
    <mergeCell ref="A189:A190"/>
    <mergeCell ref="B191:B196"/>
    <mergeCell ref="B197:B198"/>
    <mergeCell ref="A191:A196"/>
    <mergeCell ref="A197:A198"/>
    <mergeCell ref="A376:B610"/>
    <mergeCell ref="A330:B375"/>
    <mergeCell ref="B281:B293"/>
    <mergeCell ref="A281:A293"/>
    <mergeCell ref="A261:A263"/>
    <mergeCell ref="B261:B263"/>
    <mergeCell ref="B264:B266"/>
    <mergeCell ref="A264:A266"/>
    <mergeCell ref="B267:B280"/>
    <mergeCell ref="A267:A280"/>
    <mergeCell ref="B312:B313"/>
    <mergeCell ref="A312:A313"/>
    <mergeCell ref="A294:A303"/>
    <mergeCell ref="B294:B303"/>
    <mergeCell ref="B304:B311"/>
    <mergeCell ref="A304:A31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53EC1-DD50-47D4-BD37-786391F723A3}">
  <sheetPr codeName="Hoja2" filterMode="1"/>
  <dimension ref="A1:G610"/>
  <sheetViews>
    <sheetView zoomScaleNormal="100" workbookViewId="0">
      <selection activeCell="C611" sqref="C611"/>
    </sheetView>
  </sheetViews>
  <sheetFormatPr defaultColWidth="11.42578125" defaultRowHeight="15"/>
  <cols>
    <col min="1" max="1" width="57.85546875" bestFit="1" customWidth="1"/>
    <col min="3" max="3" width="19.42578125" customWidth="1"/>
    <col min="4" max="4" width="17" style="47" bestFit="1" customWidth="1"/>
    <col min="5" max="5" width="13" bestFit="1" customWidth="1"/>
    <col min="6" max="6" width="27" customWidth="1"/>
    <col min="7" max="7" width="14.5703125" bestFit="1" customWidth="1"/>
  </cols>
  <sheetData>
    <row r="1" spans="1:6" ht="15.75" thickBot="1">
      <c r="A1" s="7" t="s">
        <v>2</v>
      </c>
      <c r="B1" s="7" t="s">
        <v>3</v>
      </c>
      <c r="C1" s="59" t="s">
        <v>4</v>
      </c>
      <c r="D1" s="70" t="s">
        <v>9</v>
      </c>
      <c r="E1" s="71" t="s">
        <v>10</v>
      </c>
      <c r="F1" s="71" t="s">
        <v>11</v>
      </c>
    </row>
    <row r="2" spans="1:6" hidden="1">
      <c r="A2" s="2" t="s">
        <v>350</v>
      </c>
      <c r="B2" s="2">
        <v>4</v>
      </c>
      <c r="C2" s="82" t="s">
        <v>351</v>
      </c>
      <c r="D2" s="72"/>
      <c r="E2" s="1"/>
      <c r="F2" s="1"/>
    </row>
    <row r="3" spans="1:6" hidden="1">
      <c r="A3" s="1" t="s">
        <v>352</v>
      </c>
      <c r="B3" s="1">
        <v>13</v>
      </c>
      <c r="C3" s="79" t="s">
        <v>351</v>
      </c>
      <c r="D3" s="72"/>
      <c r="E3" s="1"/>
      <c r="F3" s="1"/>
    </row>
    <row r="4" spans="1:6" hidden="1">
      <c r="A4" s="1" t="s">
        <v>353</v>
      </c>
      <c r="B4" s="1">
        <v>8</v>
      </c>
      <c r="C4" s="79" t="s">
        <v>351</v>
      </c>
      <c r="D4" s="72"/>
      <c r="E4" s="1"/>
      <c r="F4" s="1"/>
    </row>
    <row r="5" spans="1:6" hidden="1">
      <c r="A5" s="1" t="s">
        <v>80</v>
      </c>
      <c r="B5" s="1">
        <v>6</v>
      </c>
      <c r="C5" s="61" t="s">
        <v>13</v>
      </c>
      <c r="D5" s="72"/>
      <c r="E5" s="1"/>
      <c r="F5" s="1"/>
    </row>
    <row r="6" spans="1:6" hidden="1">
      <c r="A6" s="1" t="s">
        <v>100</v>
      </c>
      <c r="B6" s="1">
        <v>1</v>
      </c>
      <c r="C6" s="61" t="s">
        <v>13</v>
      </c>
      <c r="D6" s="72"/>
      <c r="E6" s="1"/>
      <c r="F6" s="1"/>
    </row>
    <row r="7" spans="1:6" hidden="1">
      <c r="A7" s="78" t="s">
        <v>446</v>
      </c>
      <c r="B7" s="78">
        <v>460</v>
      </c>
      <c r="C7" s="79"/>
      <c r="D7" s="80"/>
      <c r="E7" s="78"/>
      <c r="F7" s="78"/>
    </row>
    <row r="8" spans="1:6" hidden="1">
      <c r="A8" s="78" t="s">
        <v>444</v>
      </c>
      <c r="B8" s="78">
        <v>244</v>
      </c>
      <c r="C8" s="79"/>
      <c r="D8" s="80"/>
      <c r="E8" s="78"/>
      <c r="F8" s="78"/>
    </row>
    <row r="9" spans="1:6" hidden="1">
      <c r="A9" s="78" t="s">
        <v>445</v>
      </c>
      <c r="B9" s="78">
        <v>57</v>
      </c>
      <c r="C9" s="79"/>
      <c r="D9" s="80"/>
      <c r="E9" s="78"/>
      <c r="F9" s="78"/>
    </row>
    <row r="10" spans="1:6" hidden="1">
      <c r="A10" s="1" t="s">
        <v>540</v>
      </c>
      <c r="B10" s="1">
        <v>1</v>
      </c>
      <c r="C10" s="79" t="s">
        <v>448</v>
      </c>
      <c r="D10" s="72"/>
      <c r="E10" s="1"/>
      <c r="F10" s="1"/>
    </row>
    <row r="11" spans="1:6" hidden="1">
      <c r="A11" s="9" t="s">
        <v>532</v>
      </c>
      <c r="B11" s="9">
        <v>63</v>
      </c>
      <c r="C11" s="62" t="s">
        <v>321</v>
      </c>
      <c r="D11" s="72"/>
      <c r="E11" s="1"/>
      <c r="F11" s="1"/>
    </row>
    <row r="12" spans="1:6" hidden="1">
      <c r="A12" s="2" t="s">
        <v>533</v>
      </c>
      <c r="B12" s="2">
        <v>7</v>
      </c>
      <c r="C12" s="60" t="s">
        <v>321</v>
      </c>
      <c r="D12" s="72"/>
      <c r="E12" s="1"/>
      <c r="F12" s="1"/>
    </row>
    <row r="13" spans="1:6" hidden="1">
      <c r="A13" s="78" t="s">
        <v>640</v>
      </c>
      <c r="B13" s="1">
        <v>1</v>
      </c>
      <c r="C13" s="61" t="s">
        <v>355</v>
      </c>
      <c r="D13" s="88"/>
      <c r="E13" s="1"/>
      <c r="F13" s="1"/>
    </row>
    <row r="14" spans="1:6" hidden="1">
      <c r="A14" s="1" t="s">
        <v>462</v>
      </c>
      <c r="B14" s="1">
        <v>1</v>
      </c>
      <c r="C14" s="61" t="s">
        <v>460</v>
      </c>
      <c r="D14" s="90">
        <f>71410*0.8</f>
        <v>57128</v>
      </c>
      <c r="E14" s="91">
        <f>+B14*D14</f>
        <v>57128</v>
      </c>
      <c r="F14" s="1"/>
    </row>
    <row r="15" spans="1:6" hidden="1">
      <c r="A15" s="1" t="s">
        <v>23</v>
      </c>
      <c r="B15" s="1">
        <v>1</v>
      </c>
      <c r="C15" s="61" t="s">
        <v>13</v>
      </c>
      <c r="D15" s="90"/>
      <c r="E15" s="1"/>
      <c r="F15" s="1"/>
    </row>
    <row r="16" spans="1:6">
      <c r="A16" s="1" t="s">
        <v>257</v>
      </c>
      <c r="B16" s="1">
        <v>1</v>
      </c>
      <c r="C16" s="61" t="s">
        <v>32</v>
      </c>
      <c r="D16" s="90">
        <f>61760*0.8</f>
        <v>49408</v>
      </c>
      <c r="E16" s="91">
        <f>+B16*D16</f>
        <v>49408</v>
      </c>
      <c r="F16" s="1"/>
    </row>
    <row r="17" spans="1:7" hidden="1">
      <c r="A17" s="9" t="s">
        <v>459</v>
      </c>
      <c r="B17" s="9">
        <v>6</v>
      </c>
      <c r="C17" s="62" t="s">
        <v>460</v>
      </c>
      <c r="D17" s="90">
        <f>71410*0.8</f>
        <v>57128</v>
      </c>
      <c r="E17" s="91">
        <f>+B17*D17</f>
        <v>342768</v>
      </c>
      <c r="F17" s="1"/>
    </row>
    <row r="18" spans="1:7" hidden="1">
      <c r="A18" s="2" t="s">
        <v>356</v>
      </c>
      <c r="B18" s="2">
        <v>4</v>
      </c>
      <c r="C18" s="82" t="s">
        <v>351</v>
      </c>
      <c r="D18" s="90"/>
      <c r="E18" s="1"/>
      <c r="F18" s="1"/>
    </row>
    <row r="19" spans="1:7" hidden="1">
      <c r="A19" s="1" t="s">
        <v>455</v>
      </c>
      <c r="B19" s="1">
        <v>4</v>
      </c>
      <c r="C19" s="79" t="s">
        <v>448</v>
      </c>
      <c r="D19" s="90"/>
      <c r="E19" s="1"/>
      <c r="F19" s="1"/>
    </row>
    <row r="20" spans="1:7" hidden="1">
      <c r="A20" s="1" t="s">
        <v>453</v>
      </c>
      <c r="B20" s="1">
        <v>26</v>
      </c>
      <c r="C20" s="79" t="s">
        <v>448</v>
      </c>
      <c r="D20" s="90"/>
      <c r="E20" s="1"/>
      <c r="F20" s="1"/>
    </row>
    <row r="21" spans="1:7" hidden="1">
      <c r="A21" s="9" t="s">
        <v>454</v>
      </c>
      <c r="B21" s="9">
        <v>4</v>
      </c>
      <c r="C21" s="84" t="s">
        <v>448</v>
      </c>
      <c r="D21" s="90"/>
      <c r="E21" s="1"/>
      <c r="F21" s="1"/>
    </row>
    <row r="22" spans="1:7" hidden="1">
      <c r="A22" s="2" t="s">
        <v>452</v>
      </c>
      <c r="B22" s="2">
        <v>4</v>
      </c>
      <c r="C22" s="82" t="s">
        <v>448</v>
      </c>
      <c r="D22" s="90"/>
      <c r="E22" s="1"/>
      <c r="F22" s="1"/>
    </row>
    <row r="23" spans="1:7" hidden="1">
      <c r="A23" s="1" t="s">
        <v>451</v>
      </c>
      <c r="B23" s="1">
        <v>15</v>
      </c>
      <c r="C23" s="79" t="s">
        <v>448</v>
      </c>
      <c r="D23" s="90"/>
      <c r="E23" s="1"/>
      <c r="F23" s="1"/>
    </row>
    <row r="24" spans="1:7" hidden="1">
      <c r="A24" s="9" t="s">
        <v>450</v>
      </c>
      <c r="B24" s="9">
        <v>7</v>
      </c>
      <c r="C24" s="84" t="s">
        <v>448</v>
      </c>
      <c r="D24" s="90"/>
      <c r="E24" s="1"/>
      <c r="F24" s="1"/>
    </row>
    <row r="25" spans="1:7" hidden="1">
      <c r="A25" s="2" t="s">
        <v>449</v>
      </c>
      <c r="B25" s="2">
        <v>1</v>
      </c>
      <c r="C25" s="82" t="s">
        <v>448</v>
      </c>
      <c r="D25" s="90"/>
      <c r="E25" s="1"/>
      <c r="F25" s="1"/>
    </row>
    <row r="26" spans="1:7" hidden="1">
      <c r="A26" s="1" t="s">
        <v>447</v>
      </c>
      <c r="B26" s="1">
        <v>2</v>
      </c>
      <c r="C26" s="79" t="s">
        <v>448</v>
      </c>
      <c r="D26" s="90"/>
      <c r="E26" s="1"/>
      <c r="F26" s="1"/>
    </row>
    <row r="27" spans="1:7">
      <c r="A27" s="96" t="s">
        <v>641</v>
      </c>
      <c r="B27" s="1">
        <v>3</v>
      </c>
      <c r="C27" s="61" t="s">
        <v>32</v>
      </c>
      <c r="D27" s="90">
        <f>9050*0.8</f>
        <v>7240</v>
      </c>
      <c r="E27" s="91">
        <f t="shared" ref="E27:E39" si="0">+B27*D27</f>
        <v>21720</v>
      </c>
      <c r="F27" s="1" t="s">
        <v>642</v>
      </c>
      <c r="G27" t="s">
        <v>643</v>
      </c>
    </row>
    <row r="28" spans="1:7">
      <c r="A28" s="96" t="s">
        <v>644</v>
      </c>
      <c r="B28" s="1">
        <v>2</v>
      </c>
      <c r="C28" s="61" t="s">
        <v>32</v>
      </c>
      <c r="D28" s="90">
        <f>13230*0.8</f>
        <v>10584</v>
      </c>
      <c r="E28" s="91">
        <f t="shared" si="0"/>
        <v>21168</v>
      </c>
      <c r="F28" s="1">
        <v>3</v>
      </c>
      <c r="G28" t="s">
        <v>645</v>
      </c>
    </row>
    <row r="29" spans="1:7">
      <c r="A29" s="96" t="s">
        <v>646</v>
      </c>
      <c r="B29" s="1">
        <v>5</v>
      </c>
      <c r="C29" s="61" t="s">
        <v>32</v>
      </c>
      <c r="D29" s="90">
        <f>14640*0.8</f>
        <v>11712</v>
      </c>
      <c r="E29" s="91">
        <f t="shared" si="0"/>
        <v>58560</v>
      </c>
      <c r="F29" s="1">
        <v>3</v>
      </c>
      <c r="G29" t="s">
        <v>647</v>
      </c>
    </row>
    <row r="30" spans="1:7" ht="15.75" thickBot="1">
      <c r="A30" s="97" t="s">
        <v>648</v>
      </c>
      <c r="B30" s="9">
        <v>10</v>
      </c>
      <c r="C30" s="62" t="s">
        <v>32</v>
      </c>
      <c r="D30" s="90"/>
      <c r="E30" s="91">
        <f t="shared" si="0"/>
        <v>0</v>
      </c>
      <c r="F30" s="1">
        <v>12</v>
      </c>
      <c r="G30" t="s">
        <v>643</v>
      </c>
    </row>
    <row r="31" spans="1:7">
      <c r="A31" s="98" t="s">
        <v>649</v>
      </c>
      <c r="B31" s="2">
        <v>1</v>
      </c>
      <c r="C31" s="60" t="s">
        <v>32</v>
      </c>
      <c r="D31" s="90">
        <f>30040*0.8</f>
        <v>24032</v>
      </c>
      <c r="E31" s="91">
        <f t="shared" si="0"/>
        <v>24032</v>
      </c>
      <c r="F31" s="1"/>
    </row>
    <row r="32" spans="1:7" ht="15.75" thickBot="1">
      <c r="A32" s="9" t="s">
        <v>650</v>
      </c>
      <c r="B32" s="9">
        <v>2</v>
      </c>
      <c r="C32" s="62" t="s">
        <v>32</v>
      </c>
      <c r="D32" s="90">
        <f>44060*0.8</f>
        <v>35248</v>
      </c>
      <c r="E32" s="91">
        <f t="shared" si="0"/>
        <v>70496</v>
      </c>
      <c r="F32" s="1"/>
    </row>
    <row r="33" spans="1:6">
      <c r="A33" s="2" t="s">
        <v>651</v>
      </c>
      <c r="B33" s="2">
        <v>3</v>
      </c>
      <c r="C33" s="60" t="s">
        <v>32</v>
      </c>
      <c r="D33" s="90">
        <f>70080*0.8</f>
        <v>56064</v>
      </c>
      <c r="E33" s="91">
        <f t="shared" si="0"/>
        <v>168192</v>
      </c>
      <c r="F33" s="1"/>
    </row>
    <row r="34" spans="1:6">
      <c r="A34" s="1" t="s">
        <v>652</v>
      </c>
      <c r="B34" s="1">
        <v>2</v>
      </c>
      <c r="C34" s="61" t="s">
        <v>32</v>
      </c>
      <c r="D34" s="90">
        <f>179950*0.8</f>
        <v>143960</v>
      </c>
      <c r="E34" s="91">
        <f t="shared" si="0"/>
        <v>287920</v>
      </c>
      <c r="F34" s="1"/>
    </row>
    <row r="35" spans="1:6">
      <c r="A35" s="1" t="s">
        <v>653</v>
      </c>
      <c r="B35" s="1">
        <v>1</v>
      </c>
      <c r="C35" s="61" t="s">
        <v>32</v>
      </c>
      <c r="D35" s="90">
        <f>42250*0.8</f>
        <v>33800</v>
      </c>
      <c r="E35" s="91">
        <f t="shared" si="0"/>
        <v>33800</v>
      </c>
      <c r="F35" s="1"/>
    </row>
    <row r="36" spans="1:6" ht="15.75" thickBot="1">
      <c r="A36" s="5" t="s">
        <v>654</v>
      </c>
      <c r="B36" s="5">
        <v>3</v>
      </c>
      <c r="C36" s="63" t="s">
        <v>32</v>
      </c>
      <c r="D36" s="90">
        <f>46798*0.6</f>
        <v>28078.799999999999</v>
      </c>
      <c r="E36" s="91">
        <f t="shared" si="0"/>
        <v>84236.4</v>
      </c>
      <c r="F36" s="1"/>
    </row>
    <row r="37" spans="1:6">
      <c r="A37" s="17" t="s">
        <v>655</v>
      </c>
      <c r="B37" s="13">
        <v>1</v>
      </c>
      <c r="C37" s="64" t="s">
        <v>32</v>
      </c>
      <c r="D37" s="90"/>
      <c r="E37" s="91">
        <f t="shared" si="0"/>
        <v>0</v>
      </c>
      <c r="F37" s="1"/>
    </row>
    <row r="38" spans="1:6">
      <c r="A38" s="12" t="s">
        <v>656</v>
      </c>
      <c r="B38" s="1">
        <v>2</v>
      </c>
      <c r="C38" s="61" t="s">
        <v>32</v>
      </c>
      <c r="D38" s="90"/>
      <c r="E38" s="91">
        <f t="shared" si="0"/>
        <v>0</v>
      </c>
      <c r="F38" s="1"/>
    </row>
    <row r="39" spans="1:6">
      <c r="A39" s="12" t="s">
        <v>657</v>
      </c>
      <c r="B39" s="1">
        <v>5</v>
      </c>
      <c r="C39" s="61" t="s">
        <v>32</v>
      </c>
      <c r="D39" s="90"/>
      <c r="E39" s="91">
        <f t="shared" si="0"/>
        <v>0</v>
      </c>
      <c r="F39" s="1"/>
    </row>
    <row r="40" spans="1:6" hidden="1">
      <c r="A40" s="12" t="s">
        <v>465</v>
      </c>
      <c r="B40" s="1">
        <v>2</v>
      </c>
      <c r="C40" s="61" t="s">
        <v>460</v>
      </c>
      <c r="D40" s="90"/>
      <c r="E40" s="91">
        <f>+B40*D40</f>
        <v>0</v>
      </c>
      <c r="F40" s="95" t="s">
        <v>658</v>
      </c>
    </row>
    <row r="41" spans="1:6" hidden="1">
      <c r="A41" s="12" t="s">
        <v>464</v>
      </c>
      <c r="B41" s="1">
        <v>1</v>
      </c>
      <c r="C41" s="61" t="s">
        <v>460</v>
      </c>
      <c r="D41" s="90">
        <f>24280*0.8</f>
        <v>19424</v>
      </c>
      <c r="E41" s="91">
        <f>+B41*D41</f>
        <v>19424</v>
      </c>
      <c r="F41" s="95" t="s">
        <v>658</v>
      </c>
    </row>
    <row r="42" spans="1:6" hidden="1">
      <c r="A42" s="12" t="s">
        <v>463</v>
      </c>
      <c r="B42" s="1">
        <v>3</v>
      </c>
      <c r="C42" s="61" t="s">
        <v>460</v>
      </c>
      <c r="D42" s="90"/>
      <c r="E42" s="91">
        <f>+B42*D42</f>
        <v>0</v>
      </c>
      <c r="F42" s="95" t="s">
        <v>658</v>
      </c>
    </row>
    <row r="43" spans="1:6" hidden="1">
      <c r="A43" s="12" t="s">
        <v>461</v>
      </c>
      <c r="B43" s="1">
        <v>2</v>
      </c>
      <c r="C43" s="61" t="s">
        <v>460</v>
      </c>
      <c r="D43" s="90"/>
      <c r="E43" s="91">
        <f>+B43*D43</f>
        <v>0</v>
      </c>
      <c r="F43" s="95" t="s">
        <v>658</v>
      </c>
    </row>
    <row r="44" spans="1:6" hidden="1">
      <c r="A44" s="12" t="s">
        <v>659</v>
      </c>
      <c r="B44" s="1">
        <v>1</v>
      </c>
      <c r="C44" s="79" t="s">
        <v>448</v>
      </c>
      <c r="D44" s="90"/>
      <c r="E44" s="1"/>
      <c r="F44" s="95" t="s">
        <v>658</v>
      </c>
    </row>
    <row r="45" spans="1:6" hidden="1">
      <c r="A45" s="12" t="s">
        <v>457</v>
      </c>
      <c r="B45" s="1">
        <v>7</v>
      </c>
      <c r="C45" s="79" t="s">
        <v>448</v>
      </c>
      <c r="D45" s="90"/>
      <c r="E45" s="1"/>
      <c r="F45" s="95" t="s">
        <v>658</v>
      </c>
    </row>
    <row r="46" spans="1:6" ht="15.75" hidden="1" thickBot="1">
      <c r="A46" s="15" t="s">
        <v>456</v>
      </c>
      <c r="B46" s="5">
        <v>10</v>
      </c>
      <c r="C46" s="85" t="s">
        <v>448</v>
      </c>
      <c r="D46" s="90"/>
      <c r="E46" s="1"/>
      <c r="F46" s="95" t="s">
        <v>658</v>
      </c>
    </row>
    <row r="47" spans="1:6" hidden="1">
      <c r="A47" s="13" t="s">
        <v>554</v>
      </c>
      <c r="B47" s="13">
        <v>2</v>
      </c>
      <c r="C47" s="64" t="s">
        <v>460</v>
      </c>
      <c r="D47" s="90"/>
      <c r="E47" s="91">
        <f>+B47*D47</f>
        <v>0</v>
      </c>
      <c r="F47" s="1"/>
    </row>
    <row r="48" spans="1:6" hidden="1">
      <c r="A48" s="1" t="s">
        <v>638</v>
      </c>
      <c r="B48" s="1">
        <v>1</v>
      </c>
      <c r="C48" s="79" t="s">
        <v>448</v>
      </c>
      <c r="D48" s="87"/>
      <c r="E48" s="1"/>
      <c r="F48" s="1"/>
    </row>
    <row r="49" spans="1:6" hidden="1">
      <c r="A49" s="1" t="s">
        <v>639</v>
      </c>
      <c r="B49" s="1">
        <v>1</v>
      </c>
      <c r="C49" s="79" t="s">
        <v>448</v>
      </c>
      <c r="D49" s="87"/>
      <c r="E49" s="1"/>
      <c r="F49" s="1"/>
    </row>
    <row r="50" spans="1:6" hidden="1">
      <c r="A50" s="1" t="s">
        <v>357</v>
      </c>
      <c r="B50" s="1">
        <v>3</v>
      </c>
      <c r="C50" s="79" t="s">
        <v>351</v>
      </c>
      <c r="D50" s="87"/>
      <c r="E50" s="1"/>
      <c r="F50" s="1"/>
    </row>
    <row r="51" spans="1:6" hidden="1">
      <c r="A51" s="1" t="s">
        <v>358</v>
      </c>
      <c r="B51" s="1">
        <v>8</v>
      </c>
      <c r="C51" s="79" t="s">
        <v>351</v>
      </c>
      <c r="D51" s="87"/>
      <c r="E51" s="1"/>
      <c r="F51" s="1"/>
    </row>
    <row r="52" spans="1:6" hidden="1">
      <c r="A52" s="1" t="s">
        <v>594</v>
      </c>
      <c r="B52" s="1">
        <v>4</v>
      </c>
      <c r="C52" s="61" t="s">
        <v>321</v>
      </c>
      <c r="D52" s="87"/>
      <c r="E52" s="1"/>
      <c r="F52" s="1"/>
    </row>
    <row r="53" spans="1:6" hidden="1">
      <c r="A53" s="1" t="s">
        <v>593</v>
      </c>
      <c r="B53" s="1">
        <v>1</v>
      </c>
      <c r="C53" s="61" t="s">
        <v>321</v>
      </c>
      <c r="D53" s="87"/>
      <c r="E53" s="1"/>
      <c r="F53" s="1"/>
    </row>
    <row r="54" spans="1:6" hidden="1">
      <c r="A54" s="1" t="s">
        <v>589</v>
      </c>
      <c r="B54" s="1">
        <v>1</v>
      </c>
      <c r="C54" s="61" t="s">
        <v>321</v>
      </c>
      <c r="D54" s="87"/>
      <c r="E54" s="1"/>
      <c r="F54" s="1"/>
    </row>
    <row r="55" spans="1:6" hidden="1">
      <c r="A55" s="9" t="s">
        <v>588</v>
      </c>
      <c r="B55" s="9">
        <v>2</v>
      </c>
      <c r="C55" s="62" t="s">
        <v>321</v>
      </c>
      <c r="D55" s="87"/>
      <c r="E55" s="1"/>
      <c r="F55" s="1"/>
    </row>
    <row r="56" spans="1:6" hidden="1">
      <c r="A56" s="2" t="s">
        <v>590</v>
      </c>
      <c r="B56" s="2">
        <v>1</v>
      </c>
      <c r="C56" s="60" t="s">
        <v>321</v>
      </c>
      <c r="D56" s="87"/>
      <c r="E56" s="1"/>
      <c r="F56" s="1"/>
    </row>
    <row r="57" spans="1:6" hidden="1">
      <c r="A57" s="9" t="s">
        <v>591</v>
      </c>
      <c r="B57" s="9">
        <v>2</v>
      </c>
      <c r="C57" s="62" t="s">
        <v>321</v>
      </c>
      <c r="D57" s="87"/>
      <c r="E57" s="1"/>
      <c r="F57" s="1"/>
    </row>
    <row r="58" spans="1:6" hidden="1">
      <c r="A58" s="1" t="s">
        <v>586</v>
      </c>
      <c r="B58" s="1">
        <v>5</v>
      </c>
      <c r="C58" s="61" t="s">
        <v>321</v>
      </c>
      <c r="D58" s="87"/>
      <c r="E58" s="1"/>
      <c r="F58" s="1"/>
    </row>
    <row r="59" spans="1:6" hidden="1">
      <c r="A59" s="1" t="s">
        <v>585</v>
      </c>
      <c r="B59" s="1">
        <v>3</v>
      </c>
      <c r="C59" s="61" t="s">
        <v>321</v>
      </c>
      <c r="D59" s="87"/>
      <c r="E59" s="1"/>
      <c r="F59" s="1"/>
    </row>
    <row r="60" spans="1:6" hidden="1">
      <c r="A60" s="1" t="s">
        <v>587</v>
      </c>
      <c r="B60" s="1">
        <v>2</v>
      </c>
      <c r="C60" s="61" t="s">
        <v>321</v>
      </c>
      <c r="D60" s="87"/>
      <c r="E60" s="1"/>
      <c r="F60" s="1"/>
    </row>
    <row r="61" spans="1:6" hidden="1">
      <c r="A61" s="9" t="s">
        <v>592</v>
      </c>
      <c r="B61" s="9">
        <v>6</v>
      </c>
      <c r="C61" s="62" t="s">
        <v>321</v>
      </c>
      <c r="D61" s="87"/>
      <c r="E61" s="1"/>
      <c r="F61" s="1"/>
    </row>
    <row r="62" spans="1:6" hidden="1">
      <c r="A62" s="2" t="s">
        <v>191</v>
      </c>
      <c r="B62" s="2">
        <v>2</v>
      </c>
      <c r="C62" s="60" t="s">
        <v>172</v>
      </c>
      <c r="D62" s="87"/>
      <c r="E62" s="1"/>
      <c r="F62" s="1"/>
    </row>
    <row r="63" spans="1:6" hidden="1">
      <c r="A63" s="1" t="s">
        <v>186</v>
      </c>
      <c r="B63" s="1">
        <v>3</v>
      </c>
      <c r="C63" s="61" t="s">
        <v>172</v>
      </c>
      <c r="D63" s="87"/>
      <c r="E63" s="1"/>
      <c r="F63" s="1"/>
    </row>
    <row r="64" spans="1:6" hidden="1">
      <c r="A64" s="1" t="s">
        <v>188</v>
      </c>
      <c r="B64" s="1">
        <v>1</v>
      </c>
      <c r="C64" s="61" t="s">
        <v>172</v>
      </c>
      <c r="D64" s="87"/>
      <c r="E64" s="1"/>
      <c r="F64" s="1"/>
    </row>
    <row r="65" spans="1:6" hidden="1">
      <c r="A65" s="1" t="s">
        <v>189</v>
      </c>
      <c r="B65" s="1">
        <v>4</v>
      </c>
      <c r="C65" s="61" t="s">
        <v>172</v>
      </c>
      <c r="D65" s="87"/>
      <c r="E65" s="1"/>
      <c r="F65" s="1"/>
    </row>
    <row r="66" spans="1:6" hidden="1">
      <c r="A66" s="9" t="s">
        <v>187</v>
      </c>
      <c r="B66" s="9">
        <v>1</v>
      </c>
      <c r="C66" s="62" t="s">
        <v>172</v>
      </c>
      <c r="D66" s="87"/>
      <c r="E66" s="1"/>
      <c r="F66" s="1"/>
    </row>
    <row r="67" spans="1:6" hidden="1">
      <c r="A67" s="2" t="s">
        <v>190</v>
      </c>
      <c r="B67" s="2">
        <v>1</v>
      </c>
      <c r="C67" s="60" t="s">
        <v>172</v>
      </c>
      <c r="D67" s="87"/>
      <c r="E67" s="1"/>
      <c r="F67" s="1"/>
    </row>
    <row r="68" spans="1:6" hidden="1">
      <c r="A68" s="1" t="s">
        <v>359</v>
      </c>
      <c r="B68" s="1">
        <v>2</v>
      </c>
      <c r="C68" s="61" t="s">
        <v>360</v>
      </c>
      <c r="D68" s="87"/>
      <c r="E68" s="1"/>
      <c r="F68" s="1"/>
    </row>
    <row r="69" spans="1:6" hidden="1">
      <c r="A69" s="1" t="s">
        <v>361</v>
      </c>
      <c r="B69" s="1">
        <v>2</v>
      </c>
      <c r="C69" s="61" t="s">
        <v>360</v>
      </c>
      <c r="D69" s="87"/>
      <c r="E69" s="1"/>
      <c r="F69" s="1"/>
    </row>
    <row r="70" spans="1:6" hidden="1">
      <c r="A70" s="1" t="s">
        <v>362</v>
      </c>
      <c r="B70" s="1">
        <v>3</v>
      </c>
      <c r="C70" s="61" t="s">
        <v>360</v>
      </c>
      <c r="D70" s="87"/>
      <c r="E70" s="1"/>
      <c r="F70" s="1"/>
    </row>
    <row r="71" spans="1:6" hidden="1">
      <c r="A71" s="1" t="s">
        <v>363</v>
      </c>
      <c r="B71" s="1">
        <v>1</v>
      </c>
      <c r="C71" s="61" t="s">
        <v>360</v>
      </c>
      <c r="D71" s="87"/>
      <c r="E71" s="1"/>
      <c r="F71" s="1"/>
    </row>
    <row r="72" spans="1:6" hidden="1">
      <c r="A72" s="1" t="s">
        <v>364</v>
      </c>
      <c r="B72" s="1">
        <v>13</v>
      </c>
      <c r="C72" s="61" t="s">
        <v>360</v>
      </c>
      <c r="D72" s="87"/>
      <c r="E72" s="1"/>
      <c r="F72" s="1"/>
    </row>
    <row r="73" spans="1:6" hidden="1">
      <c r="A73" s="1" t="s">
        <v>410</v>
      </c>
      <c r="B73" s="1">
        <v>4</v>
      </c>
      <c r="C73" s="61" t="s">
        <v>32</v>
      </c>
      <c r="D73" s="87"/>
      <c r="E73" s="1"/>
      <c r="F73" s="1"/>
    </row>
    <row r="74" spans="1:6" hidden="1">
      <c r="A74" s="1" t="s">
        <v>365</v>
      </c>
      <c r="B74" s="1">
        <v>6</v>
      </c>
      <c r="C74" s="61" t="s">
        <v>360</v>
      </c>
      <c r="D74" s="87"/>
      <c r="E74" s="1"/>
      <c r="F74" s="1"/>
    </row>
    <row r="75" spans="1:6" hidden="1">
      <c r="A75" s="1" t="s">
        <v>148</v>
      </c>
      <c r="B75" s="1">
        <v>14</v>
      </c>
      <c r="C75" s="61" t="s">
        <v>32</v>
      </c>
      <c r="D75" s="87"/>
      <c r="E75" s="1"/>
      <c r="F75" s="1"/>
    </row>
    <row r="76" spans="1:6" hidden="1">
      <c r="A76" s="1" t="s">
        <v>140</v>
      </c>
      <c r="B76" s="1">
        <v>3</v>
      </c>
      <c r="C76" s="61" t="s">
        <v>32</v>
      </c>
      <c r="D76" s="87"/>
      <c r="E76" s="1"/>
      <c r="F76" s="1"/>
    </row>
    <row r="77" spans="1:6" hidden="1">
      <c r="A77" s="1" t="s">
        <v>145</v>
      </c>
      <c r="B77" s="1">
        <v>2</v>
      </c>
      <c r="C77" s="61" t="s">
        <v>32</v>
      </c>
      <c r="D77" s="87"/>
      <c r="E77" s="1"/>
      <c r="F77" s="1"/>
    </row>
    <row r="78" spans="1:6" hidden="1">
      <c r="A78" s="1" t="s">
        <v>147</v>
      </c>
      <c r="B78" s="1">
        <v>5</v>
      </c>
      <c r="C78" s="61" t="s">
        <v>32</v>
      </c>
      <c r="D78" s="87"/>
      <c r="E78" s="1"/>
      <c r="F78" s="1"/>
    </row>
    <row r="79" spans="1:6" hidden="1">
      <c r="A79" s="9" t="s">
        <v>142</v>
      </c>
      <c r="B79" s="9">
        <v>1</v>
      </c>
      <c r="C79" s="62" t="s">
        <v>32</v>
      </c>
      <c r="D79" s="87"/>
      <c r="E79" s="1"/>
      <c r="F79" s="1"/>
    </row>
    <row r="80" spans="1:6" hidden="1">
      <c r="A80" s="2" t="s">
        <v>144</v>
      </c>
      <c r="B80" s="2">
        <v>6</v>
      </c>
      <c r="C80" s="60" t="s">
        <v>32</v>
      </c>
      <c r="D80" s="87"/>
      <c r="E80" s="1"/>
      <c r="F80" s="1"/>
    </row>
    <row r="81" spans="1:6" hidden="1">
      <c r="A81" s="1" t="s">
        <v>146</v>
      </c>
      <c r="B81" s="1">
        <v>5</v>
      </c>
      <c r="C81" s="61" t="s">
        <v>32</v>
      </c>
      <c r="D81" s="87"/>
      <c r="E81" s="1"/>
      <c r="F81" s="1"/>
    </row>
    <row r="82" spans="1:6" hidden="1">
      <c r="A82" s="1" t="s">
        <v>143</v>
      </c>
      <c r="B82" s="1">
        <v>8</v>
      </c>
      <c r="C82" s="61" t="s">
        <v>32</v>
      </c>
      <c r="D82" s="87"/>
      <c r="E82" s="1"/>
      <c r="F82" s="1"/>
    </row>
    <row r="83" spans="1:6" hidden="1">
      <c r="A83" s="1" t="s">
        <v>137</v>
      </c>
      <c r="B83" s="1">
        <v>7</v>
      </c>
      <c r="C83" s="61" t="s">
        <v>32</v>
      </c>
      <c r="D83" s="87"/>
      <c r="E83" s="1"/>
      <c r="F83" s="1"/>
    </row>
    <row r="84" spans="1:6" hidden="1">
      <c r="A84" s="1" t="s">
        <v>141</v>
      </c>
      <c r="B84" s="1">
        <v>7</v>
      </c>
      <c r="C84" s="61" t="s">
        <v>32</v>
      </c>
      <c r="D84" s="87"/>
      <c r="E84" s="1"/>
      <c r="F84" s="1"/>
    </row>
    <row r="85" spans="1:6" hidden="1">
      <c r="A85" s="1" t="s">
        <v>138</v>
      </c>
      <c r="B85" s="1">
        <v>5</v>
      </c>
      <c r="C85" s="61" t="s">
        <v>32</v>
      </c>
      <c r="D85" s="87"/>
      <c r="E85" s="1"/>
      <c r="F85" s="1"/>
    </row>
    <row r="86" spans="1:6" hidden="1">
      <c r="A86" s="1" t="s">
        <v>139</v>
      </c>
      <c r="B86" s="1">
        <v>1</v>
      </c>
      <c r="C86" s="61" t="s">
        <v>32</v>
      </c>
      <c r="D86" s="87"/>
      <c r="E86" s="1"/>
      <c r="F86" s="1"/>
    </row>
    <row r="87" spans="1:6" hidden="1">
      <c r="A87" s="1" t="s">
        <v>220</v>
      </c>
      <c r="B87" s="1">
        <v>1</v>
      </c>
      <c r="C87" s="61" t="s">
        <v>32</v>
      </c>
      <c r="D87" s="87"/>
      <c r="E87" s="1"/>
      <c r="F87" s="1"/>
    </row>
    <row r="88" spans="1:6" hidden="1">
      <c r="A88" s="1" t="s">
        <v>151</v>
      </c>
      <c r="B88" s="1">
        <v>1</v>
      </c>
      <c r="C88" s="61" t="s">
        <v>32</v>
      </c>
      <c r="D88" s="87"/>
      <c r="E88" s="1"/>
      <c r="F88" s="1"/>
    </row>
    <row r="89" spans="1:6" hidden="1">
      <c r="A89" s="1" t="s">
        <v>150</v>
      </c>
      <c r="B89" s="1">
        <v>1</v>
      </c>
      <c r="C89" s="61" t="s">
        <v>32</v>
      </c>
      <c r="D89" s="87"/>
      <c r="E89" s="1"/>
      <c r="F89" s="1"/>
    </row>
    <row r="90" spans="1:6" hidden="1">
      <c r="A90" s="1" t="s">
        <v>149</v>
      </c>
      <c r="B90" s="1">
        <v>2</v>
      </c>
      <c r="C90" s="61" t="s">
        <v>32</v>
      </c>
      <c r="D90" s="87"/>
      <c r="E90" s="1"/>
      <c r="F90" s="1"/>
    </row>
    <row r="91" spans="1:6" hidden="1">
      <c r="A91" s="1" t="s">
        <v>409</v>
      </c>
      <c r="B91" s="1">
        <v>2</v>
      </c>
      <c r="C91" s="61" t="s">
        <v>193</v>
      </c>
      <c r="D91" s="87"/>
      <c r="E91" s="1"/>
      <c r="F91" s="1"/>
    </row>
    <row r="92" spans="1:6" hidden="1">
      <c r="A92" s="1" t="s">
        <v>408</v>
      </c>
      <c r="B92" s="1">
        <v>2</v>
      </c>
      <c r="C92" s="61" t="s">
        <v>193</v>
      </c>
      <c r="D92" s="87"/>
      <c r="E92" s="1"/>
      <c r="F92" s="1"/>
    </row>
    <row r="93" spans="1:6" hidden="1">
      <c r="A93" s="1" t="s">
        <v>280</v>
      </c>
      <c r="B93" s="1">
        <v>39</v>
      </c>
      <c r="C93" s="61" t="s">
        <v>281</v>
      </c>
      <c r="D93" s="87"/>
      <c r="E93" s="1"/>
      <c r="F93" s="1"/>
    </row>
    <row r="94" spans="1:6" hidden="1">
      <c r="A94" s="1" t="s">
        <v>486</v>
      </c>
      <c r="B94" s="1">
        <v>1</v>
      </c>
      <c r="C94" s="61" t="s">
        <v>368</v>
      </c>
      <c r="D94" s="87"/>
      <c r="E94" s="1"/>
      <c r="F94" s="1"/>
    </row>
    <row r="95" spans="1:6" hidden="1">
      <c r="A95" s="1" t="s">
        <v>162</v>
      </c>
      <c r="B95" s="1">
        <v>11</v>
      </c>
      <c r="C95" s="61" t="s">
        <v>32</v>
      </c>
      <c r="D95" s="87"/>
      <c r="E95" s="1"/>
      <c r="F95" s="1"/>
    </row>
    <row r="96" spans="1:6" hidden="1">
      <c r="A96" s="1" t="s">
        <v>161</v>
      </c>
      <c r="B96" s="1">
        <v>7</v>
      </c>
      <c r="C96" s="61" t="s">
        <v>32</v>
      </c>
      <c r="D96" s="87"/>
      <c r="E96" s="1"/>
      <c r="F96" s="1"/>
    </row>
    <row r="97" spans="1:6" hidden="1">
      <c r="A97" s="1" t="s">
        <v>158</v>
      </c>
      <c r="B97" s="1">
        <v>3</v>
      </c>
      <c r="C97" s="61" t="s">
        <v>32</v>
      </c>
      <c r="D97" s="87"/>
      <c r="E97" s="1"/>
      <c r="F97" s="1"/>
    </row>
    <row r="98" spans="1:6" hidden="1">
      <c r="A98" s="1" t="s">
        <v>159</v>
      </c>
      <c r="B98" s="1">
        <v>8</v>
      </c>
      <c r="C98" s="61" t="s">
        <v>32</v>
      </c>
      <c r="D98" s="87"/>
      <c r="E98" s="1"/>
      <c r="F98" s="1"/>
    </row>
    <row r="99" spans="1:6" hidden="1">
      <c r="A99" s="1" t="s">
        <v>157</v>
      </c>
      <c r="B99" s="1">
        <v>1</v>
      </c>
      <c r="C99" s="61" t="s">
        <v>32</v>
      </c>
      <c r="D99" s="87"/>
      <c r="E99" s="1"/>
      <c r="F99" s="1"/>
    </row>
    <row r="100" spans="1:6" hidden="1">
      <c r="A100" s="1" t="s">
        <v>163</v>
      </c>
      <c r="B100" s="1">
        <v>20</v>
      </c>
      <c r="C100" s="61" t="s">
        <v>32</v>
      </c>
      <c r="D100" s="87"/>
      <c r="E100" s="1"/>
      <c r="F100" s="1"/>
    </row>
    <row r="101" spans="1:6" hidden="1">
      <c r="A101" s="1" t="s">
        <v>156</v>
      </c>
      <c r="B101" s="1">
        <v>2</v>
      </c>
      <c r="C101" s="61" t="s">
        <v>32</v>
      </c>
      <c r="D101" s="87"/>
      <c r="E101" s="1"/>
      <c r="F101" s="1"/>
    </row>
    <row r="102" spans="1:6" hidden="1">
      <c r="A102" s="1" t="s">
        <v>166</v>
      </c>
      <c r="B102" s="1">
        <v>17</v>
      </c>
      <c r="C102" s="61" t="s">
        <v>32</v>
      </c>
      <c r="D102" s="87"/>
      <c r="E102" s="1"/>
      <c r="F102" s="1"/>
    </row>
    <row r="103" spans="1:6" hidden="1">
      <c r="A103" s="1" t="s">
        <v>160</v>
      </c>
      <c r="B103" s="1">
        <v>7</v>
      </c>
      <c r="C103" s="61" t="s">
        <v>32</v>
      </c>
      <c r="D103" s="87"/>
      <c r="E103" s="1"/>
      <c r="F103" s="1"/>
    </row>
    <row r="104" spans="1:6" hidden="1">
      <c r="A104" s="1" t="s">
        <v>165</v>
      </c>
      <c r="B104" s="1">
        <v>4</v>
      </c>
      <c r="C104" s="61" t="s">
        <v>32</v>
      </c>
      <c r="D104" s="87"/>
      <c r="E104" s="1"/>
      <c r="F104" s="1"/>
    </row>
    <row r="105" spans="1:6" hidden="1">
      <c r="A105" s="1" t="s">
        <v>164</v>
      </c>
      <c r="B105" s="1">
        <v>5</v>
      </c>
      <c r="C105" s="61" t="s">
        <v>32</v>
      </c>
      <c r="D105" s="87"/>
      <c r="E105" s="1"/>
      <c r="F105" s="1"/>
    </row>
    <row r="106" spans="1:6" hidden="1">
      <c r="A106" s="1" t="s">
        <v>169</v>
      </c>
      <c r="B106" s="1">
        <v>1</v>
      </c>
      <c r="C106" s="61" t="s">
        <v>32</v>
      </c>
      <c r="D106" s="87"/>
      <c r="E106" s="1"/>
      <c r="F106" s="1"/>
    </row>
    <row r="107" spans="1:6" hidden="1">
      <c r="A107" s="1" t="s">
        <v>168</v>
      </c>
      <c r="B107" s="1">
        <v>1</v>
      </c>
      <c r="C107" s="61" t="s">
        <v>32</v>
      </c>
      <c r="D107" s="87"/>
      <c r="E107" s="1"/>
      <c r="F107" s="1"/>
    </row>
    <row r="108" spans="1:6" hidden="1">
      <c r="A108" s="1" t="s">
        <v>366</v>
      </c>
      <c r="B108" s="1">
        <v>21</v>
      </c>
      <c r="C108" s="61" t="s">
        <v>360</v>
      </c>
      <c r="D108" s="87"/>
      <c r="E108" s="1"/>
      <c r="F108" s="1"/>
    </row>
    <row r="109" spans="1:6" hidden="1">
      <c r="A109" s="9" t="s">
        <v>411</v>
      </c>
      <c r="B109" s="9">
        <v>1</v>
      </c>
      <c r="C109" s="62" t="s">
        <v>32</v>
      </c>
      <c r="D109" s="87"/>
      <c r="E109" s="1"/>
      <c r="F109" s="1"/>
    </row>
    <row r="110" spans="1:6" ht="15.75" hidden="1" thickBot="1">
      <c r="A110" s="5" t="s">
        <v>487</v>
      </c>
      <c r="B110" s="5">
        <v>2</v>
      </c>
      <c r="C110" s="62" t="s">
        <v>368</v>
      </c>
      <c r="D110" s="87"/>
      <c r="E110" s="1"/>
      <c r="F110" s="1"/>
    </row>
    <row r="111" spans="1:6" hidden="1">
      <c r="A111" s="2" t="s">
        <v>488</v>
      </c>
      <c r="B111" s="2">
        <v>2</v>
      </c>
      <c r="C111" s="60" t="s">
        <v>321</v>
      </c>
      <c r="D111" s="87"/>
      <c r="E111" s="1"/>
      <c r="F111" s="1"/>
    </row>
    <row r="112" spans="1:6" hidden="1">
      <c r="A112" s="1" t="s">
        <v>476</v>
      </c>
      <c r="B112" s="1">
        <v>8</v>
      </c>
      <c r="C112" s="61" t="s">
        <v>368</v>
      </c>
      <c r="D112" s="87"/>
      <c r="E112" s="1"/>
      <c r="F112" s="1"/>
    </row>
    <row r="113" spans="1:6" hidden="1">
      <c r="A113" s="92" t="s">
        <v>480</v>
      </c>
      <c r="B113" s="9">
        <v>1</v>
      </c>
      <c r="C113" s="62" t="s">
        <v>368</v>
      </c>
      <c r="D113" s="87"/>
      <c r="E113" s="1"/>
      <c r="F113" s="1"/>
    </row>
    <row r="114" spans="1:6" hidden="1">
      <c r="A114" s="81" t="s">
        <v>477</v>
      </c>
      <c r="B114" s="2">
        <v>4</v>
      </c>
      <c r="C114" s="60" t="s">
        <v>368</v>
      </c>
      <c r="D114" s="87"/>
      <c r="E114" s="1"/>
      <c r="F114" s="1"/>
    </row>
    <row r="115" spans="1:6" hidden="1">
      <c r="A115" s="78" t="s">
        <v>479</v>
      </c>
      <c r="B115" s="1">
        <v>1</v>
      </c>
      <c r="C115" s="61" t="s">
        <v>368</v>
      </c>
      <c r="D115" s="87"/>
      <c r="E115" s="1"/>
      <c r="F115" s="1"/>
    </row>
    <row r="116" spans="1:6" hidden="1">
      <c r="A116" s="92" t="s">
        <v>478</v>
      </c>
      <c r="B116" s="9">
        <v>5</v>
      </c>
      <c r="C116" s="62" t="s">
        <v>368</v>
      </c>
      <c r="D116" s="87"/>
      <c r="E116" s="1"/>
      <c r="F116" s="1"/>
    </row>
    <row r="117" spans="1:6" hidden="1">
      <c r="A117" s="81" t="s">
        <v>367</v>
      </c>
      <c r="B117" s="2">
        <v>8</v>
      </c>
      <c r="C117" s="60" t="s">
        <v>368</v>
      </c>
      <c r="D117" s="87"/>
      <c r="E117" s="1"/>
      <c r="F117" s="1"/>
    </row>
    <row r="118" spans="1:6" hidden="1">
      <c r="A118" s="1" t="s">
        <v>122</v>
      </c>
      <c r="B118" s="1">
        <v>1</v>
      </c>
      <c r="C118" s="61" t="s">
        <v>123</v>
      </c>
      <c r="D118" s="87"/>
      <c r="E118" s="1"/>
      <c r="F118" s="1"/>
    </row>
    <row r="119" spans="1:6" hidden="1">
      <c r="A119" s="78" t="s">
        <v>493</v>
      </c>
      <c r="B119" s="1">
        <v>1</v>
      </c>
      <c r="C119" s="79" t="s">
        <v>448</v>
      </c>
      <c r="D119" s="87"/>
      <c r="E119" s="1"/>
      <c r="F119" s="1"/>
    </row>
    <row r="120" spans="1:6" hidden="1">
      <c r="A120" s="9" t="s">
        <v>485</v>
      </c>
      <c r="B120" s="9">
        <v>1</v>
      </c>
      <c r="C120" s="62" t="s">
        <v>368</v>
      </c>
      <c r="D120" s="87"/>
      <c r="E120" s="1"/>
      <c r="F120" s="1"/>
    </row>
    <row r="121" spans="1:6" hidden="1">
      <c r="A121" s="81" t="s">
        <v>219</v>
      </c>
      <c r="B121" s="2">
        <v>1</v>
      </c>
      <c r="C121" s="60" t="s">
        <v>32</v>
      </c>
      <c r="D121" s="87"/>
      <c r="E121" s="1"/>
      <c r="F121" s="1"/>
    </row>
    <row r="122" spans="1:6" hidden="1">
      <c r="A122" s="1" t="s">
        <v>94</v>
      </c>
      <c r="B122" s="1">
        <v>3</v>
      </c>
      <c r="C122" s="61" t="s">
        <v>13</v>
      </c>
      <c r="D122" s="87"/>
      <c r="E122" s="1"/>
      <c r="F122" s="1"/>
    </row>
    <row r="123" spans="1:6" hidden="1">
      <c r="A123" s="9" t="s">
        <v>369</v>
      </c>
      <c r="B123" s="9">
        <v>7</v>
      </c>
      <c r="C123" s="84" t="s">
        <v>351</v>
      </c>
      <c r="D123" s="87"/>
      <c r="E123" s="1"/>
      <c r="F123" s="1"/>
    </row>
    <row r="124" spans="1:6" hidden="1">
      <c r="A124" s="2" t="s">
        <v>566</v>
      </c>
      <c r="B124" s="2">
        <v>10</v>
      </c>
      <c r="C124" s="60" t="s">
        <v>321</v>
      </c>
      <c r="D124" s="87"/>
      <c r="E124" s="1"/>
      <c r="F124" s="1"/>
    </row>
    <row r="125" spans="1:6" hidden="1">
      <c r="A125" s="1" t="s">
        <v>563</v>
      </c>
      <c r="B125" s="1">
        <v>4</v>
      </c>
      <c r="C125" s="61" t="s">
        <v>321</v>
      </c>
      <c r="D125" s="87"/>
      <c r="E125" s="1"/>
      <c r="F125" s="1"/>
    </row>
    <row r="126" spans="1:6" hidden="1">
      <c r="A126" s="1" t="s">
        <v>564</v>
      </c>
      <c r="B126" s="1">
        <v>2</v>
      </c>
      <c r="C126" s="61" t="s">
        <v>321</v>
      </c>
      <c r="D126" s="87"/>
      <c r="E126" s="1"/>
      <c r="F126" s="1"/>
    </row>
    <row r="127" spans="1:6" hidden="1">
      <c r="A127" s="1" t="s">
        <v>562</v>
      </c>
      <c r="B127" s="1">
        <v>1</v>
      </c>
      <c r="C127" s="61" t="s">
        <v>321</v>
      </c>
      <c r="D127" s="87"/>
      <c r="E127" s="1"/>
      <c r="F127" s="1"/>
    </row>
    <row r="128" spans="1:6" hidden="1">
      <c r="A128" s="1" t="s">
        <v>565</v>
      </c>
      <c r="B128" s="1">
        <v>3</v>
      </c>
      <c r="C128" s="61" t="s">
        <v>321</v>
      </c>
      <c r="D128" s="87"/>
      <c r="E128" s="1"/>
      <c r="F128" s="1"/>
    </row>
    <row r="129" spans="1:6" hidden="1">
      <c r="A129" s="1" t="s">
        <v>18</v>
      </c>
      <c r="B129" s="1">
        <v>5</v>
      </c>
      <c r="C129" s="61" t="s">
        <v>13</v>
      </c>
      <c r="D129" s="87"/>
      <c r="E129" s="1"/>
      <c r="F129" s="1"/>
    </row>
    <row r="130" spans="1:6" hidden="1">
      <c r="A130" s="1" t="s">
        <v>19</v>
      </c>
      <c r="B130" s="1">
        <v>2</v>
      </c>
      <c r="C130" s="61" t="s">
        <v>16</v>
      </c>
      <c r="D130" s="87"/>
      <c r="E130" s="1"/>
      <c r="F130" s="1"/>
    </row>
    <row r="131" spans="1:6" hidden="1">
      <c r="A131" s="1" t="s">
        <v>30</v>
      </c>
      <c r="B131" s="1">
        <v>5</v>
      </c>
      <c r="C131" s="61" t="s">
        <v>16</v>
      </c>
      <c r="D131" s="87"/>
      <c r="E131" s="1"/>
      <c r="F131" s="1"/>
    </row>
    <row r="132" spans="1:6" hidden="1">
      <c r="A132" s="1" t="s">
        <v>78</v>
      </c>
      <c r="B132" s="1">
        <v>2</v>
      </c>
      <c r="C132" s="61" t="s">
        <v>13</v>
      </c>
      <c r="D132" s="87"/>
      <c r="E132" s="1"/>
      <c r="F132" s="1"/>
    </row>
    <row r="133" spans="1:6" hidden="1">
      <c r="A133" s="1" t="s">
        <v>29</v>
      </c>
      <c r="B133" s="1">
        <v>20</v>
      </c>
      <c r="C133" s="61" t="s">
        <v>13</v>
      </c>
      <c r="D133" s="87"/>
      <c r="E133" s="1"/>
      <c r="F133" s="1"/>
    </row>
    <row r="134" spans="1:6" hidden="1">
      <c r="A134" s="1" t="s">
        <v>406</v>
      </c>
      <c r="B134" s="1">
        <v>5</v>
      </c>
      <c r="C134" s="79" t="s">
        <v>351</v>
      </c>
      <c r="D134" s="87"/>
      <c r="E134" s="1"/>
      <c r="F134" s="1"/>
    </row>
    <row r="135" spans="1:6" hidden="1">
      <c r="A135" s="1" t="s">
        <v>403</v>
      </c>
      <c r="B135" s="1">
        <v>2</v>
      </c>
      <c r="C135" s="79" t="s">
        <v>404</v>
      </c>
      <c r="D135" s="87"/>
      <c r="E135" s="1"/>
      <c r="F135" s="1"/>
    </row>
    <row r="136" spans="1:6" hidden="1">
      <c r="A136" s="1" t="s">
        <v>298</v>
      </c>
      <c r="B136" s="1">
        <v>2</v>
      </c>
      <c r="C136" s="61" t="s">
        <v>281</v>
      </c>
      <c r="D136" s="87"/>
      <c r="E136" s="1"/>
      <c r="F136" s="1"/>
    </row>
    <row r="137" spans="1:6" hidden="1">
      <c r="A137" s="1" t="s">
        <v>72</v>
      </c>
      <c r="B137" s="1">
        <v>12</v>
      </c>
      <c r="C137" s="61" t="s">
        <v>32</v>
      </c>
      <c r="D137" s="87"/>
      <c r="E137" s="1"/>
      <c r="F137" s="1"/>
    </row>
    <row r="138" spans="1:6" hidden="1">
      <c r="A138" s="9" t="s">
        <v>38</v>
      </c>
      <c r="B138" s="9">
        <v>27</v>
      </c>
      <c r="C138" s="62" t="s">
        <v>32</v>
      </c>
      <c r="D138" s="87"/>
      <c r="E138" s="1"/>
      <c r="F138" s="1"/>
    </row>
    <row r="139" spans="1:6" hidden="1">
      <c r="A139" s="2" t="s">
        <v>52</v>
      </c>
      <c r="B139" s="2">
        <v>107</v>
      </c>
      <c r="C139" s="60" t="s">
        <v>32</v>
      </c>
      <c r="D139" s="87"/>
      <c r="E139" s="1"/>
      <c r="F139" s="1"/>
    </row>
    <row r="140" spans="1:6" ht="15.75" hidden="1" thickBot="1">
      <c r="A140" s="5" t="s">
        <v>128</v>
      </c>
      <c r="B140" s="5">
        <v>31</v>
      </c>
      <c r="C140" s="63" t="s">
        <v>32</v>
      </c>
      <c r="D140" s="87"/>
      <c r="E140" s="1"/>
      <c r="F140" s="1"/>
    </row>
    <row r="141" spans="1:6" hidden="1">
      <c r="A141" s="20" t="s">
        <v>131</v>
      </c>
      <c r="B141" s="20">
        <v>7</v>
      </c>
      <c r="C141" s="25" t="s">
        <v>32</v>
      </c>
      <c r="D141" s="87"/>
      <c r="E141" s="1"/>
      <c r="F141" s="1"/>
    </row>
    <row r="142" spans="1:6" hidden="1">
      <c r="A142" s="2" t="s">
        <v>210</v>
      </c>
      <c r="B142" s="2">
        <v>3</v>
      </c>
      <c r="C142" s="60" t="s">
        <v>32</v>
      </c>
      <c r="D142" s="87"/>
      <c r="E142" s="1"/>
      <c r="F142" s="1"/>
    </row>
    <row r="143" spans="1:6" hidden="1">
      <c r="A143" s="1" t="s">
        <v>272</v>
      </c>
      <c r="B143" s="1">
        <v>2</v>
      </c>
      <c r="C143" s="61" t="s">
        <v>32</v>
      </c>
      <c r="D143" s="87"/>
      <c r="E143" s="1"/>
      <c r="F143" s="1"/>
    </row>
    <row r="144" spans="1:6" hidden="1">
      <c r="A144" s="1" t="s">
        <v>219</v>
      </c>
      <c r="B144" s="1">
        <v>1</v>
      </c>
      <c r="C144" s="61" t="s">
        <v>32</v>
      </c>
      <c r="D144" s="87"/>
      <c r="E144" s="1"/>
      <c r="F144" s="1"/>
    </row>
    <row r="145" spans="1:6" hidden="1">
      <c r="A145" s="1" t="s">
        <v>129</v>
      </c>
      <c r="B145" s="1">
        <v>1</v>
      </c>
      <c r="C145" s="61" t="s">
        <v>32</v>
      </c>
      <c r="D145" s="87"/>
      <c r="E145" s="1"/>
      <c r="F145" s="1"/>
    </row>
    <row r="146" spans="1:6" hidden="1">
      <c r="A146" s="78" t="s">
        <v>227</v>
      </c>
      <c r="B146" s="1">
        <v>8</v>
      </c>
      <c r="C146" s="61" t="s">
        <v>193</v>
      </c>
      <c r="D146" s="87"/>
      <c r="E146" s="1"/>
      <c r="F146" s="1" t="s">
        <v>660</v>
      </c>
    </row>
    <row r="147" spans="1:6" hidden="1">
      <c r="A147" s="78" t="s">
        <v>196</v>
      </c>
      <c r="B147" s="1">
        <v>4</v>
      </c>
      <c r="C147" s="61" t="s">
        <v>193</v>
      </c>
      <c r="D147" s="87"/>
      <c r="E147" s="1"/>
      <c r="F147" s="1" t="s">
        <v>660</v>
      </c>
    </row>
    <row r="148" spans="1:6" hidden="1">
      <c r="A148" s="1" t="s">
        <v>370</v>
      </c>
      <c r="B148" s="1">
        <v>1</v>
      </c>
      <c r="C148" s="61" t="s">
        <v>193</v>
      </c>
      <c r="D148" s="87"/>
      <c r="E148" s="1"/>
      <c r="F148" s="1"/>
    </row>
    <row r="149" spans="1:6" hidden="1">
      <c r="A149" s="1" t="s">
        <v>95</v>
      </c>
      <c r="B149" s="1">
        <v>2</v>
      </c>
      <c r="C149" s="61" t="s">
        <v>13</v>
      </c>
      <c r="D149" s="87"/>
      <c r="E149" s="1"/>
      <c r="F149" s="1"/>
    </row>
    <row r="150" spans="1:6" hidden="1">
      <c r="A150" s="1" t="s">
        <v>371</v>
      </c>
      <c r="B150" s="1">
        <v>1</v>
      </c>
      <c r="C150" s="79" t="s">
        <v>351</v>
      </c>
      <c r="D150" s="87"/>
      <c r="E150" s="1"/>
      <c r="F150" s="1"/>
    </row>
    <row r="151" spans="1:6" hidden="1">
      <c r="A151" s="1" t="s">
        <v>372</v>
      </c>
      <c r="B151" s="1">
        <v>1</v>
      </c>
      <c r="C151" s="61" t="s">
        <v>193</v>
      </c>
      <c r="D151" s="87"/>
      <c r="E151" s="1"/>
      <c r="F151" s="1"/>
    </row>
    <row r="152" spans="1:6" hidden="1">
      <c r="A152" s="1" t="s">
        <v>523</v>
      </c>
      <c r="B152" s="1">
        <v>4</v>
      </c>
      <c r="C152" s="61" t="s">
        <v>460</v>
      </c>
      <c r="D152" s="90"/>
      <c r="E152" s="91">
        <f>+B152*D152</f>
        <v>0</v>
      </c>
      <c r="F152" s="1"/>
    </row>
    <row r="153" spans="1:6" hidden="1">
      <c r="A153" s="1" t="s">
        <v>176</v>
      </c>
      <c r="B153" s="1">
        <v>4</v>
      </c>
      <c r="C153" s="61" t="s">
        <v>172</v>
      </c>
      <c r="D153" s="87"/>
      <c r="E153" s="1"/>
      <c r="F153" s="1"/>
    </row>
    <row r="154" spans="1:6" hidden="1">
      <c r="A154" s="1" t="s">
        <v>178</v>
      </c>
      <c r="B154" s="1">
        <v>10</v>
      </c>
      <c r="C154" s="61" t="s">
        <v>172</v>
      </c>
      <c r="D154" s="87"/>
      <c r="E154" s="1"/>
      <c r="F154" s="1"/>
    </row>
    <row r="155" spans="1:6" ht="15.75" hidden="1" thickBot="1">
      <c r="A155" s="5" t="s">
        <v>177</v>
      </c>
      <c r="B155" s="5">
        <v>5</v>
      </c>
      <c r="C155" s="63" t="s">
        <v>172</v>
      </c>
      <c r="D155" s="87"/>
      <c r="E155" s="1"/>
      <c r="F155" s="1"/>
    </row>
    <row r="156" spans="1:6" hidden="1">
      <c r="A156" s="20" t="s">
        <v>179</v>
      </c>
      <c r="B156" s="20">
        <v>2</v>
      </c>
      <c r="C156" s="25" t="s">
        <v>172</v>
      </c>
      <c r="D156" s="87"/>
      <c r="E156" s="1"/>
      <c r="F156" s="1"/>
    </row>
    <row r="157" spans="1:6" hidden="1">
      <c r="A157" s="2" t="s">
        <v>560</v>
      </c>
      <c r="B157" s="2">
        <v>12</v>
      </c>
      <c r="C157" s="60" t="s">
        <v>321</v>
      </c>
      <c r="D157" s="87"/>
      <c r="E157" s="1"/>
      <c r="F157" s="1"/>
    </row>
    <row r="158" spans="1:6" hidden="1">
      <c r="A158" s="1" t="s">
        <v>561</v>
      </c>
      <c r="B158" s="1">
        <v>12</v>
      </c>
      <c r="C158" s="61" t="s">
        <v>321</v>
      </c>
      <c r="D158" s="87"/>
      <c r="E158" s="1"/>
      <c r="F158" s="1"/>
    </row>
    <row r="159" spans="1:6" hidden="1">
      <c r="A159" s="1" t="s">
        <v>558</v>
      </c>
      <c r="B159" s="1">
        <v>18</v>
      </c>
      <c r="C159" s="61" t="s">
        <v>321</v>
      </c>
      <c r="D159" s="87"/>
      <c r="E159" s="1"/>
      <c r="F159" s="1"/>
    </row>
    <row r="160" spans="1:6" hidden="1">
      <c r="A160" s="1" t="s">
        <v>559</v>
      </c>
      <c r="B160" s="1">
        <v>2</v>
      </c>
      <c r="C160" s="61" t="s">
        <v>321</v>
      </c>
      <c r="D160" s="87"/>
      <c r="E160" s="1"/>
      <c r="F160" s="1"/>
    </row>
    <row r="161" spans="1:6" hidden="1">
      <c r="A161" s="1" t="s">
        <v>557</v>
      </c>
      <c r="B161" s="1">
        <v>18</v>
      </c>
      <c r="C161" s="61" t="s">
        <v>321</v>
      </c>
      <c r="D161" s="87"/>
      <c r="E161" s="1"/>
      <c r="F161" s="1"/>
    </row>
    <row r="162" spans="1:6" hidden="1">
      <c r="A162" s="1" t="s">
        <v>556</v>
      </c>
      <c r="B162" s="1">
        <v>3</v>
      </c>
      <c r="C162" s="61" t="s">
        <v>321</v>
      </c>
      <c r="D162" s="87"/>
      <c r="E162" s="1"/>
      <c r="F162" s="1"/>
    </row>
    <row r="163" spans="1:6" hidden="1">
      <c r="A163" s="1" t="s">
        <v>28</v>
      </c>
      <c r="B163" s="1">
        <v>18</v>
      </c>
      <c r="C163" s="61" t="s">
        <v>16</v>
      </c>
      <c r="D163" s="87"/>
      <c r="E163" s="1"/>
      <c r="F163" s="1"/>
    </row>
    <row r="164" spans="1:6" hidden="1">
      <c r="A164" s="1" t="s">
        <v>15</v>
      </c>
      <c r="B164" s="1">
        <v>5</v>
      </c>
      <c r="C164" s="61" t="s">
        <v>16</v>
      </c>
      <c r="D164" s="87"/>
      <c r="E164" s="73"/>
      <c r="F164" s="1"/>
    </row>
    <row r="165" spans="1:6" hidden="1">
      <c r="A165" s="1" t="s">
        <v>27</v>
      </c>
      <c r="B165" s="1">
        <v>4</v>
      </c>
      <c r="C165" s="61" t="s">
        <v>13</v>
      </c>
      <c r="D165" s="87"/>
      <c r="E165" s="1"/>
      <c r="F165" s="1"/>
    </row>
    <row r="166" spans="1:6" hidden="1">
      <c r="A166" s="1" t="s">
        <v>12</v>
      </c>
      <c r="B166" s="1">
        <v>8</v>
      </c>
      <c r="C166" s="61" t="s">
        <v>13</v>
      </c>
      <c r="D166" s="87">
        <f>45220*0.8</f>
        <v>36176</v>
      </c>
      <c r="E166" s="73">
        <f>+B166*D166</f>
        <v>289408</v>
      </c>
      <c r="F166" s="1" t="s">
        <v>14</v>
      </c>
    </row>
    <row r="167" spans="1:6" hidden="1">
      <c r="A167" s="1" t="s">
        <v>12</v>
      </c>
      <c r="B167" s="1">
        <v>1</v>
      </c>
      <c r="C167" s="61" t="s">
        <v>13</v>
      </c>
      <c r="D167" s="87"/>
      <c r="E167" s="1"/>
      <c r="F167" s="1"/>
    </row>
    <row r="168" spans="1:6" hidden="1">
      <c r="A168" s="1" t="s">
        <v>17</v>
      </c>
      <c r="B168" s="1">
        <v>3</v>
      </c>
      <c r="C168" s="61" t="s">
        <v>13</v>
      </c>
      <c r="D168" s="87"/>
      <c r="E168" s="1"/>
      <c r="F168" s="1"/>
    </row>
    <row r="169" spans="1:6" hidden="1">
      <c r="A169" s="1" t="s">
        <v>297</v>
      </c>
      <c r="B169" s="1">
        <v>4</v>
      </c>
      <c r="C169" s="61" t="s">
        <v>281</v>
      </c>
      <c r="D169" s="87"/>
      <c r="E169" s="1"/>
      <c r="F169" s="1"/>
    </row>
    <row r="170" spans="1:6" hidden="1">
      <c r="A170" s="1" t="s">
        <v>292</v>
      </c>
      <c r="B170" s="1">
        <v>43</v>
      </c>
      <c r="C170" s="61" t="s">
        <v>283</v>
      </c>
      <c r="D170" s="87"/>
      <c r="E170" s="1"/>
      <c r="F170" s="1"/>
    </row>
    <row r="171" spans="1:6" hidden="1">
      <c r="A171" s="1" t="s">
        <v>293</v>
      </c>
      <c r="B171" s="1">
        <v>1</v>
      </c>
      <c r="C171" s="61" t="s">
        <v>283</v>
      </c>
      <c r="D171" s="87"/>
      <c r="E171" s="1"/>
      <c r="F171" s="1"/>
    </row>
    <row r="172" spans="1:6" hidden="1">
      <c r="A172" s="1" t="s">
        <v>294</v>
      </c>
      <c r="B172" s="1">
        <v>6</v>
      </c>
      <c r="C172" s="61" t="s">
        <v>283</v>
      </c>
      <c r="D172" s="87"/>
      <c r="E172" s="1"/>
      <c r="F172" s="1"/>
    </row>
    <row r="173" spans="1:6" hidden="1">
      <c r="A173" s="1" t="s">
        <v>61</v>
      </c>
      <c r="B173" s="1">
        <v>14</v>
      </c>
      <c r="C173" s="61" t="s">
        <v>32</v>
      </c>
      <c r="D173" s="87"/>
      <c r="E173" s="1"/>
      <c r="F173" s="1"/>
    </row>
    <row r="174" spans="1:6" hidden="1">
      <c r="A174" s="1" t="s">
        <v>36</v>
      </c>
      <c r="B174" s="1">
        <v>7</v>
      </c>
      <c r="C174" s="61" t="s">
        <v>32</v>
      </c>
      <c r="D174" s="87"/>
      <c r="E174" s="1"/>
      <c r="F174" s="1"/>
    </row>
    <row r="175" spans="1:6" hidden="1">
      <c r="A175" s="1" t="s">
        <v>51</v>
      </c>
      <c r="B175" s="1">
        <v>35</v>
      </c>
      <c r="C175" s="61" t="s">
        <v>32</v>
      </c>
      <c r="D175" s="87"/>
      <c r="E175" s="1"/>
      <c r="F175" s="1"/>
    </row>
    <row r="176" spans="1:6" hidden="1">
      <c r="A176" s="9" t="s">
        <v>127</v>
      </c>
      <c r="B176" s="9">
        <v>6</v>
      </c>
      <c r="C176" s="62" t="s">
        <v>32</v>
      </c>
      <c r="D176" s="87"/>
      <c r="E176" s="1"/>
      <c r="F176" s="1"/>
    </row>
    <row r="177" spans="1:6" hidden="1">
      <c r="A177" s="2" t="s">
        <v>209</v>
      </c>
      <c r="B177" s="2">
        <v>2</v>
      </c>
      <c r="C177" s="60" t="s">
        <v>32</v>
      </c>
      <c r="D177" s="87"/>
      <c r="E177" s="1"/>
      <c r="F177" s="1"/>
    </row>
    <row r="178" spans="1:6" hidden="1">
      <c r="A178" s="1" t="s">
        <v>214</v>
      </c>
      <c r="B178" s="13">
        <v>20</v>
      </c>
      <c r="C178" s="61" t="s">
        <v>32</v>
      </c>
      <c r="D178" s="87"/>
      <c r="E178" s="1"/>
      <c r="F178" s="1"/>
    </row>
    <row r="179" spans="1:6" hidden="1">
      <c r="A179" s="1" t="s">
        <v>214</v>
      </c>
      <c r="B179" s="1">
        <v>7</v>
      </c>
      <c r="C179" s="61" t="s">
        <v>32</v>
      </c>
      <c r="D179" s="87"/>
      <c r="E179" s="1"/>
      <c r="F179" s="1"/>
    </row>
    <row r="180" spans="1:6" hidden="1">
      <c r="A180" s="1" t="s">
        <v>215</v>
      </c>
      <c r="B180" s="1">
        <v>7</v>
      </c>
      <c r="C180" s="61" t="s">
        <v>32</v>
      </c>
      <c r="D180" s="87"/>
      <c r="E180" s="1"/>
      <c r="F180" s="1"/>
    </row>
    <row r="181" spans="1:6" hidden="1">
      <c r="A181" s="1" t="s">
        <v>218</v>
      </c>
      <c r="B181" s="1">
        <v>1</v>
      </c>
      <c r="C181" s="61" t="s">
        <v>32</v>
      </c>
      <c r="D181" s="87"/>
      <c r="E181" s="1"/>
      <c r="F181" s="1"/>
    </row>
    <row r="182" spans="1:6" hidden="1">
      <c r="A182" s="9" t="s">
        <v>37</v>
      </c>
      <c r="B182" s="9">
        <v>2</v>
      </c>
      <c r="C182" s="62" t="s">
        <v>32</v>
      </c>
      <c r="D182" s="87"/>
      <c r="E182" s="1"/>
      <c r="F182" s="1"/>
    </row>
    <row r="183" spans="1:6" hidden="1">
      <c r="A183" s="2" t="s">
        <v>136</v>
      </c>
      <c r="B183" s="2">
        <v>4</v>
      </c>
      <c r="C183" s="60" t="s">
        <v>32</v>
      </c>
      <c r="D183" s="87"/>
      <c r="E183" s="1"/>
      <c r="F183" s="1"/>
    </row>
    <row r="184" spans="1:6" hidden="1">
      <c r="A184" s="78" t="s">
        <v>226</v>
      </c>
      <c r="B184" s="1">
        <v>9</v>
      </c>
      <c r="C184" s="61" t="s">
        <v>193</v>
      </c>
      <c r="D184" s="87"/>
      <c r="E184" s="1"/>
      <c r="F184" s="1"/>
    </row>
    <row r="185" spans="1:6" hidden="1">
      <c r="A185" s="78" t="s">
        <v>225</v>
      </c>
      <c r="B185" s="1">
        <v>12</v>
      </c>
      <c r="C185" s="61" t="s">
        <v>193</v>
      </c>
      <c r="D185" s="87"/>
      <c r="E185" s="1"/>
      <c r="F185" s="1"/>
    </row>
    <row r="186" spans="1:6" hidden="1">
      <c r="A186" s="78" t="s">
        <v>212</v>
      </c>
      <c r="B186" s="1">
        <v>1</v>
      </c>
      <c r="C186" s="61" t="s">
        <v>193</v>
      </c>
      <c r="D186" s="87"/>
      <c r="E186" s="1"/>
      <c r="F186" s="1"/>
    </row>
    <row r="187" spans="1:6" hidden="1">
      <c r="A187" s="78" t="s">
        <v>195</v>
      </c>
      <c r="B187" s="1">
        <v>1</v>
      </c>
      <c r="C187" s="61" t="s">
        <v>193</v>
      </c>
      <c r="D187" s="87"/>
      <c r="E187" s="1"/>
      <c r="F187" s="1"/>
    </row>
    <row r="188" spans="1:6" hidden="1">
      <c r="A188" s="92" t="s">
        <v>194</v>
      </c>
      <c r="B188" s="9">
        <v>1</v>
      </c>
      <c r="C188" s="62" t="s">
        <v>193</v>
      </c>
      <c r="D188" s="87"/>
      <c r="E188" s="1"/>
      <c r="F188" s="1"/>
    </row>
    <row r="189" spans="1:6" hidden="1">
      <c r="A189" s="2" t="s">
        <v>92</v>
      </c>
      <c r="B189" s="2">
        <v>2</v>
      </c>
      <c r="C189" s="60" t="s">
        <v>13</v>
      </c>
      <c r="D189" s="87"/>
      <c r="E189" s="1"/>
      <c r="F189" s="1"/>
    </row>
    <row r="190" spans="1:6" hidden="1">
      <c r="A190" s="9" t="s">
        <v>93</v>
      </c>
      <c r="B190" s="9">
        <v>2</v>
      </c>
      <c r="C190" s="62" t="s">
        <v>13</v>
      </c>
      <c r="D190" s="87"/>
      <c r="E190" s="1"/>
      <c r="F190" s="1"/>
    </row>
    <row r="191" spans="1:6" hidden="1">
      <c r="A191" s="2" t="s">
        <v>484</v>
      </c>
      <c r="B191" s="2">
        <v>3</v>
      </c>
      <c r="C191" s="60" t="s">
        <v>368</v>
      </c>
      <c r="D191" s="87"/>
      <c r="E191" s="1"/>
      <c r="F191" s="1"/>
    </row>
    <row r="192" spans="1:6" hidden="1">
      <c r="A192" s="1" t="s">
        <v>415</v>
      </c>
      <c r="B192" s="1">
        <v>2</v>
      </c>
      <c r="C192" s="61" t="s">
        <v>413</v>
      </c>
      <c r="D192" s="87"/>
      <c r="E192" s="1"/>
      <c r="F192" s="1"/>
    </row>
    <row r="193" spans="1:6" hidden="1">
      <c r="A193" s="1" t="s">
        <v>412</v>
      </c>
      <c r="B193" s="1">
        <v>2</v>
      </c>
      <c r="C193" s="61" t="s">
        <v>413</v>
      </c>
      <c r="D193" s="87"/>
      <c r="E193" s="1"/>
      <c r="F193" s="1"/>
    </row>
    <row r="194" spans="1:6" hidden="1">
      <c r="A194" s="1" t="s">
        <v>414</v>
      </c>
      <c r="B194" s="1">
        <v>3</v>
      </c>
      <c r="C194" s="61" t="s">
        <v>413</v>
      </c>
      <c r="D194" s="87"/>
      <c r="E194" s="1"/>
      <c r="F194" s="1"/>
    </row>
    <row r="195" spans="1:6" hidden="1">
      <c r="A195" s="1" t="s">
        <v>418</v>
      </c>
      <c r="B195" s="1">
        <v>3</v>
      </c>
      <c r="C195" s="61" t="s">
        <v>32</v>
      </c>
      <c r="D195" s="87"/>
      <c r="E195" s="1"/>
      <c r="F195" s="1"/>
    </row>
    <row r="196" spans="1:6" hidden="1">
      <c r="A196" s="9" t="s">
        <v>419</v>
      </c>
      <c r="B196" s="9">
        <v>5</v>
      </c>
      <c r="C196" s="62" t="s">
        <v>32</v>
      </c>
      <c r="D196" s="87"/>
      <c r="E196" s="1"/>
      <c r="F196" s="1"/>
    </row>
    <row r="197" spans="1:6" hidden="1">
      <c r="A197" s="2" t="s">
        <v>278</v>
      </c>
      <c r="B197" s="2">
        <v>29</v>
      </c>
      <c r="C197" s="60" t="s">
        <v>661</v>
      </c>
      <c r="D197" s="87"/>
      <c r="E197" s="1"/>
      <c r="F197" s="1"/>
    </row>
    <row r="198" spans="1:6" ht="15.75" hidden="1" thickBot="1">
      <c r="A198" s="5" t="s">
        <v>279</v>
      </c>
      <c r="B198" s="5">
        <v>6</v>
      </c>
      <c r="C198" s="60" t="s">
        <v>661</v>
      </c>
      <c r="D198" s="87"/>
      <c r="E198" s="1"/>
      <c r="F198" s="1"/>
    </row>
    <row r="199" spans="1:6" hidden="1">
      <c r="A199" s="25" t="s">
        <v>276</v>
      </c>
      <c r="B199" s="20">
        <v>58</v>
      </c>
      <c r="C199" s="60" t="s">
        <v>661</v>
      </c>
      <c r="D199" s="87"/>
      <c r="E199" s="1"/>
      <c r="F199" s="1"/>
    </row>
    <row r="200" spans="1:6" hidden="1">
      <c r="A200" s="2" t="s">
        <v>277</v>
      </c>
      <c r="B200" s="2">
        <v>8</v>
      </c>
      <c r="C200" s="60" t="s">
        <v>661</v>
      </c>
      <c r="D200" s="87"/>
      <c r="E200" s="1"/>
      <c r="F200" s="1"/>
    </row>
    <row r="201" spans="1:6" hidden="1">
      <c r="A201" s="1" t="s">
        <v>273</v>
      </c>
      <c r="B201" s="1">
        <v>4</v>
      </c>
      <c r="C201" s="60" t="s">
        <v>661</v>
      </c>
      <c r="D201" s="87"/>
      <c r="E201" s="1"/>
      <c r="F201" s="1"/>
    </row>
    <row r="202" spans="1:6" hidden="1">
      <c r="A202" s="1" t="s">
        <v>275</v>
      </c>
      <c r="B202" s="1">
        <v>3</v>
      </c>
      <c r="C202" s="60" t="s">
        <v>661</v>
      </c>
      <c r="D202" s="87"/>
      <c r="E202" s="1"/>
      <c r="F202" s="1"/>
    </row>
    <row r="203" spans="1:6" hidden="1">
      <c r="A203" s="1" t="s">
        <v>260</v>
      </c>
      <c r="B203" s="1">
        <v>11</v>
      </c>
      <c r="C203" s="61" t="s">
        <v>32</v>
      </c>
      <c r="D203" s="87"/>
      <c r="E203" s="1"/>
      <c r="F203" s="1"/>
    </row>
    <row r="204" spans="1:6" hidden="1">
      <c r="A204" s="1" t="s">
        <v>270</v>
      </c>
      <c r="B204" s="1">
        <v>1</v>
      </c>
      <c r="C204" s="61" t="s">
        <v>32</v>
      </c>
      <c r="D204" s="87"/>
      <c r="E204" s="1"/>
      <c r="F204" s="1"/>
    </row>
    <row r="205" spans="1:6" hidden="1">
      <c r="A205" s="92" t="s">
        <v>228</v>
      </c>
      <c r="B205" s="9">
        <v>1</v>
      </c>
      <c r="C205" s="62" t="s">
        <v>193</v>
      </c>
      <c r="D205" s="87"/>
      <c r="E205" s="1"/>
      <c r="F205" s="1"/>
    </row>
    <row r="206" spans="1:6" hidden="1">
      <c r="A206" s="2" t="s">
        <v>373</v>
      </c>
      <c r="B206" s="2">
        <v>4</v>
      </c>
      <c r="C206" s="60" t="s">
        <v>374</v>
      </c>
      <c r="D206" s="87"/>
      <c r="E206" s="1"/>
      <c r="F206" s="1"/>
    </row>
    <row r="207" spans="1:6" hidden="1">
      <c r="A207" s="1" t="s">
        <v>546</v>
      </c>
      <c r="B207" s="1">
        <v>1</v>
      </c>
      <c r="C207" s="79" t="s">
        <v>448</v>
      </c>
      <c r="D207" s="87"/>
      <c r="E207" s="1"/>
      <c r="F207" s="1"/>
    </row>
    <row r="208" spans="1:6" hidden="1">
      <c r="A208" s="1" t="s">
        <v>545</v>
      </c>
      <c r="B208" s="1">
        <v>1</v>
      </c>
      <c r="C208" s="79" t="s">
        <v>448</v>
      </c>
      <c r="D208" s="87"/>
      <c r="E208" s="1"/>
      <c r="F208" s="1"/>
    </row>
    <row r="209" spans="1:6" hidden="1">
      <c r="A209" s="1" t="s">
        <v>544</v>
      </c>
      <c r="B209" s="1">
        <v>1</v>
      </c>
      <c r="C209" s="79" t="s">
        <v>448</v>
      </c>
      <c r="D209" s="87"/>
      <c r="E209" s="1"/>
      <c r="F209" s="1"/>
    </row>
    <row r="210" spans="1:6" hidden="1">
      <c r="A210" s="1" t="s">
        <v>543</v>
      </c>
      <c r="B210" s="1">
        <v>1</v>
      </c>
      <c r="C210" s="79" t="s">
        <v>448</v>
      </c>
      <c r="D210" s="87"/>
      <c r="E210" s="1"/>
      <c r="F210" s="1"/>
    </row>
    <row r="211" spans="1:6" hidden="1">
      <c r="A211" s="1" t="s">
        <v>542</v>
      </c>
      <c r="B211" s="1">
        <v>1</v>
      </c>
      <c r="C211" s="79" t="s">
        <v>448</v>
      </c>
      <c r="D211" s="87"/>
      <c r="E211" s="1"/>
      <c r="F211" s="1"/>
    </row>
    <row r="212" spans="1:6" hidden="1">
      <c r="A212" s="1" t="s">
        <v>541</v>
      </c>
      <c r="B212" s="1">
        <v>1</v>
      </c>
      <c r="C212" s="79" t="s">
        <v>448</v>
      </c>
      <c r="D212" s="87"/>
      <c r="E212" s="1"/>
      <c r="F212" s="1"/>
    </row>
    <row r="213" spans="1:6" hidden="1">
      <c r="A213" s="1" t="s">
        <v>121</v>
      </c>
      <c r="B213" s="1">
        <v>4</v>
      </c>
      <c r="C213" s="61" t="s">
        <v>13</v>
      </c>
      <c r="D213" s="87"/>
      <c r="E213" s="1"/>
      <c r="F213" s="1"/>
    </row>
    <row r="214" spans="1:6" hidden="1">
      <c r="A214" s="1" t="s">
        <v>120</v>
      </c>
      <c r="B214" s="1">
        <v>2</v>
      </c>
      <c r="C214" s="61" t="s">
        <v>13</v>
      </c>
      <c r="D214" s="87"/>
      <c r="E214" s="1"/>
      <c r="F214" s="1"/>
    </row>
    <row r="215" spans="1:6" hidden="1">
      <c r="A215" s="35" t="s">
        <v>323</v>
      </c>
      <c r="B215" s="55">
        <v>31</v>
      </c>
      <c r="C215" s="69" t="s">
        <v>321</v>
      </c>
      <c r="D215" s="87"/>
      <c r="E215" s="1"/>
      <c r="F215" s="1"/>
    </row>
    <row r="216" spans="1:6" hidden="1">
      <c r="A216" s="33" t="s">
        <v>320</v>
      </c>
      <c r="B216" s="52">
        <v>50</v>
      </c>
      <c r="C216" s="68" t="s">
        <v>321</v>
      </c>
      <c r="D216" s="87"/>
      <c r="E216" s="1"/>
      <c r="F216" s="1"/>
    </row>
    <row r="217" spans="1:6" hidden="1">
      <c r="A217" s="20" t="s">
        <v>325</v>
      </c>
      <c r="B217" s="76">
        <v>95</v>
      </c>
      <c r="C217" s="66" t="s">
        <v>321</v>
      </c>
      <c r="D217" s="87"/>
      <c r="E217" s="1"/>
      <c r="F217" s="1"/>
    </row>
    <row r="218" spans="1:6" hidden="1">
      <c r="A218" s="20" t="s">
        <v>324</v>
      </c>
      <c r="B218" s="76">
        <v>118</v>
      </c>
      <c r="C218" s="66" t="s">
        <v>321</v>
      </c>
      <c r="D218" s="87"/>
      <c r="E218" s="1"/>
      <c r="F218" s="1"/>
    </row>
    <row r="219" spans="1:6" hidden="1">
      <c r="A219" s="2" t="s">
        <v>326</v>
      </c>
      <c r="B219" s="56">
        <v>241</v>
      </c>
      <c r="C219" s="60" t="s">
        <v>321</v>
      </c>
      <c r="D219" s="87"/>
      <c r="E219" s="1"/>
      <c r="F219" s="1"/>
    </row>
    <row r="220" spans="1:6" hidden="1">
      <c r="A220" s="1" t="s">
        <v>327</v>
      </c>
      <c r="B220" s="53">
        <v>77</v>
      </c>
      <c r="C220" s="61" t="s">
        <v>321</v>
      </c>
      <c r="D220" s="87"/>
      <c r="E220" s="1"/>
      <c r="F220" s="1"/>
    </row>
    <row r="221" spans="1:6" hidden="1">
      <c r="A221" s="31" t="s">
        <v>328</v>
      </c>
      <c r="B221" s="54">
        <v>112</v>
      </c>
      <c r="C221" s="65" t="s">
        <v>321</v>
      </c>
      <c r="D221" s="87"/>
      <c r="E221" s="1"/>
      <c r="F221" s="1"/>
    </row>
    <row r="222" spans="1:6" ht="15.75" hidden="1" thickBot="1">
      <c r="A222" s="5" t="s">
        <v>322</v>
      </c>
      <c r="B222" s="77">
        <v>124</v>
      </c>
      <c r="C222" s="63" t="s">
        <v>321</v>
      </c>
      <c r="D222" s="87"/>
      <c r="E222" s="1"/>
      <c r="F222" s="1"/>
    </row>
    <row r="223" spans="1:6" hidden="1">
      <c r="A223" s="2" t="s">
        <v>330</v>
      </c>
      <c r="B223" s="56">
        <v>1</v>
      </c>
      <c r="C223" s="67" t="s">
        <v>321</v>
      </c>
      <c r="D223" s="87"/>
      <c r="E223" s="1"/>
      <c r="F223" s="1"/>
    </row>
    <row r="224" spans="1:6" hidden="1">
      <c r="A224" s="41" t="s">
        <v>662</v>
      </c>
      <c r="B224" s="75">
        <v>23</v>
      </c>
      <c r="C224" t="s">
        <v>321</v>
      </c>
      <c r="D224" s="87"/>
      <c r="E224" s="1"/>
      <c r="F224" s="1"/>
    </row>
    <row r="225" spans="1:6" hidden="1">
      <c r="A225" s="33" t="s">
        <v>170</v>
      </c>
      <c r="B225" s="33">
        <v>1</v>
      </c>
      <c r="C225" s="68"/>
      <c r="D225" s="87"/>
      <c r="E225" s="78"/>
      <c r="F225" s="78"/>
    </row>
    <row r="226" spans="1:6" hidden="1">
      <c r="A226" s="1" t="s">
        <v>417</v>
      </c>
      <c r="B226" s="1">
        <v>11</v>
      </c>
      <c r="C226" s="61" t="s">
        <v>281</v>
      </c>
      <c r="D226" s="87"/>
      <c r="E226" s="1"/>
      <c r="F226" s="1"/>
    </row>
    <row r="227" spans="1:6" hidden="1">
      <c r="A227" s="1" t="s">
        <v>416</v>
      </c>
      <c r="B227" s="1">
        <v>1</v>
      </c>
      <c r="C227" s="61" t="s">
        <v>281</v>
      </c>
      <c r="D227" s="87"/>
      <c r="E227" s="1"/>
      <c r="F227" s="1"/>
    </row>
    <row r="228" spans="1:6" hidden="1">
      <c r="A228" s="1" t="s">
        <v>182</v>
      </c>
      <c r="B228" s="1">
        <v>2</v>
      </c>
      <c r="C228" s="61" t="s">
        <v>172</v>
      </c>
      <c r="D228" s="87"/>
      <c r="E228" s="1"/>
      <c r="F228" s="1"/>
    </row>
    <row r="229" spans="1:6" hidden="1">
      <c r="A229" s="1" t="s">
        <v>303</v>
      </c>
      <c r="B229" s="1">
        <v>55</v>
      </c>
      <c r="C229" s="61" t="s">
        <v>281</v>
      </c>
      <c r="D229" s="87"/>
      <c r="E229" s="1"/>
      <c r="F229" s="1"/>
    </row>
    <row r="230" spans="1:6" hidden="1">
      <c r="A230" s="1" t="s">
        <v>282</v>
      </c>
      <c r="B230" s="1">
        <v>20</v>
      </c>
      <c r="C230" s="61" t="s">
        <v>283</v>
      </c>
      <c r="D230" s="87"/>
      <c r="E230" s="1"/>
      <c r="F230" s="1"/>
    </row>
    <row r="231" spans="1:6" hidden="1">
      <c r="A231" s="1" t="s">
        <v>304</v>
      </c>
      <c r="B231" s="1">
        <v>3</v>
      </c>
      <c r="C231" s="61" t="s">
        <v>281</v>
      </c>
      <c r="D231" s="87"/>
      <c r="E231" s="1"/>
      <c r="F231" s="1"/>
    </row>
    <row r="232" spans="1:6" hidden="1">
      <c r="A232" s="1" t="s">
        <v>284</v>
      </c>
      <c r="B232" s="1">
        <v>4</v>
      </c>
      <c r="C232" s="61" t="s">
        <v>283</v>
      </c>
      <c r="D232" s="87"/>
      <c r="E232" s="1"/>
      <c r="F232" s="1"/>
    </row>
    <row r="233" spans="1:6" hidden="1">
      <c r="A233" s="1" t="s">
        <v>167</v>
      </c>
      <c r="B233" s="1">
        <v>14</v>
      </c>
      <c r="C233" s="61" t="s">
        <v>32</v>
      </c>
      <c r="D233" s="87"/>
      <c r="E233" s="1"/>
      <c r="F233" s="1"/>
    </row>
    <row r="234" spans="1:6" hidden="1">
      <c r="A234" s="9" t="s">
        <v>45</v>
      </c>
      <c r="B234" s="9">
        <v>58</v>
      </c>
      <c r="C234" s="62" t="s">
        <v>32</v>
      </c>
      <c r="D234" s="87"/>
      <c r="E234" s="1"/>
      <c r="F234" s="1"/>
    </row>
    <row r="235" spans="1:6" hidden="1">
      <c r="A235" s="2" t="s">
        <v>65</v>
      </c>
      <c r="B235" s="2">
        <v>71</v>
      </c>
      <c r="C235" s="60" t="s">
        <v>32</v>
      </c>
      <c r="D235" s="87"/>
      <c r="E235" s="1"/>
      <c r="F235" s="1"/>
    </row>
    <row r="236" spans="1:6" hidden="1">
      <c r="A236" s="1" t="s">
        <v>124</v>
      </c>
      <c r="B236" s="1">
        <v>16</v>
      </c>
      <c r="C236" s="61" t="s">
        <v>32</v>
      </c>
      <c r="D236" s="87"/>
      <c r="E236" s="1"/>
      <c r="F236" s="1"/>
    </row>
    <row r="237" spans="1:6" hidden="1">
      <c r="A237" s="1" t="s">
        <v>39</v>
      </c>
      <c r="B237" s="1">
        <v>26</v>
      </c>
      <c r="C237" s="61" t="s">
        <v>32</v>
      </c>
      <c r="D237" s="87"/>
      <c r="E237" s="1"/>
      <c r="F237" s="1"/>
    </row>
    <row r="238" spans="1:6" hidden="1">
      <c r="A238" s="1" t="s">
        <v>134</v>
      </c>
      <c r="B238" s="1">
        <v>3</v>
      </c>
      <c r="C238" s="61" t="s">
        <v>32</v>
      </c>
      <c r="D238" s="87"/>
      <c r="E238" s="1"/>
      <c r="F238" s="1"/>
    </row>
    <row r="239" spans="1:6" hidden="1">
      <c r="A239" s="1" t="s">
        <v>266</v>
      </c>
      <c r="B239" s="1">
        <v>9</v>
      </c>
      <c r="C239" s="61" t="s">
        <v>32</v>
      </c>
      <c r="D239" s="87"/>
      <c r="E239" s="1"/>
      <c r="F239" s="1"/>
    </row>
    <row r="240" spans="1:6" hidden="1">
      <c r="A240" s="1" t="s">
        <v>202</v>
      </c>
      <c r="B240" s="1">
        <v>4</v>
      </c>
      <c r="C240" s="61" t="s">
        <v>32</v>
      </c>
      <c r="D240" s="87"/>
      <c r="E240" s="1"/>
      <c r="F240" s="1"/>
    </row>
    <row r="241" spans="1:6" hidden="1">
      <c r="A241" s="1" t="s">
        <v>202</v>
      </c>
      <c r="B241" s="1">
        <v>7</v>
      </c>
      <c r="C241" s="61" t="s">
        <v>32</v>
      </c>
      <c r="D241" s="87"/>
      <c r="E241" s="1"/>
      <c r="F241" s="1"/>
    </row>
    <row r="242" spans="1:6" hidden="1">
      <c r="A242" s="1" t="s">
        <v>55</v>
      </c>
      <c r="B242" s="1">
        <v>5</v>
      </c>
      <c r="C242" s="61" t="s">
        <v>32</v>
      </c>
      <c r="D242" s="87"/>
      <c r="E242" s="1"/>
      <c r="F242" s="1"/>
    </row>
    <row r="243" spans="1:6" hidden="1">
      <c r="A243" s="1" t="s">
        <v>201</v>
      </c>
      <c r="B243" s="1">
        <v>1</v>
      </c>
      <c r="C243" s="61" t="s">
        <v>32</v>
      </c>
      <c r="D243" s="87"/>
      <c r="E243" s="1"/>
      <c r="F243" s="1"/>
    </row>
    <row r="244" spans="1:6" hidden="1">
      <c r="A244" s="1" t="s">
        <v>201</v>
      </c>
      <c r="B244" s="1">
        <v>3</v>
      </c>
      <c r="C244" s="61" t="s">
        <v>32</v>
      </c>
      <c r="D244" s="87"/>
      <c r="E244" s="1"/>
      <c r="F244" s="1"/>
    </row>
    <row r="245" spans="1:6" hidden="1">
      <c r="A245" s="9" t="s">
        <v>201</v>
      </c>
      <c r="B245" s="9">
        <v>11</v>
      </c>
      <c r="C245" s="62" t="s">
        <v>32</v>
      </c>
      <c r="D245" s="87"/>
      <c r="E245" s="1"/>
      <c r="F245" s="1"/>
    </row>
    <row r="246" spans="1:6" hidden="1">
      <c r="A246" s="30" t="s">
        <v>56</v>
      </c>
      <c r="B246" s="20">
        <v>1</v>
      </c>
      <c r="C246" s="66" t="s">
        <v>32</v>
      </c>
      <c r="D246" s="87"/>
      <c r="E246" s="1"/>
      <c r="F246" s="1"/>
    </row>
    <row r="247" spans="1:6" hidden="1">
      <c r="A247" s="2" t="s">
        <v>375</v>
      </c>
      <c r="B247" s="2">
        <v>28</v>
      </c>
      <c r="C247" s="60" t="s">
        <v>360</v>
      </c>
      <c r="D247" s="87"/>
      <c r="E247" s="1"/>
      <c r="F247" s="1"/>
    </row>
    <row r="248" spans="1:6" hidden="1">
      <c r="A248" s="1" t="s">
        <v>663</v>
      </c>
      <c r="B248" s="1">
        <v>2</v>
      </c>
      <c r="C248" s="79" t="s">
        <v>13</v>
      </c>
      <c r="D248" s="87"/>
      <c r="E248" s="1"/>
      <c r="F248" s="1"/>
    </row>
    <row r="249" spans="1:6" hidden="1">
      <c r="A249" s="1" t="s">
        <v>184</v>
      </c>
      <c r="B249" s="1">
        <v>8</v>
      </c>
      <c r="C249" s="61" t="s">
        <v>172</v>
      </c>
      <c r="D249" s="87"/>
      <c r="E249" s="1"/>
      <c r="F249" s="1"/>
    </row>
    <row r="250" spans="1:6" hidden="1">
      <c r="A250" s="9" t="s">
        <v>183</v>
      </c>
      <c r="B250" s="9">
        <v>2</v>
      </c>
      <c r="C250" s="62" t="s">
        <v>172</v>
      </c>
      <c r="D250" s="87"/>
      <c r="E250" s="1"/>
      <c r="F250" s="1"/>
    </row>
    <row r="251" spans="1:6" hidden="1">
      <c r="A251" s="2" t="s">
        <v>301</v>
      </c>
      <c r="B251" s="2">
        <v>33</v>
      </c>
      <c r="C251" s="60" t="s">
        <v>281</v>
      </c>
      <c r="D251" s="87"/>
      <c r="E251" s="1"/>
      <c r="F251" s="1"/>
    </row>
    <row r="252" spans="1:6" hidden="1">
      <c r="A252" s="1" t="s">
        <v>285</v>
      </c>
      <c r="B252" s="1">
        <v>32</v>
      </c>
      <c r="C252" s="61" t="s">
        <v>283</v>
      </c>
      <c r="D252" s="87"/>
      <c r="E252" s="1"/>
      <c r="F252" s="1"/>
    </row>
    <row r="253" spans="1:6" hidden="1">
      <c r="A253" s="1" t="s">
        <v>287</v>
      </c>
      <c r="B253" s="1">
        <v>1</v>
      </c>
      <c r="C253" s="61" t="s">
        <v>283</v>
      </c>
      <c r="D253" s="87"/>
      <c r="E253" s="1"/>
      <c r="F253" s="1"/>
    </row>
    <row r="254" spans="1:6" hidden="1">
      <c r="A254" s="1" t="s">
        <v>302</v>
      </c>
      <c r="B254" s="1">
        <v>1</v>
      </c>
      <c r="C254" s="61" t="s">
        <v>281</v>
      </c>
      <c r="D254" s="87"/>
      <c r="E254" s="1"/>
      <c r="F254" s="1"/>
    </row>
    <row r="255" spans="1:6" hidden="1">
      <c r="A255" s="9" t="s">
        <v>286</v>
      </c>
      <c r="B255" s="9">
        <v>2</v>
      </c>
      <c r="C255" s="62" t="s">
        <v>283</v>
      </c>
      <c r="D255" s="87"/>
      <c r="E255" s="1"/>
      <c r="F255" s="1"/>
    </row>
    <row r="256" spans="1:6" hidden="1">
      <c r="A256" s="2" t="s">
        <v>46</v>
      </c>
      <c r="B256" s="2">
        <v>13</v>
      </c>
      <c r="C256" s="60" t="s">
        <v>32</v>
      </c>
      <c r="D256" s="87"/>
      <c r="E256" s="1"/>
      <c r="F256" s="1"/>
    </row>
    <row r="257" spans="1:6" hidden="1">
      <c r="A257" s="1" t="s">
        <v>66</v>
      </c>
      <c r="B257" s="31">
        <v>10</v>
      </c>
      <c r="C257" s="65" t="s">
        <v>32</v>
      </c>
      <c r="D257" s="87"/>
      <c r="E257" s="1"/>
      <c r="F257" s="1"/>
    </row>
    <row r="258" spans="1:6" hidden="1">
      <c r="A258" s="1" t="s">
        <v>125</v>
      </c>
      <c r="B258" s="1">
        <v>22</v>
      </c>
      <c r="C258" s="61" t="s">
        <v>32</v>
      </c>
      <c r="D258" s="87"/>
      <c r="E258" s="1"/>
      <c r="F258" s="1"/>
    </row>
    <row r="259" spans="1:6" hidden="1">
      <c r="A259" s="1" t="s">
        <v>40</v>
      </c>
      <c r="B259" s="1">
        <v>11</v>
      </c>
      <c r="C259" s="61" t="s">
        <v>32</v>
      </c>
      <c r="D259" s="87"/>
      <c r="E259" s="1"/>
      <c r="F259" s="1"/>
    </row>
    <row r="260" spans="1:6" hidden="1">
      <c r="A260" s="9" t="s">
        <v>135</v>
      </c>
      <c r="B260" s="9">
        <v>4</v>
      </c>
      <c r="C260" s="62" t="s">
        <v>32</v>
      </c>
      <c r="D260" s="87"/>
      <c r="E260" s="1"/>
      <c r="F260" s="1"/>
    </row>
    <row r="261" spans="1:6" hidden="1">
      <c r="A261" s="2" t="s">
        <v>267</v>
      </c>
      <c r="B261" s="2">
        <v>5</v>
      </c>
      <c r="C261" s="60" t="s">
        <v>32</v>
      </c>
      <c r="D261" s="87"/>
      <c r="E261" s="1"/>
      <c r="F261" s="1"/>
    </row>
    <row r="262" spans="1:6" hidden="1">
      <c r="A262" s="1" t="s">
        <v>203</v>
      </c>
      <c r="B262" s="1">
        <v>1</v>
      </c>
      <c r="C262" s="61" t="s">
        <v>32</v>
      </c>
      <c r="D262" s="87"/>
      <c r="E262" s="1"/>
      <c r="F262" s="1"/>
    </row>
    <row r="263" spans="1:6" hidden="1">
      <c r="A263" s="9" t="s">
        <v>57</v>
      </c>
      <c r="B263" s="9">
        <v>8</v>
      </c>
      <c r="C263" s="62" t="s">
        <v>32</v>
      </c>
      <c r="D263" s="87"/>
      <c r="E263" s="1"/>
      <c r="F263" s="1"/>
    </row>
    <row r="264" spans="1:6" hidden="1">
      <c r="A264" s="2" t="s">
        <v>263</v>
      </c>
      <c r="B264" s="2">
        <v>5</v>
      </c>
      <c r="C264" s="60" t="s">
        <v>32</v>
      </c>
      <c r="D264" s="87"/>
      <c r="E264" s="1"/>
      <c r="F264" s="1"/>
    </row>
    <row r="265" spans="1:6" hidden="1">
      <c r="A265" s="1" t="s">
        <v>126</v>
      </c>
      <c r="B265" s="1">
        <v>13</v>
      </c>
      <c r="C265" s="61" t="s">
        <v>32</v>
      </c>
      <c r="D265" s="87"/>
      <c r="E265" s="1"/>
      <c r="F265" s="1"/>
    </row>
    <row r="266" spans="1:6" hidden="1">
      <c r="A266" s="9" t="s">
        <v>41</v>
      </c>
      <c r="B266" s="9">
        <v>8</v>
      </c>
      <c r="C266" s="62" t="s">
        <v>32</v>
      </c>
      <c r="D266" s="87"/>
      <c r="E266" s="1"/>
      <c r="F266" s="1"/>
    </row>
    <row r="267" spans="1:6" hidden="1">
      <c r="A267" s="2" t="s">
        <v>377</v>
      </c>
      <c r="B267" s="2">
        <v>1</v>
      </c>
      <c r="C267" s="60" t="s">
        <v>360</v>
      </c>
      <c r="D267" s="87"/>
      <c r="E267" s="1"/>
      <c r="F267" s="1"/>
    </row>
    <row r="268" spans="1:6" hidden="1">
      <c r="A268" s="31" t="s">
        <v>378</v>
      </c>
      <c r="B268" s="1">
        <v>3</v>
      </c>
      <c r="C268" s="61"/>
      <c r="D268" s="87"/>
      <c r="E268" s="1"/>
      <c r="F268" s="1"/>
    </row>
    <row r="269" spans="1:6" hidden="1">
      <c r="A269" s="31" t="s">
        <v>420</v>
      </c>
      <c r="B269" s="1">
        <v>1</v>
      </c>
      <c r="C269" s="61"/>
      <c r="D269" s="87"/>
      <c r="E269" s="1"/>
      <c r="F269" s="1"/>
    </row>
    <row r="270" spans="1:6" hidden="1">
      <c r="A270" s="31" t="s">
        <v>379</v>
      </c>
      <c r="B270" s="1">
        <v>2</v>
      </c>
      <c r="C270" s="61"/>
      <c r="D270" s="87"/>
      <c r="E270" s="1"/>
      <c r="F270" s="1"/>
    </row>
    <row r="271" spans="1:6" hidden="1">
      <c r="A271" s="1" t="s">
        <v>380</v>
      </c>
      <c r="B271" s="1">
        <v>2</v>
      </c>
      <c r="C271" s="61" t="s">
        <v>355</v>
      </c>
      <c r="D271" s="87"/>
      <c r="E271" s="1"/>
      <c r="F271" s="1"/>
    </row>
    <row r="272" spans="1:6" hidden="1">
      <c r="A272" s="1" t="s">
        <v>381</v>
      </c>
      <c r="B272" s="1">
        <v>1</v>
      </c>
      <c r="C272" s="61" t="s">
        <v>355</v>
      </c>
      <c r="D272" s="87"/>
      <c r="E272" s="1"/>
      <c r="F272" s="1"/>
    </row>
    <row r="273" spans="1:6" hidden="1">
      <c r="A273" s="78" t="s">
        <v>664</v>
      </c>
      <c r="B273" s="1">
        <v>4</v>
      </c>
      <c r="C273" s="79" t="s">
        <v>13</v>
      </c>
      <c r="D273" s="87"/>
      <c r="E273" s="1" t="s">
        <v>665</v>
      </c>
      <c r="F273" s="1"/>
    </row>
    <row r="274" spans="1:6" hidden="1">
      <c r="A274" s="78" t="s">
        <v>666</v>
      </c>
      <c r="B274" s="1">
        <v>1</v>
      </c>
      <c r="C274" s="79" t="s">
        <v>13</v>
      </c>
      <c r="D274" s="87"/>
      <c r="E274" s="1" t="s">
        <v>665</v>
      </c>
      <c r="F274" s="1"/>
    </row>
    <row r="275" spans="1:6" hidden="1">
      <c r="A275" s="78" t="s">
        <v>667</v>
      </c>
      <c r="B275" s="1">
        <v>1</v>
      </c>
      <c r="C275" s="79" t="s">
        <v>13</v>
      </c>
      <c r="D275" s="87"/>
      <c r="E275" s="1" t="s">
        <v>665</v>
      </c>
      <c r="F275" s="1"/>
    </row>
    <row r="276" spans="1:6" hidden="1">
      <c r="A276" s="78" t="s">
        <v>668</v>
      </c>
      <c r="B276" s="1">
        <v>1</v>
      </c>
      <c r="C276" s="79" t="s">
        <v>13</v>
      </c>
      <c r="D276" s="87"/>
      <c r="E276" s="1" t="s">
        <v>665</v>
      </c>
      <c r="F276" s="1"/>
    </row>
    <row r="277" spans="1:6" hidden="1">
      <c r="A277" s="78" t="s">
        <v>669</v>
      </c>
      <c r="B277" s="1">
        <v>2</v>
      </c>
      <c r="C277" s="79" t="s">
        <v>13</v>
      </c>
      <c r="D277" s="87"/>
      <c r="E277" s="1" t="s">
        <v>665</v>
      </c>
      <c r="F277" s="1"/>
    </row>
    <row r="278" spans="1:6" hidden="1">
      <c r="A278" s="78" t="s">
        <v>670</v>
      </c>
      <c r="B278" s="1">
        <v>1</v>
      </c>
      <c r="C278" s="79" t="s">
        <v>671</v>
      </c>
      <c r="D278" s="87"/>
      <c r="E278" s="1" t="s">
        <v>665</v>
      </c>
      <c r="F278" s="1"/>
    </row>
    <row r="279" spans="1:6" hidden="1">
      <c r="A279" s="78" t="s">
        <v>672</v>
      </c>
      <c r="B279" s="1">
        <v>23</v>
      </c>
      <c r="C279" s="79" t="s">
        <v>13</v>
      </c>
      <c r="D279" s="87"/>
      <c r="E279" s="1" t="s">
        <v>665</v>
      </c>
      <c r="F279" s="1"/>
    </row>
    <row r="280" spans="1:6" hidden="1">
      <c r="A280" s="92" t="s">
        <v>673</v>
      </c>
      <c r="B280" s="9">
        <v>1</v>
      </c>
      <c r="C280" s="84" t="s">
        <v>13</v>
      </c>
      <c r="D280" s="87"/>
      <c r="E280" s="1" t="s">
        <v>665</v>
      </c>
      <c r="F280" s="1"/>
    </row>
    <row r="281" spans="1:6" hidden="1">
      <c r="A281" s="81" t="s">
        <v>674</v>
      </c>
      <c r="B281" s="2">
        <v>22</v>
      </c>
      <c r="C281" s="82" t="s">
        <v>13</v>
      </c>
      <c r="D281" s="87"/>
      <c r="E281" s="1" t="s">
        <v>665</v>
      </c>
      <c r="F281" s="1"/>
    </row>
    <row r="282" spans="1:6" hidden="1">
      <c r="A282" s="78" t="s">
        <v>675</v>
      </c>
      <c r="B282" s="1">
        <v>5</v>
      </c>
      <c r="C282" s="79" t="s">
        <v>13</v>
      </c>
      <c r="D282" s="87"/>
      <c r="E282" s="1" t="s">
        <v>665</v>
      </c>
      <c r="F282" s="1"/>
    </row>
    <row r="283" spans="1:6" hidden="1">
      <c r="A283" s="78" t="s">
        <v>676</v>
      </c>
      <c r="B283" s="1">
        <v>4</v>
      </c>
      <c r="C283" s="79" t="s">
        <v>13</v>
      </c>
      <c r="D283" s="87"/>
      <c r="E283" s="1" t="s">
        <v>665</v>
      </c>
      <c r="F283" s="1"/>
    </row>
    <row r="284" spans="1:6" hidden="1">
      <c r="A284" s="78" t="s">
        <v>677</v>
      </c>
      <c r="B284" s="1">
        <v>1</v>
      </c>
      <c r="C284" s="79" t="s">
        <v>13</v>
      </c>
      <c r="D284" s="87"/>
      <c r="E284" s="1" t="s">
        <v>665</v>
      </c>
      <c r="F284" s="1"/>
    </row>
    <row r="285" spans="1:6" hidden="1">
      <c r="A285" s="78" t="s">
        <v>678</v>
      </c>
      <c r="B285" s="1">
        <v>2</v>
      </c>
      <c r="C285" s="79" t="s">
        <v>13</v>
      </c>
      <c r="D285" s="87"/>
      <c r="E285" s="1" t="s">
        <v>665</v>
      </c>
      <c r="F285" s="1"/>
    </row>
    <row r="286" spans="1:6" hidden="1">
      <c r="A286" s="78" t="s">
        <v>679</v>
      </c>
      <c r="B286" s="1">
        <v>2</v>
      </c>
      <c r="C286" s="79" t="s">
        <v>13</v>
      </c>
      <c r="D286" s="87"/>
      <c r="E286" s="1" t="s">
        <v>665</v>
      </c>
      <c r="F286" s="1"/>
    </row>
    <row r="287" spans="1:6" hidden="1">
      <c r="A287" s="78" t="s">
        <v>680</v>
      </c>
      <c r="B287" s="1">
        <v>1</v>
      </c>
      <c r="C287" s="79" t="s">
        <v>13</v>
      </c>
      <c r="D287" s="87"/>
      <c r="E287" s="1" t="s">
        <v>665</v>
      </c>
      <c r="F287" s="1"/>
    </row>
    <row r="288" spans="1:6" hidden="1">
      <c r="A288" s="78" t="s">
        <v>681</v>
      </c>
      <c r="B288" s="1">
        <v>6</v>
      </c>
      <c r="C288" s="79" t="s">
        <v>13</v>
      </c>
      <c r="D288" s="87"/>
      <c r="E288" s="1" t="s">
        <v>665</v>
      </c>
      <c r="F288" s="1"/>
    </row>
    <row r="289" spans="1:6" hidden="1">
      <c r="A289" s="78" t="s">
        <v>682</v>
      </c>
      <c r="B289" s="1">
        <v>4</v>
      </c>
      <c r="C289" s="79" t="s">
        <v>13</v>
      </c>
      <c r="D289" s="87"/>
      <c r="E289" s="1" t="s">
        <v>665</v>
      </c>
      <c r="F289" s="1"/>
    </row>
    <row r="290" spans="1:6" hidden="1">
      <c r="A290" s="78" t="s">
        <v>683</v>
      </c>
      <c r="B290" s="1">
        <v>1</v>
      </c>
      <c r="C290" s="79" t="s">
        <v>13</v>
      </c>
      <c r="D290" s="87"/>
      <c r="E290" s="1" t="s">
        <v>665</v>
      </c>
      <c r="F290" s="1"/>
    </row>
    <row r="291" spans="1:6" hidden="1">
      <c r="A291" s="78" t="s">
        <v>684</v>
      </c>
      <c r="B291" s="1">
        <v>4</v>
      </c>
      <c r="C291" s="79" t="s">
        <v>13</v>
      </c>
      <c r="D291" s="87"/>
      <c r="E291" s="1" t="s">
        <v>665</v>
      </c>
      <c r="F291" s="1"/>
    </row>
    <row r="292" spans="1:6" hidden="1">
      <c r="A292" s="78" t="s">
        <v>685</v>
      </c>
      <c r="B292" s="1">
        <v>2</v>
      </c>
      <c r="C292" s="79" t="s">
        <v>13</v>
      </c>
      <c r="D292" s="87"/>
      <c r="E292" s="1" t="s">
        <v>665</v>
      </c>
      <c r="F292" s="1"/>
    </row>
    <row r="293" spans="1:6" ht="15.75" hidden="1" thickBot="1">
      <c r="A293" s="93" t="s">
        <v>686</v>
      </c>
      <c r="B293" s="5">
        <v>3</v>
      </c>
      <c r="C293" s="85" t="s">
        <v>13</v>
      </c>
      <c r="D293" s="87"/>
      <c r="E293" s="1" t="s">
        <v>665</v>
      </c>
      <c r="F293" s="1"/>
    </row>
    <row r="294" spans="1:6" hidden="1">
      <c r="A294" s="94" t="s">
        <v>687</v>
      </c>
      <c r="B294" s="13">
        <v>4</v>
      </c>
      <c r="C294" s="86" t="s">
        <v>13</v>
      </c>
      <c r="D294" s="87"/>
      <c r="E294" s="1" t="s">
        <v>665</v>
      </c>
      <c r="F294" s="1"/>
    </row>
    <row r="295" spans="1:6" hidden="1">
      <c r="A295" s="1" t="s">
        <v>59</v>
      </c>
      <c r="B295" s="1">
        <v>7</v>
      </c>
      <c r="C295" s="61" t="s">
        <v>32</v>
      </c>
      <c r="D295" s="87"/>
      <c r="E295" s="1"/>
      <c r="F295" s="1"/>
    </row>
    <row r="296" spans="1:6" hidden="1">
      <c r="A296" s="1" t="s">
        <v>489</v>
      </c>
      <c r="B296" s="1">
        <v>2</v>
      </c>
      <c r="C296" s="79" t="s">
        <v>448</v>
      </c>
      <c r="D296" s="87"/>
      <c r="E296" s="1"/>
      <c r="F296" s="1"/>
    </row>
    <row r="297" spans="1:6" hidden="1">
      <c r="A297" s="1" t="s">
        <v>548</v>
      </c>
      <c r="B297" s="1">
        <v>5</v>
      </c>
      <c r="C297" s="79" t="s">
        <v>448</v>
      </c>
      <c r="D297" s="87"/>
      <c r="E297" s="1"/>
      <c r="F297" s="1"/>
    </row>
    <row r="298" spans="1:6" hidden="1">
      <c r="A298" s="1" t="s">
        <v>547</v>
      </c>
      <c r="B298" s="1">
        <v>7</v>
      </c>
      <c r="C298" s="79" t="s">
        <v>448</v>
      </c>
      <c r="D298" s="87"/>
      <c r="E298" s="1"/>
      <c r="F298" s="1"/>
    </row>
    <row r="299" spans="1:6" hidden="1">
      <c r="A299" s="1" t="s">
        <v>383</v>
      </c>
      <c r="B299" s="1">
        <v>74</v>
      </c>
      <c r="C299" s="61" t="s">
        <v>355</v>
      </c>
      <c r="D299" s="87"/>
      <c r="E299" s="1"/>
      <c r="F299" s="1"/>
    </row>
    <row r="300" spans="1:6" hidden="1">
      <c r="A300" s="1" t="s">
        <v>688</v>
      </c>
      <c r="B300" s="1">
        <v>3</v>
      </c>
      <c r="C300" s="79" t="s">
        <v>13</v>
      </c>
      <c r="D300" s="87"/>
      <c r="E300" s="1"/>
      <c r="F300" s="1"/>
    </row>
    <row r="301" spans="1:6" hidden="1">
      <c r="A301" s="1" t="s">
        <v>689</v>
      </c>
      <c r="B301" s="1">
        <v>2</v>
      </c>
      <c r="C301" s="61" t="s">
        <v>13</v>
      </c>
      <c r="D301" s="87"/>
      <c r="E301" s="1"/>
      <c r="F301" s="1"/>
    </row>
    <row r="302" spans="1:6" hidden="1">
      <c r="A302" s="1" t="s">
        <v>690</v>
      </c>
      <c r="B302" s="1">
        <v>5</v>
      </c>
      <c r="C302" s="61" t="s">
        <v>13</v>
      </c>
      <c r="D302" s="87"/>
      <c r="E302" s="1"/>
      <c r="F302" s="1"/>
    </row>
    <row r="303" spans="1:6" ht="15.75" hidden="1" thickBot="1">
      <c r="A303" s="5" t="s">
        <v>691</v>
      </c>
      <c r="B303" s="5">
        <v>5</v>
      </c>
      <c r="C303" s="63" t="s">
        <v>13</v>
      </c>
      <c r="D303" s="87"/>
      <c r="E303" s="1"/>
      <c r="F303" s="1"/>
    </row>
    <row r="304" spans="1:6" hidden="1">
      <c r="A304" s="2" t="s">
        <v>692</v>
      </c>
      <c r="B304" s="2">
        <v>1</v>
      </c>
      <c r="C304" s="60" t="s">
        <v>13</v>
      </c>
      <c r="D304" s="87"/>
      <c r="E304" s="1"/>
      <c r="F304" s="1"/>
    </row>
    <row r="305" spans="1:6" hidden="1">
      <c r="A305" s="1" t="s">
        <v>692</v>
      </c>
      <c r="B305" s="1">
        <v>2</v>
      </c>
      <c r="C305" s="61" t="s">
        <v>13</v>
      </c>
      <c r="D305" s="87"/>
      <c r="E305" s="1"/>
      <c r="F305" s="1"/>
    </row>
    <row r="306" spans="1:6" hidden="1">
      <c r="A306" s="1" t="s">
        <v>693</v>
      </c>
      <c r="B306" s="1">
        <v>9</v>
      </c>
      <c r="C306" s="61" t="s">
        <v>13</v>
      </c>
      <c r="D306" s="87"/>
      <c r="E306" s="1"/>
      <c r="F306" s="1"/>
    </row>
    <row r="307" spans="1:6" hidden="1">
      <c r="A307" s="1" t="s">
        <v>694</v>
      </c>
      <c r="B307" s="1">
        <v>1</v>
      </c>
      <c r="C307" s="61" t="s">
        <v>13</v>
      </c>
      <c r="D307" s="87"/>
      <c r="E307" s="1"/>
      <c r="F307" s="1"/>
    </row>
    <row r="308" spans="1:6" hidden="1">
      <c r="A308" s="1" t="s">
        <v>695</v>
      </c>
      <c r="B308" s="1">
        <v>2</v>
      </c>
      <c r="C308" s="61" t="s">
        <v>13</v>
      </c>
      <c r="D308" s="87"/>
      <c r="E308" s="1"/>
      <c r="F308" s="1"/>
    </row>
    <row r="309" spans="1:6" hidden="1">
      <c r="A309" s="1" t="s">
        <v>696</v>
      </c>
      <c r="B309" s="1">
        <v>3</v>
      </c>
      <c r="C309" s="61" t="s">
        <v>13</v>
      </c>
      <c r="D309" s="87"/>
      <c r="E309" s="1"/>
      <c r="F309" s="1"/>
    </row>
    <row r="310" spans="1:6" hidden="1">
      <c r="A310" s="31" t="s">
        <v>697</v>
      </c>
      <c r="B310" s="1">
        <v>5</v>
      </c>
      <c r="C310" s="79" t="s">
        <v>351</v>
      </c>
      <c r="D310" s="87"/>
      <c r="E310" s="1" t="s">
        <v>698</v>
      </c>
      <c r="F310" s="1"/>
    </row>
    <row r="311" spans="1:6" hidden="1">
      <c r="A311" s="9" t="s">
        <v>385</v>
      </c>
      <c r="B311" s="9">
        <v>2</v>
      </c>
      <c r="C311" s="84" t="s">
        <v>351</v>
      </c>
      <c r="D311" s="87"/>
      <c r="E311" s="1"/>
      <c r="F311" s="1"/>
    </row>
    <row r="312" spans="1:6" hidden="1">
      <c r="A312" s="2" t="s">
        <v>599</v>
      </c>
      <c r="B312" s="2">
        <v>1</v>
      </c>
      <c r="C312" s="60" t="s">
        <v>321</v>
      </c>
      <c r="D312" s="87"/>
      <c r="E312" s="1"/>
      <c r="F312" s="1"/>
    </row>
    <row r="313" spans="1:6" hidden="1">
      <c r="A313" s="9" t="s">
        <v>598</v>
      </c>
      <c r="B313" s="9">
        <v>1</v>
      </c>
      <c r="C313" s="62" t="s">
        <v>321</v>
      </c>
      <c r="D313" s="87"/>
      <c r="E313" s="1"/>
      <c r="F313" s="1"/>
    </row>
    <row r="314" spans="1:6" hidden="1">
      <c r="A314" s="2" t="s">
        <v>99</v>
      </c>
      <c r="B314" s="2">
        <v>1</v>
      </c>
      <c r="C314" s="60" t="s">
        <v>13</v>
      </c>
      <c r="D314" s="87"/>
      <c r="E314" s="1"/>
      <c r="F314" s="1"/>
    </row>
    <row r="315" spans="1:6" hidden="1">
      <c r="A315" s="1" t="s">
        <v>699</v>
      </c>
      <c r="B315" s="1">
        <v>2</v>
      </c>
      <c r="C315" s="61" t="s">
        <v>13</v>
      </c>
      <c r="D315" s="87"/>
      <c r="E315" s="1"/>
      <c r="F315" s="1"/>
    </row>
    <row r="316" spans="1:6" hidden="1">
      <c r="A316" s="1" t="s">
        <v>700</v>
      </c>
      <c r="B316" s="1">
        <v>2</v>
      </c>
      <c r="C316" s="61" t="s">
        <v>13</v>
      </c>
      <c r="D316" s="87"/>
      <c r="E316" s="1"/>
      <c r="F316" s="1"/>
    </row>
    <row r="317" spans="1:6" hidden="1">
      <c r="A317" s="1" t="s">
        <v>107</v>
      </c>
      <c r="B317" s="1">
        <v>3</v>
      </c>
      <c r="C317" s="61" t="s">
        <v>13</v>
      </c>
      <c r="D317" s="87"/>
      <c r="E317" s="1"/>
      <c r="F317" s="1"/>
    </row>
    <row r="318" spans="1:6" hidden="1">
      <c r="A318" s="1" t="s">
        <v>111</v>
      </c>
      <c r="B318" s="1">
        <v>1</v>
      </c>
      <c r="C318" s="61" t="s">
        <v>13</v>
      </c>
      <c r="D318" s="87"/>
      <c r="E318" s="1"/>
      <c r="F318" s="1"/>
    </row>
    <row r="319" spans="1:6" hidden="1">
      <c r="A319" s="1" t="s">
        <v>109</v>
      </c>
      <c r="B319" s="1">
        <v>1</v>
      </c>
      <c r="C319" s="61" t="s">
        <v>13</v>
      </c>
      <c r="D319" s="87"/>
      <c r="E319" s="1"/>
      <c r="F319" s="1"/>
    </row>
    <row r="320" spans="1:6" hidden="1">
      <c r="A320" s="1" t="s">
        <v>112</v>
      </c>
      <c r="B320" s="1">
        <v>5</v>
      </c>
      <c r="C320" s="61" t="s">
        <v>13</v>
      </c>
      <c r="D320" s="87"/>
      <c r="E320" s="1"/>
      <c r="F320" s="1"/>
    </row>
    <row r="321" spans="1:6" hidden="1">
      <c r="A321" s="1" t="s">
        <v>79</v>
      </c>
      <c r="B321" s="1">
        <v>6</v>
      </c>
      <c r="C321" s="61" t="s">
        <v>13</v>
      </c>
      <c r="D321" s="87"/>
      <c r="E321" s="1"/>
      <c r="F321" s="1"/>
    </row>
    <row r="322" spans="1:6" hidden="1">
      <c r="A322" s="1" t="s">
        <v>108</v>
      </c>
      <c r="B322" s="1">
        <v>3</v>
      </c>
      <c r="C322" s="61" t="s">
        <v>13</v>
      </c>
      <c r="D322" s="87"/>
      <c r="E322" s="1"/>
      <c r="F322" s="1"/>
    </row>
    <row r="323" spans="1:6" hidden="1">
      <c r="A323" s="1" t="s">
        <v>110</v>
      </c>
      <c r="B323" s="1">
        <v>1</v>
      </c>
      <c r="C323" s="61" t="s">
        <v>13</v>
      </c>
      <c r="D323" s="87"/>
      <c r="E323" s="1"/>
      <c r="F323" s="1"/>
    </row>
    <row r="324" spans="1:6" hidden="1">
      <c r="A324" s="1" t="s">
        <v>24</v>
      </c>
      <c r="B324" s="1">
        <v>2</v>
      </c>
      <c r="C324" s="61" t="s">
        <v>13</v>
      </c>
      <c r="D324" s="87"/>
      <c r="E324" s="1"/>
      <c r="F324" s="1"/>
    </row>
    <row r="325" spans="1:6" hidden="1">
      <c r="A325" s="31" t="s">
        <v>229</v>
      </c>
      <c r="B325" s="1">
        <v>1</v>
      </c>
      <c r="C325" s="61" t="s">
        <v>193</v>
      </c>
      <c r="D325" s="87"/>
      <c r="E325" s="1"/>
      <c r="F325" s="1"/>
    </row>
    <row r="326" spans="1:6" hidden="1">
      <c r="A326" s="1" t="s">
        <v>230</v>
      </c>
      <c r="B326" s="1">
        <v>1</v>
      </c>
      <c r="C326" s="61" t="s">
        <v>193</v>
      </c>
      <c r="D326" s="87"/>
      <c r="E326" s="1"/>
      <c r="F326" s="1"/>
    </row>
    <row r="327" spans="1:6" hidden="1">
      <c r="A327" s="78" t="s">
        <v>701</v>
      </c>
      <c r="B327" s="1">
        <v>8</v>
      </c>
      <c r="C327" s="61" t="s">
        <v>13</v>
      </c>
      <c r="D327" s="87"/>
      <c r="E327" s="1"/>
      <c r="F327" s="1"/>
    </row>
    <row r="328" spans="1:6" hidden="1">
      <c r="A328" s="1" t="s">
        <v>595</v>
      </c>
      <c r="B328" s="1">
        <v>2</v>
      </c>
      <c r="C328" s="61" t="s">
        <v>321</v>
      </c>
      <c r="D328" s="87"/>
      <c r="E328" s="1"/>
      <c r="F328" s="1"/>
    </row>
    <row r="329" spans="1:6" hidden="1">
      <c r="A329" s="9" t="s">
        <v>596</v>
      </c>
      <c r="B329" s="9">
        <v>4</v>
      </c>
      <c r="C329" s="62" t="s">
        <v>321</v>
      </c>
      <c r="D329" s="87"/>
      <c r="E329" s="1"/>
      <c r="F329" s="1"/>
    </row>
    <row r="330" spans="1:6" ht="15" hidden="1" customHeight="1">
      <c r="A330" s="2" t="s">
        <v>597</v>
      </c>
      <c r="B330" s="2">
        <v>2</v>
      </c>
      <c r="C330" s="60" t="s">
        <v>321</v>
      </c>
      <c r="D330" s="87"/>
      <c r="E330" s="1"/>
      <c r="F330" s="1"/>
    </row>
    <row r="331" spans="1:6" ht="15" hidden="1" customHeight="1">
      <c r="A331" s="1" t="s">
        <v>185</v>
      </c>
      <c r="B331" s="1">
        <v>2</v>
      </c>
      <c r="C331" s="61" t="s">
        <v>172</v>
      </c>
      <c r="D331" s="87"/>
      <c r="E331" s="1"/>
      <c r="F331" s="1"/>
    </row>
    <row r="332" spans="1:6" ht="15" hidden="1" customHeight="1">
      <c r="A332" s="1" t="s">
        <v>35</v>
      </c>
      <c r="B332" s="1">
        <v>5</v>
      </c>
      <c r="C332" s="61" t="s">
        <v>32</v>
      </c>
      <c r="D332" s="87"/>
      <c r="E332" s="1"/>
      <c r="F332" s="1"/>
    </row>
    <row r="333" spans="1:6" ht="15" hidden="1" customHeight="1">
      <c r="A333" s="1" t="s">
        <v>132</v>
      </c>
      <c r="B333" s="1">
        <v>17</v>
      </c>
      <c r="C333" s="61" t="s">
        <v>32</v>
      </c>
      <c r="D333" s="87"/>
      <c r="E333" s="1"/>
      <c r="F333" s="1"/>
    </row>
    <row r="334" spans="1:6" ht="15" hidden="1" customHeight="1">
      <c r="A334" s="1" t="s">
        <v>268</v>
      </c>
      <c r="B334" s="1">
        <v>5</v>
      </c>
      <c r="C334" s="61" t="s">
        <v>32</v>
      </c>
      <c r="D334" s="87"/>
      <c r="E334" s="1"/>
      <c r="F334" s="1"/>
    </row>
    <row r="335" spans="1:6" ht="15" hidden="1" customHeight="1">
      <c r="A335" s="1" t="s">
        <v>264</v>
      </c>
      <c r="B335" s="1">
        <v>4</v>
      </c>
      <c r="C335" s="61" t="s">
        <v>32</v>
      </c>
      <c r="D335" s="87"/>
      <c r="E335" s="1"/>
      <c r="F335" s="1"/>
    </row>
    <row r="336" spans="1:6" ht="15" hidden="1" customHeight="1">
      <c r="A336" s="31" t="s">
        <v>211</v>
      </c>
      <c r="B336" s="1">
        <v>2</v>
      </c>
      <c r="C336" s="61" t="s">
        <v>193</v>
      </c>
      <c r="D336" s="87"/>
      <c r="E336" s="1"/>
      <c r="F336" s="1"/>
    </row>
    <row r="337" spans="1:6" ht="15" hidden="1" customHeight="1">
      <c r="A337" s="1" t="s">
        <v>702</v>
      </c>
      <c r="B337" s="1">
        <v>7</v>
      </c>
      <c r="C337" s="61" t="s">
        <v>32</v>
      </c>
      <c r="D337" s="87"/>
      <c r="E337" s="31" t="s">
        <v>703</v>
      </c>
      <c r="F337" s="1"/>
    </row>
    <row r="338" spans="1:6" ht="15" hidden="1" customHeight="1">
      <c r="A338" s="1" t="s">
        <v>704</v>
      </c>
      <c r="B338" s="1">
        <v>43</v>
      </c>
      <c r="C338" s="61" t="s">
        <v>32</v>
      </c>
      <c r="D338" s="87"/>
      <c r="E338" s="1"/>
      <c r="F338" s="1"/>
    </row>
    <row r="339" spans="1:6" ht="15" hidden="1" customHeight="1">
      <c r="A339" s="1" t="s">
        <v>705</v>
      </c>
      <c r="B339" s="1">
        <v>5</v>
      </c>
      <c r="C339" s="61" t="s">
        <v>32</v>
      </c>
      <c r="D339" s="87"/>
      <c r="E339" s="1"/>
      <c r="F339" s="1"/>
    </row>
    <row r="340" spans="1:6" ht="15" hidden="1" customHeight="1">
      <c r="A340" s="1" t="s">
        <v>706</v>
      </c>
      <c r="B340" s="1">
        <v>10</v>
      </c>
      <c r="C340" s="61" t="s">
        <v>32</v>
      </c>
      <c r="D340" s="87"/>
      <c r="E340" s="1"/>
      <c r="F340" s="1"/>
    </row>
    <row r="341" spans="1:6" ht="15" hidden="1" customHeight="1">
      <c r="A341" s="1" t="s">
        <v>707</v>
      </c>
      <c r="B341" s="1">
        <v>1</v>
      </c>
      <c r="C341" s="61" t="s">
        <v>32</v>
      </c>
      <c r="D341" s="87"/>
      <c r="E341" s="1"/>
      <c r="F341" s="1"/>
    </row>
    <row r="342" spans="1:6" ht="15" hidden="1" customHeight="1">
      <c r="A342" s="1" t="s">
        <v>386</v>
      </c>
      <c r="B342" s="1">
        <v>1</v>
      </c>
      <c r="C342" s="61" t="s">
        <v>360</v>
      </c>
      <c r="D342" s="87"/>
      <c r="E342" s="1"/>
      <c r="F342" s="1"/>
    </row>
    <row r="343" spans="1:6" ht="15" hidden="1" customHeight="1">
      <c r="A343" s="1" t="s">
        <v>34</v>
      </c>
      <c r="B343" s="1">
        <v>2</v>
      </c>
      <c r="C343" s="61" t="s">
        <v>32</v>
      </c>
      <c r="D343" s="87"/>
      <c r="E343" s="1"/>
      <c r="F343" s="1"/>
    </row>
    <row r="344" spans="1:6" ht="15" hidden="1" customHeight="1">
      <c r="A344" s="1" t="s">
        <v>133</v>
      </c>
      <c r="B344" s="1">
        <v>17</v>
      </c>
      <c r="C344" s="61" t="s">
        <v>32</v>
      </c>
      <c r="D344" s="87"/>
      <c r="E344" s="1"/>
      <c r="F344" s="1"/>
    </row>
    <row r="345" spans="1:6" ht="15" hidden="1" customHeight="1">
      <c r="A345" s="1" t="s">
        <v>269</v>
      </c>
      <c r="B345" s="1">
        <v>1</v>
      </c>
      <c r="C345" s="61" t="s">
        <v>32</v>
      </c>
      <c r="D345" s="87"/>
      <c r="E345" s="1"/>
      <c r="F345" s="1"/>
    </row>
    <row r="346" spans="1:6" ht="15" hidden="1" customHeight="1">
      <c r="A346" s="1" t="s">
        <v>204</v>
      </c>
      <c r="B346" s="1">
        <v>1</v>
      </c>
      <c r="C346" s="61" t="s">
        <v>32</v>
      </c>
      <c r="D346" s="87"/>
      <c r="E346" s="1"/>
      <c r="F346" s="1"/>
    </row>
    <row r="347" spans="1:6" ht="15" hidden="1" customHeight="1">
      <c r="A347" s="1" t="s">
        <v>552</v>
      </c>
      <c r="B347" s="1">
        <v>1</v>
      </c>
      <c r="C347" s="61" t="s">
        <v>460</v>
      </c>
      <c r="D347" s="90"/>
      <c r="E347" s="91">
        <f>+B347*D347</f>
        <v>0</v>
      </c>
      <c r="F347" s="1"/>
    </row>
    <row r="348" spans="1:6" ht="15" hidden="1" customHeight="1">
      <c r="A348" s="1" t="s">
        <v>551</v>
      </c>
      <c r="B348" s="1">
        <v>3</v>
      </c>
      <c r="C348" s="61" t="s">
        <v>460</v>
      </c>
      <c r="D348" s="90"/>
      <c r="E348" s="91">
        <f>+B348*D348</f>
        <v>0</v>
      </c>
      <c r="F348" s="1"/>
    </row>
    <row r="349" spans="1:6" ht="15" hidden="1" customHeight="1">
      <c r="A349" s="1" t="s">
        <v>550</v>
      </c>
      <c r="B349" s="1">
        <v>4</v>
      </c>
      <c r="C349" s="61" t="s">
        <v>460</v>
      </c>
      <c r="D349" s="90"/>
      <c r="E349" s="91">
        <f>+B349*D349</f>
        <v>0</v>
      </c>
      <c r="F349" s="1"/>
    </row>
    <row r="350" spans="1:6" ht="15" hidden="1" customHeight="1">
      <c r="A350" s="1" t="s">
        <v>171</v>
      </c>
      <c r="B350" s="1">
        <v>11</v>
      </c>
      <c r="C350" s="61" t="s">
        <v>172</v>
      </c>
      <c r="D350" s="87"/>
      <c r="E350" s="1"/>
      <c r="F350" s="1"/>
    </row>
    <row r="351" spans="1:6" ht="15" hidden="1" customHeight="1">
      <c r="A351" s="1" t="s">
        <v>174</v>
      </c>
      <c r="B351" s="1">
        <v>4</v>
      </c>
      <c r="C351" s="61" t="s">
        <v>172</v>
      </c>
      <c r="D351" s="87"/>
      <c r="E351" s="1"/>
      <c r="F351" s="1"/>
    </row>
    <row r="352" spans="1:6" ht="15" hidden="1" customHeight="1">
      <c r="A352" s="1" t="s">
        <v>173</v>
      </c>
      <c r="B352" s="1">
        <v>2</v>
      </c>
      <c r="C352" s="61" t="s">
        <v>172</v>
      </c>
      <c r="D352" s="87"/>
      <c r="E352" s="1"/>
      <c r="F352" s="1"/>
    </row>
    <row r="353" spans="1:6" ht="15" hidden="1" customHeight="1">
      <c r="A353" s="1" t="s">
        <v>175</v>
      </c>
      <c r="B353" s="1">
        <v>1</v>
      </c>
      <c r="C353" s="61" t="s">
        <v>172</v>
      </c>
      <c r="D353" s="87"/>
      <c r="E353" s="1"/>
      <c r="F353" s="1"/>
    </row>
    <row r="354" spans="1:6" ht="15" hidden="1" customHeight="1">
      <c r="A354" s="1" t="s">
        <v>571</v>
      </c>
      <c r="B354" s="1">
        <v>7</v>
      </c>
      <c r="C354" s="61" t="s">
        <v>321</v>
      </c>
      <c r="D354" s="87"/>
      <c r="E354" s="1"/>
      <c r="F354" s="1"/>
    </row>
    <row r="355" spans="1:6" ht="15" hidden="1" customHeight="1">
      <c r="A355" s="1" t="s">
        <v>572</v>
      </c>
      <c r="B355" s="1">
        <v>21</v>
      </c>
      <c r="C355" s="61" t="s">
        <v>321</v>
      </c>
      <c r="D355" s="87"/>
      <c r="E355" s="1"/>
      <c r="F355" s="1"/>
    </row>
    <row r="356" spans="1:6" ht="15" hidden="1" customHeight="1">
      <c r="A356" s="1" t="s">
        <v>569</v>
      </c>
      <c r="B356" s="1">
        <v>4</v>
      </c>
      <c r="C356" s="61" t="s">
        <v>321</v>
      </c>
      <c r="D356" s="87"/>
      <c r="E356" s="1"/>
      <c r="F356" s="1"/>
    </row>
    <row r="357" spans="1:6" ht="15" hidden="1" customHeight="1">
      <c r="A357" s="1" t="s">
        <v>570</v>
      </c>
      <c r="B357" s="1">
        <v>2</v>
      </c>
      <c r="C357" s="61" t="s">
        <v>321</v>
      </c>
      <c r="D357" s="87"/>
      <c r="E357" s="1"/>
      <c r="F357" s="1"/>
    </row>
    <row r="358" spans="1:6" ht="15" hidden="1" customHeight="1">
      <c r="A358" s="1" t="s">
        <v>568</v>
      </c>
      <c r="B358" s="1">
        <v>1</v>
      </c>
      <c r="C358" s="61" t="s">
        <v>321</v>
      </c>
      <c r="D358" s="87"/>
      <c r="E358" s="1"/>
      <c r="F358" s="1"/>
    </row>
    <row r="359" spans="1:6" ht="15" hidden="1" customHeight="1">
      <c r="A359" s="1" t="s">
        <v>567</v>
      </c>
      <c r="B359" s="1">
        <v>1</v>
      </c>
      <c r="C359" s="61" t="s">
        <v>321</v>
      </c>
      <c r="D359" s="87"/>
      <c r="E359" s="1"/>
      <c r="F359" s="1"/>
    </row>
    <row r="360" spans="1:6" ht="15" hidden="1" customHeight="1">
      <c r="A360" s="1" t="s">
        <v>26</v>
      </c>
      <c r="B360" s="1">
        <v>3</v>
      </c>
      <c r="C360" s="61" t="s">
        <v>16</v>
      </c>
      <c r="D360" s="87"/>
      <c r="E360" s="1"/>
      <c r="F360" s="1"/>
    </row>
    <row r="361" spans="1:6" ht="15" hidden="1" customHeight="1">
      <c r="A361" s="1" t="s">
        <v>22</v>
      </c>
      <c r="B361" s="1">
        <v>1</v>
      </c>
      <c r="C361" s="61" t="s">
        <v>13</v>
      </c>
      <c r="D361" s="87"/>
      <c r="E361" s="1"/>
      <c r="F361" s="1"/>
    </row>
    <row r="362" spans="1:6" ht="15" hidden="1" customHeight="1">
      <c r="A362" s="1" t="s">
        <v>21</v>
      </c>
      <c r="B362" s="1">
        <v>2</v>
      </c>
      <c r="C362" s="61" t="s">
        <v>13</v>
      </c>
      <c r="D362" s="87"/>
      <c r="E362" s="1"/>
      <c r="F362" s="1"/>
    </row>
    <row r="363" spans="1:6" ht="15" hidden="1" customHeight="1">
      <c r="A363" s="1" t="s">
        <v>20</v>
      </c>
      <c r="B363" s="1">
        <v>1</v>
      </c>
      <c r="C363" s="61" t="s">
        <v>13</v>
      </c>
      <c r="D363" s="87"/>
      <c r="E363" s="1"/>
      <c r="F363" s="1"/>
    </row>
    <row r="364" spans="1:6" ht="15" hidden="1" customHeight="1">
      <c r="A364" s="1" t="s">
        <v>76</v>
      </c>
      <c r="B364" s="1">
        <v>9</v>
      </c>
      <c r="C364" s="61" t="s">
        <v>13</v>
      </c>
      <c r="D364" s="87"/>
      <c r="E364" s="1"/>
      <c r="F364" s="1"/>
    </row>
    <row r="365" spans="1:6" ht="15" hidden="1" customHeight="1">
      <c r="A365" s="1" t="s">
        <v>77</v>
      </c>
      <c r="B365" s="1">
        <v>11</v>
      </c>
      <c r="C365" s="61" t="s">
        <v>13</v>
      </c>
      <c r="D365" s="87"/>
      <c r="E365" s="1"/>
      <c r="F365" s="1"/>
    </row>
    <row r="366" spans="1:6" ht="15" hidden="1" customHeight="1">
      <c r="A366" s="1" t="s">
        <v>25</v>
      </c>
      <c r="B366" s="1">
        <v>16</v>
      </c>
      <c r="C366" s="61" t="s">
        <v>13</v>
      </c>
      <c r="D366" s="87"/>
      <c r="E366" s="1"/>
      <c r="F366" s="1"/>
    </row>
    <row r="367" spans="1:6" ht="15" hidden="1" customHeight="1">
      <c r="A367" s="1" t="s">
        <v>91</v>
      </c>
      <c r="B367" s="1">
        <v>5</v>
      </c>
      <c r="C367" s="61" t="s">
        <v>13</v>
      </c>
      <c r="D367" s="87"/>
      <c r="E367" s="1"/>
      <c r="F367" s="1"/>
    </row>
    <row r="368" spans="1:6" ht="15" hidden="1" customHeight="1">
      <c r="A368" s="1" t="s">
        <v>708</v>
      </c>
      <c r="B368" s="1">
        <v>2</v>
      </c>
      <c r="C368" s="79" t="s">
        <v>13</v>
      </c>
      <c r="D368" s="87"/>
      <c r="E368" s="1"/>
      <c r="F368" s="1"/>
    </row>
    <row r="369" spans="1:6" ht="15" hidden="1" customHeight="1">
      <c r="A369" s="1" t="s">
        <v>296</v>
      </c>
      <c r="B369" s="1">
        <v>12</v>
      </c>
      <c r="C369" s="61" t="s">
        <v>281</v>
      </c>
      <c r="D369" s="87"/>
      <c r="E369" s="1"/>
      <c r="F369" s="1"/>
    </row>
    <row r="370" spans="1:6" ht="15" hidden="1" customHeight="1">
      <c r="A370" s="1" t="s">
        <v>289</v>
      </c>
      <c r="B370" s="1">
        <v>28</v>
      </c>
      <c r="C370" s="61" t="s">
        <v>283</v>
      </c>
      <c r="D370" s="87"/>
      <c r="E370" s="1"/>
      <c r="F370" s="1"/>
    </row>
    <row r="371" spans="1:6" ht="15" hidden="1" customHeight="1">
      <c r="A371" s="1" t="s">
        <v>291</v>
      </c>
      <c r="B371" s="1">
        <v>3</v>
      </c>
      <c r="C371" s="61" t="s">
        <v>283</v>
      </c>
      <c r="D371" s="87"/>
      <c r="E371" s="1"/>
      <c r="F371" s="1"/>
    </row>
    <row r="372" spans="1:6" ht="15" hidden="1" customHeight="1">
      <c r="A372" s="1" t="s">
        <v>290</v>
      </c>
      <c r="B372" s="1">
        <v>2</v>
      </c>
      <c r="C372" s="61" t="s">
        <v>283</v>
      </c>
      <c r="D372" s="87"/>
      <c r="E372" s="1"/>
      <c r="F372" s="1"/>
    </row>
    <row r="373" spans="1:6" ht="15" hidden="1" customHeight="1">
      <c r="A373" s="1" t="s">
        <v>67</v>
      </c>
      <c r="B373" s="1">
        <v>35</v>
      </c>
      <c r="C373" s="61" t="s">
        <v>32</v>
      </c>
      <c r="D373" s="87"/>
      <c r="E373" s="1"/>
      <c r="F373" s="1"/>
    </row>
    <row r="374" spans="1:6" ht="15" hidden="1" customHeight="1">
      <c r="A374" s="1" t="s">
        <v>31</v>
      </c>
      <c r="B374" s="1">
        <v>8</v>
      </c>
      <c r="C374" s="61" t="s">
        <v>32</v>
      </c>
      <c r="D374" s="87"/>
      <c r="E374" s="1" t="s">
        <v>709</v>
      </c>
      <c r="F374" s="1"/>
    </row>
    <row r="375" spans="1:6" ht="15.75" hidden="1" customHeight="1" thickBot="1">
      <c r="A375" s="9" t="s">
        <v>208</v>
      </c>
      <c r="B375" s="9">
        <v>13</v>
      </c>
      <c r="C375" s="62" t="s">
        <v>32</v>
      </c>
      <c r="D375" s="87"/>
      <c r="E375" s="1" t="s">
        <v>709</v>
      </c>
      <c r="F375" s="1"/>
    </row>
    <row r="376" spans="1:6" ht="15" hidden="1" customHeight="1">
      <c r="A376" s="50" t="s">
        <v>271</v>
      </c>
      <c r="B376" s="2">
        <v>1</v>
      </c>
      <c r="C376" s="60" t="s">
        <v>32</v>
      </c>
      <c r="D376" s="87"/>
      <c r="E376" s="1" t="s">
        <v>709</v>
      </c>
      <c r="F376" s="1"/>
    </row>
    <row r="377" spans="1:6" ht="15" hidden="1" customHeight="1">
      <c r="A377" s="12" t="s">
        <v>53</v>
      </c>
      <c r="B377" s="1">
        <v>40</v>
      </c>
      <c r="C377" s="61" t="s">
        <v>32</v>
      </c>
      <c r="D377" s="87"/>
      <c r="E377" s="1" t="s">
        <v>709</v>
      </c>
      <c r="F377" s="1"/>
    </row>
    <row r="378" spans="1:6" ht="15" hidden="1" customHeight="1">
      <c r="A378" s="12" t="s">
        <v>261</v>
      </c>
      <c r="B378" s="1">
        <v>2</v>
      </c>
      <c r="C378" s="61" t="s">
        <v>32</v>
      </c>
      <c r="D378" s="87"/>
      <c r="E378" s="1" t="s">
        <v>709</v>
      </c>
      <c r="F378" s="1"/>
    </row>
    <row r="379" spans="1:6" ht="15" hidden="1" customHeight="1">
      <c r="A379" s="12" t="s">
        <v>213</v>
      </c>
      <c r="B379" s="1">
        <v>1</v>
      </c>
      <c r="C379" s="61" t="s">
        <v>32</v>
      </c>
      <c r="D379" s="87"/>
      <c r="E379" s="1" t="s">
        <v>709</v>
      </c>
      <c r="F379" s="1"/>
    </row>
    <row r="380" spans="1:6" ht="15" hidden="1" customHeight="1">
      <c r="A380" s="12" t="s">
        <v>205</v>
      </c>
      <c r="B380" s="1">
        <v>4</v>
      </c>
      <c r="C380" s="61" t="s">
        <v>32</v>
      </c>
      <c r="D380" s="87"/>
      <c r="E380" s="1" t="s">
        <v>709</v>
      </c>
      <c r="F380" s="1"/>
    </row>
    <row r="381" spans="1:6" ht="15" hidden="1" customHeight="1">
      <c r="A381" s="12" t="s">
        <v>47</v>
      </c>
      <c r="B381" s="1">
        <v>3</v>
      </c>
      <c r="C381" s="61" t="s">
        <v>32</v>
      </c>
      <c r="D381" s="87"/>
      <c r="E381" s="1" t="s">
        <v>709</v>
      </c>
      <c r="F381" s="1"/>
    </row>
    <row r="382" spans="1:6" ht="15" hidden="1" customHeight="1">
      <c r="A382" s="12" t="s">
        <v>33</v>
      </c>
      <c r="B382" s="1">
        <v>1</v>
      </c>
      <c r="C382" s="61" t="s">
        <v>32</v>
      </c>
      <c r="D382" s="87"/>
      <c r="E382" s="1" t="s">
        <v>709</v>
      </c>
      <c r="F382" s="1"/>
    </row>
    <row r="383" spans="1:6" ht="15" hidden="1" customHeight="1">
      <c r="A383" s="12" t="s">
        <v>54</v>
      </c>
      <c r="B383" s="1">
        <v>1</v>
      </c>
      <c r="C383" s="61" t="s">
        <v>32</v>
      </c>
      <c r="D383" s="87"/>
      <c r="E383" s="1" t="s">
        <v>709</v>
      </c>
      <c r="F383" s="1"/>
    </row>
    <row r="384" spans="1:6" ht="15" hidden="1" customHeight="1">
      <c r="A384" s="12" t="s">
        <v>262</v>
      </c>
      <c r="B384" s="1">
        <v>1</v>
      </c>
      <c r="C384" s="61" t="s">
        <v>32</v>
      </c>
      <c r="D384" s="87"/>
      <c r="E384" s="1" t="s">
        <v>709</v>
      </c>
      <c r="F384" s="1"/>
    </row>
    <row r="385" spans="1:6" ht="15" hidden="1" customHeight="1">
      <c r="A385" s="12" t="s">
        <v>224</v>
      </c>
      <c r="B385" s="1">
        <v>7</v>
      </c>
      <c r="C385" s="61" t="s">
        <v>193</v>
      </c>
      <c r="D385" s="87"/>
      <c r="E385" s="1" t="s">
        <v>709</v>
      </c>
      <c r="F385" s="1"/>
    </row>
    <row r="386" spans="1:6" ht="15" hidden="1" customHeight="1">
      <c r="A386" s="12" t="s">
        <v>223</v>
      </c>
      <c r="B386" s="1">
        <v>3</v>
      </c>
      <c r="C386" s="61" t="s">
        <v>193</v>
      </c>
      <c r="D386" s="87"/>
      <c r="E386" s="1" t="s">
        <v>709</v>
      </c>
      <c r="F386" s="1"/>
    </row>
    <row r="387" spans="1:6" ht="15" hidden="1" customHeight="1">
      <c r="A387" s="12" t="s">
        <v>192</v>
      </c>
      <c r="B387" s="1">
        <v>1</v>
      </c>
      <c r="C387" s="61" t="s">
        <v>193</v>
      </c>
      <c r="D387" s="87"/>
      <c r="E387" s="1" t="s">
        <v>709</v>
      </c>
      <c r="F387" s="1"/>
    </row>
    <row r="388" spans="1:6" ht="15" hidden="1" customHeight="1">
      <c r="A388" s="12" t="s">
        <v>387</v>
      </c>
      <c r="B388" s="1">
        <v>2</v>
      </c>
      <c r="C388" s="61" t="s">
        <v>193</v>
      </c>
      <c r="D388" s="87"/>
      <c r="E388" s="1" t="s">
        <v>709</v>
      </c>
      <c r="F388" s="1"/>
    </row>
    <row r="389" spans="1:6" ht="15" hidden="1" customHeight="1">
      <c r="A389" s="12" t="s">
        <v>710</v>
      </c>
      <c r="B389" s="1">
        <v>7</v>
      </c>
      <c r="C389" s="79" t="s">
        <v>13</v>
      </c>
      <c r="D389" s="87"/>
      <c r="E389" s="1"/>
      <c r="F389" s="1"/>
    </row>
    <row r="390" spans="1:6" ht="15" hidden="1" customHeight="1">
      <c r="A390" s="12" t="s">
        <v>97</v>
      </c>
      <c r="B390" s="1">
        <v>1</v>
      </c>
      <c r="C390" s="61" t="s">
        <v>13</v>
      </c>
      <c r="D390" s="87"/>
      <c r="E390" s="1"/>
      <c r="F390" s="1"/>
    </row>
    <row r="391" spans="1:6" ht="15" hidden="1" customHeight="1">
      <c r="A391" s="12" t="s">
        <v>98</v>
      </c>
      <c r="B391" s="1">
        <v>2</v>
      </c>
      <c r="C391" s="61" t="s">
        <v>13</v>
      </c>
      <c r="D391" s="87"/>
      <c r="E391" s="1"/>
      <c r="F391" s="1"/>
    </row>
    <row r="392" spans="1:6" ht="15" hidden="1" customHeight="1">
      <c r="A392" s="12" t="s">
        <v>96</v>
      </c>
      <c r="B392" s="1">
        <v>4</v>
      </c>
      <c r="C392" s="61" t="s">
        <v>13</v>
      </c>
      <c r="D392" s="87"/>
      <c r="E392" s="1"/>
      <c r="F392" s="1"/>
    </row>
    <row r="393" spans="1:6" ht="15" hidden="1" customHeight="1">
      <c r="A393" s="12" t="s">
        <v>624</v>
      </c>
      <c r="B393" s="1">
        <v>8</v>
      </c>
      <c r="C393" s="79" t="s">
        <v>448</v>
      </c>
      <c r="D393" s="87"/>
      <c r="E393" s="1"/>
      <c r="F393" s="1"/>
    </row>
    <row r="394" spans="1:6" ht="15" hidden="1" customHeight="1">
      <c r="A394" s="12" t="s">
        <v>610</v>
      </c>
      <c r="B394" s="1">
        <v>63</v>
      </c>
      <c r="C394" s="79" t="s">
        <v>448</v>
      </c>
      <c r="D394" s="87"/>
      <c r="E394" s="1"/>
      <c r="F394" s="1"/>
    </row>
    <row r="395" spans="1:6" ht="15" hidden="1" customHeight="1">
      <c r="A395" s="12" t="s">
        <v>623</v>
      </c>
      <c r="B395" s="1">
        <v>13</v>
      </c>
      <c r="C395" s="79" t="s">
        <v>448</v>
      </c>
      <c r="D395" s="87"/>
      <c r="E395" s="1"/>
      <c r="F395" s="1"/>
    </row>
    <row r="396" spans="1:6" ht="15" hidden="1" customHeight="1">
      <c r="A396" s="12" t="s">
        <v>622</v>
      </c>
      <c r="B396" s="1">
        <v>8</v>
      </c>
      <c r="C396" s="79" t="s">
        <v>448</v>
      </c>
      <c r="D396" s="87"/>
      <c r="E396" s="1"/>
      <c r="F396" s="1"/>
    </row>
    <row r="397" spans="1:6" ht="15" hidden="1" customHeight="1">
      <c r="A397" s="12" t="s">
        <v>621</v>
      </c>
      <c r="B397" s="1">
        <v>2</v>
      </c>
      <c r="C397" s="79" t="s">
        <v>448</v>
      </c>
      <c r="D397" s="87"/>
      <c r="E397" s="1"/>
      <c r="F397" s="1"/>
    </row>
    <row r="398" spans="1:6" ht="15" hidden="1" customHeight="1">
      <c r="A398" s="12" t="s">
        <v>620</v>
      </c>
      <c r="B398" s="1">
        <v>1</v>
      </c>
      <c r="C398" s="79" t="s">
        <v>448</v>
      </c>
      <c r="D398" s="87"/>
      <c r="E398" s="1"/>
      <c r="F398" s="1"/>
    </row>
    <row r="399" spans="1:6" ht="15" hidden="1" customHeight="1">
      <c r="A399" s="12" t="s">
        <v>636</v>
      </c>
      <c r="B399" s="1">
        <v>65</v>
      </c>
      <c r="C399" s="79" t="s">
        <v>448</v>
      </c>
      <c r="D399" s="87"/>
      <c r="E399" s="1"/>
      <c r="F399" s="1"/>
    </row>
    <row r="400" spans="1:6" ht="15" hidden="1" customHeight="1">
      <c r="A400" s="12" t="s">
        <v>637</v>
      </c>
      <c r="B400" s="1">
        <v>169</v>
      </c>
      <c r="C400" s="79" t="s">
        <v>448</v>
      </c>
      <c r="D400" s="87"/>
      <c r="E400" s="1"/>
      <c r="F400" s="1"/>
    </row>
    <row r="401" spans="1:6" ht="15" hidden="1" customHeight="1">
      <c r="A401" s="12" t="s">
        <v>635</v>
      </c>
      <c r="B401" s="1">
        <v>111</v>
      </c>
      <c r="C401" s="79" t="s">
        <v>448</v>
      </c>
      <c r="D401" s="87"/>
      <c r="E401" s="1"/>
      <c r="F401" s="1"/>
    </row>
    <row r="402" spans="1:6" ht="15" hidden="1" customHeight="1">
      <c r="A402" s="12" t="s">
        <v>535</v>
      </c>
      <c r="B402" s="1">
        <v>2</v>
      </c>
      <c r="C402" s="79" t="s">
        <v>448</v>
      </c>
      <c r="D402" s="87"/>
      <c r="E402" s="1"/>
      <c r="F402" s="1"/>
    </row>
    <row r="403" spans="1:6" ht="15" hidden="1" customHeight="1">
      <c r="A403" s="12" t="s">
        <v>615</v>
      </c>
      <c r="B403" s="1">
        <v>1</v>
      </c>
      <c r="C403" s="79" t="s">
        <v>448</v>
      </c>
      <c r="D403" s="87"/>
      <c r="E403" s="1"/>
      <c r="F403" s="1"/>
    </row>
    <row r="404" spans="1:6" ht="15" hidden="1" customHeight="1">
      <c r="A404" s="12" t="s">
        <v>534</v>
      </c>
      <c r="B404" s="1">
        <v>1</v>
      </c>
      <c r="C404" s="79" t="s">
        <v>448</v>
      </c>
      <c r="D404" s="87"/>
      <c r="E404" s="1"/>
      <c r="F404" s="1"/>
    </row>
    <row r="405" spans="1:6" ht="15" hidden="1" customHeight="1">
      <c r="A405" s="12" t="s">
        <v>618</v>
      </c>
      <c r="B405" s="1">
        <v>1</v>
      </c>
      <c r="C405" s="79" t="s">
        <v>448</v>
      </c>
      <c r="D405" s="87"/>
      <c r="E405" s="1"/>
      <c r="F405" s="1"/>
    </row>
    <row r="406" spans="1:6" ht="15" hidden="1" customHeight="1">
      <c r="A406" s="12" t="s">
        <v>617</v>
      </c>
      <c r="B406" s="1">
        <v>1</v>
      </c>
      <c r="C406" s="79" t="s">
        <v>448</v>
      </c>
      <c r="D406" s="87"/>
      <c r="E406" s="1"/>
      <c r="F406" s="1"/>
    </row>
    <row r="407" spans="1:6" ht="15" hidden="1" customHeight="1">
      <c r="A407" s="12" t="s">
        <v>601</v>
      </c>
      <c r="B407" s="1">
        <v>6</v>
      </c>
      <c r="C407" s="79" t="s">
        <v>448</v>
      </c>
      <c r="D407" s="87"/>
      <c r="E407" s="1"/>
      <c r="F407" s="1"/>
    </row>
    <row r="408" spans="1:6" ht="15" hidden="1" customHeight="1">
      <c r="A408" s="12" t="s">
        <v>616</v>
      </c>
      <c r="B408" s="1">
        <v>1</v>
      </c>
      <c r="C408" s="79" t="s">
        <v>448</v>
      </c>
      <c r="D408" s="87"/>
      <c r="E408" s="1"/>
      <c r="F408" s="1"/>
    </row>
    <row r="409" spans="1:6" ht="15" hidden="1" customHeight="1">
      <c r="A409" s="12" t="s">
        <v>600</v>
      </c>
      <c r="B409" s="1">
        <v>6</v>
      </c>
      <c r="C409" s="79" t="s">
        <v>448</v>
      </c>
      <c r="D409" s="87"/>
      <c r="E409" s="1"/>
      <c r="F409" s="1"/>
    </row>
    <row r="410" spans="1:6" ht="15" hidden="1" customHeight="1">
      <c r="A410" s="12" t="s">
        <v>630</v>
      </c>
      <c r="B410" s="1">
        <v>9</v>
      </c>
      <c r="C410" s="79" t="s">
        <v>448</v>
      </c>
      <c r="D410" s="87"/>
      <c r="E410" s="1"/>
      <c r="F410" s="1"/>
    </row>
    <row r="411" spans="1:6" ht="15" hidden="1" customHeight="1">
      <c r="A411" s="12" t="s">
        <v>389</v>
      </c>
      <c r="B411" s="1">
        <v>21</v>
      </c>
      <c r="C411" s="79" t="s">
        <v>351</v>
      </c>
      <c r="D411" s="87"/>
      <c r="E411" s="1"/>
      <c r="F411" s="1"/>
    </row>
    <row r="412" spans="1:6" ht="15" hidden="1" customHeight="1">
      <c r="A412" s="12" t="s">
        <v>389</v>
      </c>
      <c r="B412" s="1">
        <v>45</v>
      </c>
      <c r="C412" s="79" t="s">
        <v>448</v>
      </c>
      <c r="D412" s="87"/>
      <c r="E412" s="1"/>
      <c r="F412" s="1"/>
    </row>
    <row r="413" spans="1:6" ht="15" hidden="1" customHeight="1">
      <c r="A413" s="12" t="s">
        <v>629</v>
      </c>
      <c r="B413" s="1">
        <v>11</v>
      </c>
      <c r="C413" s="79" t="s">
        <v>448</v>
      </c>
      <c r="D413" s="87"/>
      <c r="E413" s="1"/>
      <c r="F413" s="1"/>
    </row>
    <row r="414" spans="1:6" ht="15" hidden="1" customHeight="1">
      <c r="A414" s="12" t="s">
        <v>613</v>
      </c>
      <c r="B414" s="1">
        <v>21</v>
      </c>
      <c r="C414" s="79" t="s">
        <v>448</v>
      </c>
      <c r="D414" s="87"/>
      <c r="E414" s="1"/>
      <c r="F414" s="1"/>
    </row>
    <row r="415" spans="1:6" ht="15" hidden="1" customHeight="1">
      <c r="A415" s="12" t="s">
        <v>628</v>
      </c>
      <c r="B415" s="1">
        <v>37</v>
      </c>
      <c r="C415" s="79" t="s">
        <v>448</v>
      </c>
      <c r="D415" s="87"/>
      <c r="E415" s="1"/>
      <c r="F415" s="1"/>
    </row>
    <row r="416" spans="1:6" ht="15" hidden="1" customHeight="1">
      <c r="A416" s="12" t="s">
        <v>612</v>
      </c>
      <c r="B416" s="1">
        <v>3</v>
      </c>
      <c r="C416" s="79" t="s">
        <v>448</v>
      </c>
      <c r="D416" s="87"/>
      <c r="E416" s="1"/>
      <c r="F416" s="1"/>
    </row>
    <row r="417" spans="1:6" ht="15" hidden="1" customHeight="1">
      <c r="A417" s="12" t="s">
        <v>611</v>
      </c>
      <c r="B417" s="1">
        <v>38</v>
      </c>
      <c r="C417" s="79" t="s">
        <v>448</v>
      </c>
      <c r="D417" s="87"/>
      <c r="E417" s="1"/>
      <c r="F417" s="1"/>
    </row>
    <row r="418" spans="1:6" ht="15" hidden="1" customHeight="1">
      <c r="A418" s="12" t="s">
        <v>627</v>
      </c>
      <c r="B418" s="1">
        <v>32</v>
      </c>
      <c r="C418" s="79" t="s">
        <v>448</v>
      </c>
      <c r="D418" s="87"/>
      <c r="E418" s="1"/>
      <c r="F418" s="1"/>
    </row>
    <row r="419" spans="1:6" ht="15" hidden="1" customHeight="1">
      <c r="A419" s="12" t="s">
        <v>633</v>
      </c>
      <c r="B419" s="1">
        <v>4</v>
      </c>
      <c r="C419" s="79" t="s">
        <v>448</v>
      </c>
      <c r="D419" s="87"/>
      <c r="E419" s="1"/>
      <c r="F419" s="1"/>
    </row>
    <row r="420" spans="1:6" ht="15" hidden="1" customHeight="1">
      <c r="A420" s="12" t="s">
        <v>634</v>
      </c>
      <c r="B420" s="1">
        <v>27</v>
      </c>
      <c r="C420" s="79" t="s">
        <v>448</v>
      </c>
      <c r="D420" s="87"/>
      <c r="E420" s="1"/>
      <c r="F420" s="1"/>
    </row>
    <row r="421" spans="1:6" ht="15" hidden="1" customHeight="1">
      <c r="A421" s="12" t="s">
        <v>632</v>
      </c>
      <c r="B421" s="1">
        <v>21</v>
      </c>
      <c r="C421" s="79" t="s">
        <v>448</v>
      </c>
      <c r="D421" s="87"/>
      <c r="E421" s="1"/>
      <c r="F421" s="1"/>
    </row>
    <row r="422" spans="1:6" ht="15" hidden="1" customHeight="1">
      <c r="A422" s="12" t="s">
        <v>631</v>
      </c>
      <c r="B422" s="1">
        <v>19</v>
      </c>
      <c r="C422" s="79" t="s">
        <v>448</v>
      </c>
      <c r="D422" s="87"/>
      <c r="E422" s="1"/>
      <c r="F422" s="1"/>
    </row>
    <row r="423" spans="1:6" ht="15" hidden="1" customHeight="1">
      <c r="A423" s="12" t="s">
        <v>604</v>
      </c>
      <c r="B423" s="1">
        <v>28</v>
      </c>
      <c r="C423" s="79" t="s">
        <v>448</v>
      </c>
      <c r="D423" s="87"/>
      <c r="E423" s="1"/>
      <c r="F423" s="1"/>
    </row>
    <row r="424" spans="1:6" ht="15" hidden="1" customHeight="1">
      <c r="A424" s="12" t="s">
        <v>619</v>
      </c>
      <c r="B424" s="1">
        <v>6</v>
      </c>
      <c r="C424" s="79" t="s">
        <v>448</v>
      </c>
      <c r="D424" s="87"/>
      <c r="E424" s="1"/>
      <c r="F424" s="1"/>
    </row>
    <row r="425" spans="1:6" ht="15" hidden="1" customHeight="1">
      <c r="A425" s="12" t="s">
        <v>603</v>
      </c>
      <c r="B425" s="1">
        <v>1</v>
      </c>
      <c r="C425" s="79" t="s">
        <v>448</v>
      </c>
      <c r="D425" s="87"/>
      <c r="E425" s="1"/>
      <c r="F425" s="1"/>
    </row>
    <row r="426" spans="1:6" ht="15" hidden="1" customHeight="1">
      <c r="A426" s="12" t="s">
        <v>390</v>
      </c>
      <c r="B426" s="1">
        <v>69</v>
      </c>
      <c r="C426" s="79" t="s">
        <v>351</v>
      </c>
      <c r="D426" s="87"/>
      <c r="E426" s="1"/>
      <c r="F426" s="1"/>
    </row>
    <row r="427" spans="1:6" ht="15" hidden="1" customHeight="1">
      <c r="A427" s="12" t="s">
        <v>602</v>
      </c>
      <c r="B427" s="1">
        <v>3</v>
      </c>
      <c r="C427" s="79" t="s">
        <v>448</v>
      </c>
      <c r="D427" s="87"/>
      <c r="E427" s="1"/>
      <c r="F427" s="1"/>
    </row>
    <row r="428" spans="1:6" ht="15" hidden="1" customHeight="1">
      <c r="A428" s="12" t="s">
        <v>626</v>
      </c>
      <c r="B428" s="1">
        <v>22</v>
      </c>
      <c r="C428" s="79" t="s">
        <v>448</v>
      </c>
      <c r="D428" s="87"/>
      <c r="E428" s="1"/>
      <c r="F428" s="1"/>
    </row>
    <row r="429" spans="1:6" ht="15" hidden="1" customHeight="1">
      <c r="A429" s="12" t="s">
        <v>625</v>
      </c>
      <c r="B429" s="1">
        <v>6</v>
      </c>
      <c r="C429" s="79" t="s">
        <v>448</v>
      </c>
      <c r="D429" s="87"/>
      <c r="E429" s="1"/>
      <c r="F429" s="1"/>
    </row>
    <row r="430" spans="1:6" ht="15" hidden="1" customHeight="1">
      <c r="A430" s="12" t="s">
        <v>536</v>
      </c>
      <c r="B430" s="1">
        <v>6</v>
      </c>
      <c r="C430" s="79" t="s">
        <v>448</v>
      </c>
      <c r="D430" s="87"/>
      <c r="E430" s="1"/>
      <c r="F430" s="1"/>
    </row>
    <row r="431" spans="1:6" ht="15" hidden="1" customHeight="1">
      <c r="A431" s="12" t="s">
        <v>614</v>
      </c>
      <c r="B431" s="1">
        <v>4</v>
      </c>
      <c r="C431" s="79" t="s">
        <v>448</v>
      </c>
      <c r="D431" s="87"/>
      <c r="E431" s="1"/>
      <c r="F431" s="1"/>
    </row>
    <row r="432" spans="1:6" ht="15" hidden="1" customHeight="1">
      <c r="A432" s="12" t="s">
        <v>609</v>
      </c>
      <c r="B432" s="1">
        <v>21</v>
      </c>
      <c r="C432" s="79" t="s">
        <v>448</v>
      </c>
      <c r="D432" s="87"/>
      <c r="E432" s="1"/>
      <c r="F432" s="1"/>
    </row>
    <row r="433" spans="1:6" ht="15" hidden="1" customHeight="1">
      <c r="A433" s="12" t="s">
        <v>608</v>
      </c>
      <c r="B433" s="1">
        <v>27</v>
      </c>
      <c r="C433" s="79" t="s">
        <v>448</v>
      </c>
      <c r="D433" s="87"/>
      <c r="E433" s="1"/>
      <c r="F433" s="1"/>
    </row>
    <row r="434" spans="1:6" ht="15" hidden="1" customHeight="1">
      <c r="A434" s="12" t="s">
        <v>607</v>
      </c>
      <c r="B434" s="1">
        <v>6</v>
      </c>
      <c r="C434" s="79" t="s">
        <v>448</v>
      </c>
      <c r="D434" s="87"/>
      <c r="E434" s="1"/>
      <c r="F434" s="1"/>
    </row>
    <row r="435" spans="1:6" ht="15" hidden="1" customHeight="1">
      <c r="A435" s="12" t="s">
        <v>606</v>
      </c>
      <c r="B435" s="1">
        <v>32</v>
      </c>
      <c r="C435" s="79" t="s">
        <v>448</v>
      </c>
      <c r="D435" s="87"/>
      <c r="E435" s="1"/>
      <c r="F435" s="1"/>
    </row>
    <row r="436" spans="1:6" ht="15" hidden="1" customHeight="1">
      <c r="A436" s="12" t="s">
        <v>605</v>
      </c>
      <c r="B436" s="1">
        <v>3</v>
      </c>
      <c r="C436" s="79" t="s">
        <v>448</v>
      </c>
      <c r="D436" s="87"/>
      <c r="E436" s="1"/>
      <c r="F436" s="1"/>
    </row>
    <row r="437" spans="1:6" ht="15" hidden="1" customHeight="1">
      <c r="A437" s="12" t="s">
        <v>440</v>
      </c>
      <c r="B437" s="1">
        <v>108</v>
      </c>
      <c r="C437" s="61" t="s">
        <v>321</v>
      </c>
      <c r="D437" s="87"/>
      <c r="E437" s="1"/>
      <c r="F437" s="1"/>
    </row>
    <row r="438" spans="1:6" ht="15" hidden="1" customHeight="1">
      <c r="A438" s="12" t="s">
        <v>439</v>
      </c>
      <c r="B438" s="1">
        <v>3</v>
      </c>
      <c r="C438" s="61" t="s">
        <v>321</v>
      </c>
      <c r="D438" s="87"/>
      <c r="E438" s="1"/>
      <c r="F438" s="1"/>
    </row>
    <row r="439" spans="1:6" ht="15" hidden="1" customHeight="1">
      <c r="A439" s="12" t="s">
        <v>438</v>
      </c>
      <c r="B439" s="1">
        <v>1</v>
      </c>
      <c r="C439" s="61" t="s">
        <v>321</v>
      </c>
      <c r="D439" s="87"/>
      <c r="E439" s="1"/>
      <c r="F439" s="1"/>
    </row>
    <row r="440" spans="1:6" ht="15" hidden="1" customHeight="1">
      <c r="A440" s="12" t="s">
        <v>437</v>
      </c>
      <c r="B440" s="1">
        <v>23</v>
      </c>
      <c r="C440" s="61" t="s">
        <v>321</v>
      </c>
      <c r="D440" s="87"/>
      <c r="E440" s="1"/>
      <c r="F440" s="1"/>
    </row>
    <row r="441" spans="1:6" ht="15" hidden="1" customHeight="1">
      <c r="A441" s="12" t="s">
        <v>436</v>
      </c>
      <c r="B441" s="1">
        <v>2</v>
      </c>
      <c r="C441" s="61" t="s">
        <v>321</v>
      </c>
      <c r="D441" s="87"/>
      <c r="E441" s="1"/>
      <c r="F441" s="1"/>
    </row>
    <row r="442" spans="1:6" ht="15" hidden="1" customHeight="1">
      <c r="A442" s="12" t="s">
        <v>435</v>
      </c>
      <c r="B442" s="1">
        <v>117</v>
      </c>
      <c r="C442" s="61" t="s">
        <v>321</v>
      </c>
      <c r="D442" s="87"/>
      <c r="E442" s="1"/>
      <c r="F442" s="1"/>
    </row>
    <row r="443" spans="1:6" ht="15" hidden="1" customHeight="1">
      <c r="A443" s="12" t="s">
        <v>529</v>
      </c>
      <c r="B443" s="1">
        <v>6</v>
      </c>
      <c r="C443" s="61" t="s">
        <v>321</v>
      </c>
      <c r="D443" s="87"/>
      <c r="E443" s="1"/>
      <c r="F443" s="1"/>
    </row>
    <row r="444" spans="1:6" ht="15" hidden="1" customHeight="1">
      <c r="A444" s="12" t="s">
        <v>528</v>
      </c>
      <c r="B444" s="1">
        <v>1</v>
      </c>
      <c r="C444" s="61" t="s">
        <v>321</v>
      </c>
      <c r="D444" s="87"/>
      <c r="E444" s="1"/>
      <c r="F444" s="1"/>
    </row>
    <row r="445" spans="1:6" ht="15" hidden="1" customHeight="1">
      <c r="A445" s="12" t="s">
        <v>526</v>
      </c>
      <c r="B445" s="1">
        <v>13</v>
      </c>
      <c r="C445" s="61" t="s">
        <v>321</v>
      </c>
      <c r="D445" s="87"/>
      <c r="E445" s="1"/>
      <c r="F445" s="1"/>
    </row>
    <row r="446" spans="1:6" ht="15" hidden="1" customHeight="1">
      <c r="A446" s="12" t="s">
        <v>527</v>
      </c>
      <c r="B446" s="1">
        <v>3</v>
      </c>
      <c r="C446" s="61" t="s">
        <v>321</v>
      </c>
      <c r="D446" s="87"/>
      <c r="E446" s="1"/>
      <c r="F446" s="1"/>
    </row>
    <row r="447" spans="1:6" ht="15" hidden="1" customHeight="1">
      <c r="A447" s="12" t="s">
        <v>524</v>
      </c>
      <c r="B447" s="1">
        <v>20</v>
      </c>
      <c r="C447" s="61" t="s">
        <v>321</v>
      </c>
      <c r="D447" s="87"/>
      <c r="E447" s="1"/>
      <c r="F447" s="1"/>
    </row>
    <row r="448" spans="1:6" ht="15" hidden="1" customHeight="1">
      <c r="A448" s="12" t="s">
        <v>427</v>
      </c>
      <c r="B448" s="1">
        <v>23</v>
      </c>
      <c r="C448" s="61" t="s">
        <v>321</v>
      </c>
      <c r="D448" s="87"/>
      <c r="E448" s="1"/>
      <c r="F448" s="1"/>
    </row>
    <row r="449" spans="1:6" ht="15" hidden="1" customHeight="1">
      <c r="A449" s="12" t="s">
        <v>426</v>
      </c>
      <c r="B449" s="1">
        <v>30</v>
      </c>
      <c r="C449" s="61" t="s">
        <v>321</v>
      </c>
      <c r="D449" s="87"/>
      <c r="E449" s="1"/>
      <c r="F449" s="1"/>
    </row>
    <row r="450" spans="1:6" ht="15" hidden="1" customHeight="1">
      <c r="A450" s="12" t="s">
        <v>425</v>
      </c>
      <c r="B450" s="1">
        <v>40</v>
      </c>
      <c r="C450" s="61" t="s">
        <v>321</v>
      </c>
      <c r="D450" s="87"/>
      <c r="E450" s="1"/>
      <c r="F450" s="1"/>
    </row>
    <row r="451" spans="1:6" ht="15" hidden="1" customHeight="1">
      <c r="A451" s="12" t="s">
        <v>424</v>
      </c>
      <c r="B451" s="1">
        <v>9</v>
      </c>
      <c r="C451" s="61" t="s">
        <v>321</v>
      </c>
      <c r="D451" s="87"/>
      <c r="E451" s="1"/>
      <c r="F451" s="1"/>
    </row>
    <row r="452" spans="1:6" ht="15" hidden="1" customHeight="1">
      <c r="A452" s="12" t="s">
        <v>423</v>
      </c>
      <c r="B452" s="1">
        <v>52</v>
      </c>
      <c r="C452" s="61" t="s">
        <v>321</v>
      </c>
      <c r="D452" s="87"/>
      <c r="E452" s="1"/>
      <c r="F452" s="1"/>
    </row>
    <row r="453" spans="1:6" ht="15" hidden="1" customHeight="1">
      <c r="A453" s="12" t="s">
        <v>422</v>
      </c>
      <c r="B453" s="1">
        <v>54</v>
      </c>
      <c r="C453" s="61" t="s">
        <v>321</v>
      </c>
      <c r="D453" s="87"/>
      <c r="E453" s="1"/>
      <c r="F453" s="1"/>
    </row>
    <row r="454" spans="1:6" ht="15" hidden="1" customHeight="1">
      <c r="A454" s="12" t="s">
        <v>421</v>
      </c>
      <c r="B454" s="1">
        <v>2</v>
      </c>
      <c r="C454" s="61" t="s">
        <v>321</v>
      </c>
      <c r="D454" s="87"/>
      <c r="E454" s="1"/>
      <c r="F454" s="1"/>
    </row>
    <row r="455" spans="1:6" ht="15" hidden="1" customHeight="1">
      <c r="A455" s="12" t="s">
        <v>434</v>
      </c>
      <c r="B455" s="1">
        <v>18</v>
      </c>
      <c r="C455" s="61" t="s">
        <v>321</v>
      </c>
      <c r="D455" s="87"/>
      <c r="E455" s="1"/>
      <c r="F455" s="1"/>
    </row>
    <row r="456" spans="1:6" ht="15" hidden="1" customHeight="1">
      <c r="A456" s="12" t="s">
        <v>433</v>
      </c>
      <c r="B456" s="1">
        <v>20</v>
      </c>
      <c r="C456" s="61" t="s">
        <v>321</v>
      </c>
      <c r="D456" s="87"/>
      <c r="E456" s="1"/>
      <c r="F456" s="1"/>
    </row>
    <row r="457" spans="1:6" ht="15" hidden="1" customHeight="1">
      <c r="A457" s="12" t="s">
        <v>432</v>
      </c>
      <c r="B457" s="1">
        <v>2</v>
      </c>
      <c r="C457" s="61" t="s">
        <v>321</v>
      </c>
      <c r="D457" s="87"/>
      <c r="E457" s="1"/>
      <c r="F457" s="1"/>
    </row>
    <row r="458" spans="1:6" ht="15" hidden="1" customHeight="1">
      <c r="A458" s="12" t="s">
        <v>431</v>
      </c>
      <c r="B458" s="1">
        <v>4</v>
      </c>
      <c r="C458" s="61" t="s">
        <v>321</v>
      </c>
      <c r="D458" s="87"/>
      <c r="E458" s="1"/>
      <c r="F458" s="1"/>
    </row>
    <row r="459" spans="1:6" ht="15" hidden="1" customHeight="1">
      <c r="A459" s="12" t="s">
        <v>430</v>
      </c>
      <c r="B459" s="1">
        <v>57</v>
      </c>
      <c r="C459" s="61" t="s">
        <v>321</v>
      </c>
      <c r="D459" s="87"/>
      <c r="E459" s="1"/>
      <c r="F459" s="1"/>
    </row>
    <row r="460" spans="1:6" ht="15" hidden="1" customHeight="1">
      <c r="A460" s="12" t="s">
        <v>429</v>
      </c>
      <c r="B460" s="1">
        <v>13</v>
      </c>
      <c r="C460" s="61" t="s">
        <v>321</v>
      </c>
      <c r="D460" s="87"/>
      <c r="E460" s="1"/>
      <c r="F460" s="1"/>
    </row>
    <row r="461" spans="1:6" ht="15" hidden="1" customHeight="1">
      <c r="A461" s="12" t="s">
        <v>428</v>
      </c>
      <c r="B461" s="1">
        <v>37</v>
      </c>
      <c r="C461" s="61" t="s">
        <v>321</v>
      </c>
      <c r="D461" s="87"/>
      <c r="E461" s="1"/>
      <c r="F461" s="1"/>
    </row>
    <row r="462" spans="1:6" ht="15" hidden="1" customHeight="1">
      <c r="A462" s="12" t="s">
        <v>525</v>
      </c>
      <c r="B462" s="1">
        <v>19</v>
      </c>
      <c r="C462" s="61" t="s">
        <v>321</v>
      </c>
      <c r="D462" s="87"/>
      <c r="E462" s="1"/>
      <c r="F462" s="1"/>
    </row>
    <row r="463" spans="1:6" ht="15" hidden="1" customHeight="1">
      <c r="A463" s="12" t="s">
        <v>555</v>
      </c>
      <c r="B463" s="39">
        <v>66</v>
      </c>
      <c r="C463" s="61" t="s">
        <v>460</v>
      </c>
      <c r="D463" s="90"/>
      <c r="E463" s="91">
        <f>+B463*D463</f>
        <v>0</v>
      </c>
      <c r="F463" s="1"/>
    </row>
    <row r="464" spans="1:6" ht="15" hidden="1" customHeight="1">
      <c r="A464" s="12" t="s">
        <v>347</v>
      </c>
      <c r="B464" s="39">
        <v>6</v>
      </c>
      <c r="C464" s="61" t="s">
        <v>172</v>
      </c>
      <c r="D464" s="87"/>
      <c r="E464" s="1"/>
      <c r="F464" s="1"/>
    </row>
    <row r="465" spans="1:6" ht="15" hidden="1" customHeight="1">
      <c r="A465" s="12" t="s">
        <v>348</v>
      </c>
      <c r="B465" s="39">
        <v>5.2</v>
      </c>
      <c r="C465" s="61" t="s">
        <v>172</v>
      </c>
      <c r="D465" s="87"/>
      <c r="E465" s="1"/>
      <c r="F465" s="1"/>
    </row>
    <row r="466" spans="1:6" ht="15" hidden="1" customHeight="1">
      <c r="A466" s="12" t="s">
        <v>345</v>
      </c>
      <c r="B466" s="39">
        <v>5.15</v>
      </c>
      <c r="C466" s="61" t="s">
        <v>172</v>
      </c>
      <c r="D466" s="87"/>
      <c r="E466" s="1"/>
      <c r="F466" s="1"/>
    </row>
    <row r="467" spans="1:6" ht="15" hidden="1" customHeight="1">
      <c r="A467" s="12" t="s">
        <v>346</v>
      </c>
      <c r="B467" s="39">
        <v>6</v>
      </c>
      <c r="C467" s="61" t="s">
        <v>13</v>
      </c>
      <c r="D467" s="87"/>
      <c r="E467" s="1"/>
      <c r="F467" s="1"/>
    </row>
    <row r="468" spans="1:6" ht="15" hidden="1" customHeight="1">
      <c r="A468" s="12" t="s">
        <v>335</v>
      </c>
      <c r="B468" s="39">
        <v>15</v>
      </c>
      <c r="C468" s="61" t="s">
        <v>333</v>
      </c>
      <c r="D468" s="87"/>
      <c r="E468" s="1"/>
      <c r="F468" s="1"/>
    </row>
    <row r="469" spans="1:6" ht="15" hidden="1" customHeight="1">
      <c r="A469" s="12" t="s">
        <v>336</v>
      </c>
      <c r="B469" s="39">
        <v>3</v>
      </c>
      <c r="C469" s="61" t="s">
        <v>333</v>
      </c>
      <c r="D469" s="87"/>
      <c r="E469" s="1"/>
      <c r="F469" s="1"/>
    </row>
    <row r="470" spans="1:6" ht="15" hidden="1" customHeight="1">
      <c r="A470" s="12" t="s">
        <v>334</v>
      </c>
      <c r="B470" s="39">
        <v>3</v>
      </c>
      <c r="C470" s="61" t="s">
        <v>333</v>
      </c>
      <c r="D470" s="87"/>
      <c r="E470" s="1"/>
      <c r="F470" s="1"/>
    </row>
    <row r="471" spans="1:6" ht="15" hidden="1" customHeight="1">
      <c r="A471" s="12" t="s">
        <v>332</v>
      </c>
      <c r="B471" s="39">
        <v>6</v>
      </c>
      <c r="C471" s="61" t="s">
        <v>333</v>
      </c>
      <c r="D471" s="87"/>
      <c r="E471" s="1"/>
      <c r="F471" s="1"/>
    </row>
    <row r="472" spans="1:6" ht="15" hidden="1" customHeight="1">
      <c r="A472" s="12" t="s">
        <v>391</v>
      </c>
      <c r="B472" s="49">
        <v>10</v>
      </c>
      <c r="C472" s="61" t="s">
        <v>360</v>
      </c>
      <c r="D472" s="87"/>
      <c r="E472" s="31" t="s">
        <v>711</v>
      </c>
      <c r="F472" s="1"/>
    </row>
    <row r="473" spans="1:6" ht="15" hidden="1" customHeight="1">
      <c r="A473" s="12" t="s">
        <v>392</v>
      </c>
      <c r="B473" s="49">
        <v>24</v>
      </c>
      <c r="C473" s="61" t="s">
        <v>360</v>
      </c>
      <c r="D473" s="87"/>
      <c r="E473" s="31" t="s">
        <v>711</v>
      </c>
      <c r="F473" s="1"/>
    </row>
    <row r="474" spans="1:6" ht="15" hidden="1" customHeight="1">
      <c r="A474" s="12" t="s">
        <v>339</v>
      </c>
      <c r="B474" s="39">
        <v>5.34</v>
      </c>
      <c r="C474" s="61" t="s">
        <v>32</v>
      </c>
      <c r="D474" s="87"/>
      <c r="E474" s="1"/>
      <c r="F474" s="1"/>
    </row>
    <row r="475" spans="1:6" ht="15" hidden="1" customHeight="1">
      <c r="A475" s="12" t="s">
        <v>342</v>
      </c>
      <c r="B475" s="39">
        <v>10.1</v>
      </c>
      <c r="C475" s="61" t="s">
        <v>32</v>
      </c>
      <c r="D475" s="87"/>
      <c r="E475" s="1"/>
      <c r="F475" s="1"/>
    </row>
    <row r="476" spans="1:6" ht="15" hidden="1" customHeight="1">
      <c r="A476" s="12" t="s">
        <v>343</v>
      </c>
      <c r="B476" s="39">
        <v>10.75</v>
      </c>
      <c r="C476" s="61" t="s">
        <v>32</v>
      </c>
      <c r="D476" s="87"/>
      <c r="E476" s="1"/>
      <c r="F476" s="1"/>
    </row>
    <row r="477" spans="1:6" ht="15" hidden="1" customHeight="1">
      <c r="A477" s="12" t="s">
        <v>341</v>
      </c>
      <c r="B477" s="39">
        <v>10.75</v>
      </c>
      <c r="C477" s="61" t="s">
        <v>32</v>
      </c>
      <c r="D477" s="87"/>
      <c r="E477" s="1"/>
      <c r="F477" s="1"/>
    </row>
    <row r="478" spans="1:6" ht="15" hidden="1" customHeight="1">
      <c r="A478" s="12" t="s">
        <v>340</v>
      </c>
      <c r="B478" s="39">
        <v>17.2</v>
      </c>
      <c r="C478" s="61" t="s">
        <v>32</v>
      </c>
      <c r="D478" s="87"/>
      <c r="E478" s="1"/>
      <c r="F478" s="1"/>
    </row>
    <row r="479" spans="1:6" ht="15" hidden="1" customHeight="1">
      <c r="A479" s="12" t="s">
        <v>337</v>
      </c>
      <c r="B479" s="39">
        <v>3</v>
      </c>
      <c r="C479" s="61" t="s">
        <v>32</v>
      </c>
      <c r="D479" s="87"/>
      <c r="E479" s="1"/>
      <c r="F479" s="1"/>
    </row>
    <row r="480" spans="1:6" ht="15" hidden="1" customHeight="1">
      <c r="A480" s="12" t="s">
        <v>338</v>
      </c>
      <c r="B480" s="39">
        <v>5.5</v>
      </c>
      <c r="C480" s="61" t="s">
        <v>32</v>
      </c>
      <c r="D480" s="87"/>
      <c r="E480" s="1"/>
      <c r="F480" s="1"/>
    </row>
    <row r="481" spans="1:6" ht="15" hidden="1" customHeight="1">
      <c r="A481" s="12" t="s">
        <v>393</v>
      </c>
      <c r="B481" s="49">
        <v>6</v>
      </c>
      <c r="C481" s="61" t="s">
        <v>193</v>
      </c>
      <c r="D481" s="87"/>
      <c r="E481" s="1"/>
      <c r="F481" s="1"/>
    </row>
    <row r="482" spans="1:6" ht="15" hidden="1" customHeight="1">
      <c r="A482" s="74" t="s">
        <v>344</v>
      </c>
      <c r="B482" s="39">
        <v>6</v>
      </c>
      <c r="C482" s="61" t="s">
        <v>193</v>
      </c>
      <c r="D482" s="87"/>
      <c r="E482" s="1"/>
      <c r="F482" s="1"/>
    </row>
    <row r="483" spans="1:6" ht="15" hidden="1" customHeight="1">
      <c r="A483" s="83" t="s">
        <v>443</v>
      </c>
      <c r="B483" s="78">
        <v>155</v>
      </c>
      <c r="C483" s="79"/>
      <c r="D483" s="87"/>
      <c r="E483" s="78"/>
      <c r="F483" s="78"/>
    </row>
    <row r="484" spans="1:6" ht="15" hidden="1" customHeight="1">
      <c r="A484" s="83" t="s">
        <v>441</v>
      </c>
      <c r="B484" s="78">
        <v>62</v>
      </c>
      <c r="C484" s="79"/>
      <c r="D484" s="87"/>
      <c r="E484" s="78"/>
      <c r="F484" s="78"/>
    </row>
    <row r="485" spans="1:6" ht="15" hidden="1" customHeight="1">
      <c r="A485" s="83" t="s">
        <v>442</v>
      </c>
      <c r="B485" s="78">
        <v>79</v>
      </c>
      <c r="C485" s="79"/>
      <c r="D485" s="87"/>
      <c r="E485" s="78"/>
      <c r="F485" s="78"/>
    </row>
    <row r="486" spans="1:6" ht="15" hidden="1" customHeight="1">
      <c r="A486" s="12" t="s">
        <v>549</v>
      </c>
      <c r="B486" s="1">
        <v>15</v>
      </c>
      <c r="C486" s="61" t="s">
        <v>460</v>
      </c>
      <c r="D486" s="90"/>
      <c r="E486" s="91">
        <f>+B486*D486</f>
        <v>0</v>
      </c>
      <c r="F486" s="1"/>
    </row>
    <row r="487" spans="1:6" ht="15" hidden="1" customHeight="1">
      <c r="A487" s="12" t="s">
        <v>538</v>
      </c>
      <c r="B487" s="1">
        <v>18</v>
      </c>
      <c r="C487" s="79" t="s">
        <v>448</v>
      </c>
      <c r="D487" s="87"/>
      <c r="E487" s="1"/>
      <c r="F487" s="1"/>
    </row>
    <row r="488" spans="1:6" ht="15" hidden="1" customHeight="1">
      <c r="A488" s="12" t="s">
        <v>539</v>
      </c>
      <c r="B488" s="1">
        <v>6</v>
      </c>
      <c r="C488" s="79" t="s">
        <v>448</v>
      </c>
      <c r="D488" s="87"/>
      <c r="E488" s="1"/>
      <c r="F488" s="1"/>
    </row>
    <row r="489" spans="1:6" ht="15" hidden="1" customHeight="1">
      <c r="A489" s="12" t="s">
        <v>537</v>
      </c>
      <c r="B489" s="1">
        <v>5</v>
      </c>
      <c r="C489" s="79" t="s">
        <v>448</v>
      </c>
      <c r="D489" s="87"/>
      <c r="E489" s="1"/>
      <c r="F489" s="1"/>
    </row>
    <row r="490" spans="1:6" ht="15" hidden="1" customHeight="1">
      <c r="A490" s="12" t="s">
        <v>530</v>
      </c>
      <c r="B490" s="1">
        <v>46</v>
      </c>
      <c r="C490" s="61" t="s">
        <v>321</v>
      </c>
      <c r="D490" s="87"/>
      <c r="E490" s="1"/>
      <c r="F490" s="1"/>
    </row>
    <row r="491" spans="1:6" ht="15" hidden="1" customHeight="1">
      <c r="A491" s="12" t="s">
        <v>531</v>
      </c>
      <c r="B491" s="1">
        <v>10</v>
      </c>
      <c r="C491" s="61" t="s">
        <v>321</v>
      </c>
      <c r="D491" s="87"/>
      <c r="E491" s="1"/>
      <c r="F491" s="1"/>
    </row>
    <row r="492" spans="1:6" ht="15" hidden="1" customHeight="1">
      <c r="A492" s="12" t="s">
        <v>181</v>
      </c>
      <c r="B492" s="1">
        <v>6</v>
      </c>
      <c r="C492" s="61" t="s">
        <v>172</v>
      </c>
      <c r="D492" s="87"/>
      <c r="E492" s="1"/>
      <c r="F492" s="1"/>
    </row>
    <row r="493" spans="1:6" ht="15.75" hidden="1" customHeight="1" thickBot="1">
      <c r="A493" s="51" t="s">
        <v>180</v>
      </c>
      <c r="B493" s="9">
        <v>7</v>
      </c>
      <c r="C493" s="62" t="s">
        <v>172</v>
      </c>
      <c r="D493" s="87"/>
      <c r="E493" s="1"/>
      <c r="F493" s="1"/>
    </row>
    <row r="494" spans="1:6" hidden="1">
      <c r="A494" s="50" t="s">
        <v>200</v>
      </c>
      <c r="B494" s="2">
        <v>10</v>
      </c>
      <c r="C494" s="60" t="s">
        <v>172</v>
      </c>
      <c r="D494" s="87"/>
      <c r="E494" s="1"/>
      <c r="F494" s="1"/>
    </row>
    <row r="495" spans="1:6" hidden="1">
      <c r="A495" s="12" t="s">
        <v>199</v>
      </c>
      <c r="B495" s="1">
        <v>7</v>
      </c>
      <c r="C495" s="61" t="s">
        <v>172</v>
      </c>
      <c r="D495" s="87"/>
      <c r="E495" s="1"/>
      <c r="F495" s="1"/>
    </row>
    <row r="496" spans="1:6" hidden="1">
      <c r="A496" s="12" t="s">
        <v>306</v>
      </c>
      <c r="B496" s="1">
        <v>2</v>
      </c>
      <c r="C496" s="61" t="s">
        <v>281</v>
      </c>
      <c r="D496" s="87"/>
      <c r="E496" s="1"/>
      <c r="F496" s="1"/>
    </row>
    <row r="497" spans="1:6" hidden="1">
      <c r="A497" s="12" t="s">
        <v>288</v>
      </c>
      <c r="B497" s="1">
        <v>2</v>
      </c>
      <c r="C497" s="61" t="s">
        <v>283</v>
      </c>
      <c r="D497" s="87"/>
      <c r="E497" s="1"/>
      <c r="F497" s="1"/>
    </row>
    <row r="498" spans="1:6" hidden="1">
      <c r="A498" s="12" t="s">
        <v>305</v>
      </c>
      <c r="B498" s="1">
        <v>15</v>
      </c>
      <c r="C498" s="61" t="s">
        <v>281</v>
      </c>
      <c r="D498" s="87"/>
      <c r="E498" s="1"/>
      <c r="F498" s="1"/>
    </row>
    <row r="499" spans="1:6" hidden="1">
      <c r="A499" s="12" t="s">
        <v>63</v>
      </c>
      <c r="B499" s="1">
        <v>16</v>
      </c>
      <c r="C499" s="61" t="s">
        <v>32</v>
      </c>
      <c r="D499" s="87"/>
      <c r="E499" s="1"/>
      <c r="F499" s="1"/>
    </row>
    <row r="500" spans="1:6" hidden="1">
      <c r="A500" s="12" t="s">
        <v>74</v>
      </c>
      <c r="B500" s="1">
        <v>11</v>
      </c>
      <c r="C500" s="61" t="s">
        <v>32</v>
      </c>
      <c r="D500" s="87"/>
      <c r="E500" s="1"/>
      <c r="F500" s="1"/>
    </row>
    <row r="501" spans="1:6" hidden="1">
      <c r="A501" s="12" t="s">
        <v>42</v>
      </c>
      <c r="B501" s="1">
        <v>36</v>
      </c>
      <c r="C501" s="61" t="s">
        <v>32</v>
      </c>
      <c r="D501" s="87"/>
      <c r="E501" s="1"/>
      <c r="F501" s="1"/>
    </row>
    <row r="502" spans="1:6" hidden="1">
      <c r="A502" s="12" t="s">
        <v>60</v>
      </c>
      <c r="B502" s="1">
        <v>68</v>
      </c>
      <c r="C502" s="61" t="s">
        <v>32</v>
      </c>
      <c r="D502" s="87"/>
      <c r="E502" s="1"/>
      <c r="F502" s="1"/>
    </row>
    <row r="503" spans="1:6" hidden="1">
      <c r="A503" s="12" t="s">
        <v>216</v>
      </c>
      <c r="B503" s="1">
        <v>4</v>
      </c>
      <c r="C503" s="61" t="s">
        <v>32</v>
      </c>
      <c r="D503" s="87"/>
      <c r="E503" s="1"/>
      <c r="F503" s="1"/>
    </row>
    <row r="504" spans="1:6" hidden="1">
      <c r="A504" s="12" t="s">
        <v>217</v>
      </c>
      <c r="B504" s="1">
        <v>3</v>
      </c>
      <c r="C504" s="61" t="s">
        <v>32</v>
      </c>
      <c r="D504" s="87"/>
      <c r="E504" s="1"/>
      <c r="F504" s="1"/>
    </row>
    <row r="505" spans="1:6" hidden="1">
      <c r="A505" s="12" t="s">
        <v>64</v>
      </c>
      <c r="B505" s="1">
        <v>12</v>
      </c>
      <c r="C505" s="61" t="s">
        <v>32</v>
      </c>
      <c r="D505" s="87"/>
      <c r="E505" s="1"/>
      <c r="F505" s="1"/>
    </row>
    <row r="506" spans="1:6" hidden="1">
      <c r="A506" s="12" t="s">
        <v>75</v>
      </c>
      <c r="B506" s="1">
        <v>5</v>
      </c>
      <c r="C506" s="61" t="s">
        <v>32</v>
      </c>
      <c r="D506" s="87"/>
      <c r="E506" s="1"/>
      <c r="F506" s="1"/>
    </row>
    <row r="507" spans="1:6" hidden="1">
      <c r="A507" s="12" t="s">
        <v>207</v>
      </c>
      <c r="B507" s="1">
        <v>1</v>
      </c>
      <c r="C507" s="61" t="s">
        <v>32</v>
      </c>
      <c r="D507" s="87"/>
      <c r="E507" s="1"/>
      <c r="F507" s="1"/>
    </row>
    <row r="508" spans="1:6" hidden="1">
      <c r="A508" s="12" t="s">
        <v>197</v>
      </c>
      <c r="B508" s="1">
        <v>5</v>
      </c>
      <c r="C508" s="61" t="s">
        <v>193</v>
      </c>
      <c r="D508" s="87"/>
      <c r="E508" s="1"/>
      <c r="F508" s="1"/>
    </row>
    <row r="509" spans="1:6" hidden="1">
      <c r="A509" s="12" t="s">
        <v>198</v>
      </c>
      <c r="B509" s="1">
        <v>6</v>
      </c>
      <c r="C509" s="61" t="s">
        <v>193</v>
      </c>
      <c r="D509" s="87"/>
      <c r="E509" s="1"/>
      <c r="F509" s="1"/>
    </row>
    <row r="510" spans="1:6" hidden="1">
      <c r="A510" s="12" t="s">
        <v>553</v>
      </c>
      <c r="B510" s="1">
        <v>1</v>
      </c>
      <c r="C510" s="61" t="s">
        <v>460</v>
      </c>
      <c r="D510" s="90"/>
      <c r="E510" s="91">
        <f>+B510*D510</f>
        <v>0</v>
      </c>
      <c r="F510" s="1"/>
    </row>
    <row r="511" spans="1:6" hidden="1">
      <c r="A511" s="12" t="s">
        <v>394</v>
      </c>
      <c r="B511" s="1">
        <v>2</v>
      </c>
      <c r="C511" s="79" t="s">
        <v>351</v>
      </c>
      <c r="D511" s="89"/>
      <c r="E511" s="1"/>
      <c r="F511" s="1"/>
    </row>
    <row r="512" spans="1:6" hidden="1">
      <c r="A512" s="12" t="s">
        <v>583</v>
      </c>
      <c r="B512" s="1">
        <v>4</v>
      </c>
      <c r="C512" s="61" t="s">
        <v>321</v>
      </c>
      <c r="D512" s="72"/>
      <c r="E512" s="1"/>
      <c r="F512" s="1"/>
    </row>
    <row r="513" spans="1:6" hidden="1">
      <c r="A513" s="12" t="s">
        <v>584</v>
      </c>
      <c r="B513" s="1">
        <v>10</v>
      </c>
      <c r="C513" s="61" t="s">
        <v>321</v>
      </c>
      <c r="D513" s="72"/>
      <c r="E513" s="1"/>
      <c r="F513" s="1"/>
    </row>
    <row r="514" spans="1:6" hidden="1">
      <c r="A514" s="12" t="s">
        <v>581</v>
      </c>
      <c r="B514" s="1">
        <v>7</v>
      </c>
      <c r="C514" s="61" t="s">
        <v>321</v>
      </c>
      <c r="D514" s="72"/>
      <c r="E514" s="1"/>
      <c r="F514" s="1"/>
    </row>
    <row r="515" spans="1:6" hidden="1">
      <c r="A515" s="12" t="s">
        <v>582</v>
      </c>
      <c r="B515" s="1">
        <v>2</v>
      </c>
      <c r="C515" s="61" t="s">
        <v>321</v>
      </c>
      <c r="D515" s="72"/>
      <c r="E515" s="1"/>
      <c r="F515" s="1"/>
    </row>
    <row r="516" spans="1:6" hidden="1">
      <c r="A516" s="12" t="s">
        <v>580</v>
      </c>
      <c r="B516" s="1">
        <v>3</v>
      </c>
      <c r="C516" s="61" t="s">
        <v>321</v>
      </c>
      <c r="D516" s="72"/>
      <c r="E516" s="1"/>
      <c r="F516" s="1"/>
    </row>
    <row r="517" spans="1:6" hidden="1">
      <c r="A517" s="12" t="s">
        <v>579</v>
      </c>
      <c r="B517" s="1">
        <v>4</v>
      </c>
      <c r="C517" s="61" t="s">
        <v>321</v>
      </c>
      <c r="D517" s="72"/>
      <c r="E517" s="1"/>
      <c r="F517" s="1"/>
    </row>
    <row r="518" spans="1:6" hidden="1">
      <c r="A518" s="12" t="s">
        <v>102</v>
      </c>
      <c r="B518" s="1">
        <v>1</v>
      </c>
      <c r="C518" s="61" t="s">
        <v>13</v>
      </c>
      <c r="D518" s="72"/>
      <c r="E518" s="1"/>
      <c r="F518" s="1"/>
    </row>
    <row r="519" spans="1:6" hidden="1">
      <c r="A519" s="12" t="s">
        <v>104</v>
      </c>
      <c r="B519" s="1">
        <v>5</v>
      </c>
      <c r="C519" s="61" t="s">
        <v>13</v>
      </c>
      <c r="D519" s="72"/>
      <c r="E519" s="1"/>
      <c r="F519" s="1"/>
    </row>
    <row r="520" spans="1:6" hidden="1">
      <c r="A520" s="12" t="s">
        <v>103</v>
      </c>
      <c r="B520" s="1">
        <v>1</v>
      </c>
      <c r="C520" s="61" t="s">
        <v>13</v>
      </c>
      <c r="D520" s="72"/>
      <c r="E520" s="1"/>
      <c r="F520" s="1"/>
    </row>
    <row r="521" spans="1:6" hidden="1">
      <c r="A521" s="12" t="s">
        <v>105</v>
      </c>
      <c r="B521" s="1">
        <v>1</v>
      </c>
      <c r="C521" s="61" t="s">
        <v>13</v>
      </c>
      <c r="D521" s="72"/>
      <c r="E521" s="1"/>
      <c r="F521" s="1"/>
    </row>
    <row r="522" spans="1:6" hidden="1">
      <c r="A522" s="12" t="s">
        <v>106</v>
      </c>
      <c r="B522" s="1">
        <v>2</v>
      </c>
      <c r="C522" s="61" t="s">
        <v>13</v>
      </c>
      <c r="D522" s="72"/>
      <c r="E522" s="1"/>
      <c r="F522" s="1"/>
    </row>
    <row r="523" spans="1:6" hidden="1">
      <c r="A523" s="74" t="s">
        <v>712</v>
      </c>
      <c r="B523" s="31">
        <v>5</v>
      </c>
      <c r="C523" s="65" t="s">
        <v>13</v>
      </c>
      <c r="D523" s="72"/>
      <c r="E523" s="1"/>
      <c r="F523" s="1"/>
    </row>
    <row r="524" spans="1:6" hidden="1">
      <c r="A524" s="12" t="s">
        <v>397</v>
      </c>
      <c r="B524" s="1">
        <v>13</v>
      </c>
      <c r="C524" s="61" t="s">
        <v>398</v>
      </c>
      <c r="D524" s="72"/>
      <c r="E524" s="1"/>
      <c r="F524" s="1"/>
    </row>
    <row r="525" spans="1:6" hidden="1">
      <c r="A525" s="12" t="s">
        <v>308</v>
      </c>
      <c r="B525" s="1">
        <v>1</v>
      </c>
      <c r="C525" s="61" t="s">
        <v>281</v>
      </c>
      <c r="D525" s="72"/>
      <c r="E525" s="1"/>
      <c r="F525" s="1"/>
    </row>
    <row r="526" spans="1:6" hidden="1">
      <c r="A526" s="12" t="s">
        <v>307</v>
      </c>
      <c r="B526" s="1">
        <v>7</v>
      </c>
      <c r="C526" s="61" t="s">
        <v>281</v>
      </c>
      <c r="D526" s="72"/>
      <c r="E526" s="1"/>
      <c r="F526" s="1"/>
    </row>
    <row r="527" spans="1:6" hidden="1">
      <c r="A527" s="12" t="s">
        <v>50</v>
      </c>
      <c r="B527" s="1">
        <v>36</v>
      </c>
      <c r="C527" s="61" t="s">
        <v>32</v>
      </c>
      <c r="D527" s="72"/>
      <c r="E527" s="1"/>
      <c r="F527" s="1"/>
    </row>
    <row r="528" spans="1:6" hidden="1">
      <c r="A528" s="12" t="s">
        <v>68</v>
      </c>
      <c r="B528" s="1">
        <v>15</v>
      </c>
      <c r="C528" s="61" t="s">
        <v>32</v>
      </c>
      <c r="D528" s="72"/>
      <c r="E528" s="1"/>
      <c r="F528" s="1"/>
    </row>
    <row r="529" spans="1:6" hidden="1">
      <c r="A529" s="12" t="s">
        <v>70</v>
      </c>
      <c r="B529" s="1">
        <v>14</v>
      </c>
      <c r="C529" s="61" t="s">
        <v>32</v>
      </c>
      <c r="D529" s="72"/>
      <c r="E529" s="1"/>
      <c r="F529" s="1"/>
    </row>
    <row r="530" spans="1:6" hidden="1">
      <c r="A530" s="12" t="s">
        <v>43</v>
      </c>
      <c r="B530" s="1">
        <v>14</v>
      </c>
      <c r="C530" s="61" t="s">
        <v>32</v>
      </c>
      <c r="D530" s="72"/>
      <c r="E530" s="1"/>
      <c r="F530" s="1"/>
    </row>
    <row r="531" spans="1:6" hidden="1">
      <c r="A531" s="12" t="s">
        <v>130</v>
      </c>
      <c r="B531" s="1">
        <v>10</v>
      </c>
      <c r="C531" s="61" t="s">
        <v>32</v>
      </c>
      <c r="D531" s="72"/>
      <c r="E531" s="1"/>
      <c r="F531" s="1"/>
    </row>
    <row r="532" spans="1:6" hidden="1">
      <c r="A532" s="12" t="s">
        <v>265</v>
      </c>
      <c r="B532" s="1">
        <v>6</v>
      </c>
      <c r="C532" s="61" t="s">
        <v>32</v>
      </c>
      <c r="D532" s="72"/>
      <c r="E532" s="1"/>
      <c r="F532" s="1"/>
    </row>
    <row r="533" spans="1:6" hidden="1">
      <c r="A533" s="12" t="s">
        <v>69</v>
      </c>
      <c r="B533" s="1">
        <v>1</v>
      </c>
      <c r="C533" s="61" t="s">
        <v>32</v>
      </c>
      <c r="D533" s="72"/>
      <c r="E533" s="1"/>
      <c r="F533" s="1"/>
    </row>
    <row r="534" spans="1:6" hidden="1">
      <c r="A534" s="12" t="s">
        <v>71</v>
      </c>
      <c r="B534" s="1">
        <v>1</v>
      </c>
      <c r="C534" s="61" t="s">
        <v>32</v>
      </c>
      <c r="D534" s="72"/>
      <c r="E534" s="1"/>
      <c r="F534" s="1"/>
    </row>
    <row r="535" spans="1:6" hidden="1">
      <c r="A535" s="12" t="s">
        <v>44</v>
      </c>
      <c r="B535" s="1">
        <v>8</v>
      </c>
      <c r="C535" s="61" t="s">
        <v>32</v>
      </c>
      <c r="D535" s="72"/>
      <c r="E535" s="1"/>
      <c r="F535" s="1"/>
    </row>
    <row r="536" spans="1:6" hidden="1">
      <c r="A536" s="12" t="s">
        <v>713</v>
      </c>
      <c r="B536" s="1">
        <v>3</v>
      </c>
      <c r="C536" s="61" t="s">
        <v>193</v>
      </c>
      <c r="D536" s="72"/>
      <c r="E536" s="1"/>
      <c r="F536" s="1"/>
    </row>
    <row r="537" spans="1:6" hidden="1">
      <c r="A537" s="12" t="s">
        <v>714</v>
      </c>
      <c r="B537" s="1">
        <v>11</v>
      </c>
      <c r="C537" s="61" t="s">
        <v>193</v>
      </c>
      <c r="D537" s="72"/>
      <c r="E537" s="1"/>
      <c r="F537" s="1"/>
    </row>
    <row r="538" spans="1:6" hidden="1">
      <c r="A538" s="12" t="s">
        <v>395</v>
      </c>
      <c r="B538" s="1">
        <v>2</v>
      </c>
      <c r="C538" s="61" t="s">
        <v>360</v>
      </c>
      <c r="D538" s="72"/>
      <c r="E538" s="1"/>
      <c r="F538" s="1"/>
    </row>
    <row r="539" spans="1:6" hidden="1">
      <c r="A539" s="12" t="s">
        <v>715</v>
      </c>
      <c r="B539" s="1">
        <v>1</v>
      </c>
      <c r="C539" s="61" t="s">
        <v>193</v>
      </c>
      <c r="D539" s="72"/>
      <c r="E539" s="1"/>
      <c r="F539" s="1"/>
    </row>
    <row r="540" spans="1:6" hidden="1">
      <c r="A540" s="12" t="s">
        <v>716</v>
      </c>
      <c r="B540" s="1">
        <v>3</v>
      </c>
      <c r="C540" s="61" t="s">
        <v>32</v>
      </c>
      <c r="D540" s="72"/>
      <c r="E540" s="1"/>
      <c r="F540" s="1"/>
    </row>
    <row r="541" spans="1:6" hidden="1">
      <c r="A541" s="12" t="s">
        <v>577</v>
      </c>
      <c r="B541" s="1">
        <v>8</v>
      </c>
      <c r="C541" s="61" t="s">
        <v>321</v>
      </c>
      <c r="D541" s="72"/>
      <c r="E541" s="1"/>
      <c r="F541" s="1"/>
    </row>
    <row r="542" spans="1:6" hidden="1">
      <c r="A542" s="12" t="s">
        <v>578</v>
      </c>
      <c r="B542" s="1">
        <v>2</v>
      </c>
      <c r="C542" s="61" t="s">
        <v>321</v>
      </c>
      <c r="D542" s="72"/>
      <c r="E542" s="1"/>
      <c r="F542" s="1"/>
    </row>
    <row r="543" spans="1:6" hidden="1">
      <c r="A543" s="12" t="s">
        <v>575</v>
      </c>
      <c r="B543" s="1">
        <v>2</v>
      </c>
      <c r="C543" s="61" t="s">
        <v>321</v>
      </c>
      <c r="D543" s="72"/>
      <c r="E543" s="1"/>
      <c r="F543" s="1"/>
    </row>
    <row r="544" spans="1:6" hidden="1">
      <c r="A544" s="12" t="s">
        <v>576</v>
      </c>
      <c r="B544" s="1">
        <v>1</v>
      </c>
      <c r="C544" s="61" t="s">
        <v>321</v>
      </c>
      <c r="D544" s="72"/>
      <c r="E544" s="1"/>
      <c r="F544" s="1"/>
    </row>
    <row r="545" spans="1:6" hidden="1">
      <c r="A545" s="12" t="s">
        <v>574</v>
      </c>
      <c r="B545" s="1">
        <v>14</v>
      </c>
      <c r="C545" s="61" t="s">
        <v>321</v>
      </c>
      <c r="D545" s="72"/>
      <c r="E545" s="1"/>
      <c r="F545" s="1"/>
    </row>
    <row r="546" spans="1:6" hidden="1">
      <c r="A546" s="12" t="s">
        <v>573</v>
      </c>
      <c r="B546" s="1">
        <v>5</v>
      </c>
      <c r="C546" s="61" t="s">
        <v>321</v>
      </c>
      <c r="D546" s="72"/>
      <c r="E546" s="1"/>
      <c r="F546" s="1"/>
    </row>
    <row r="547" spans="1:6" hidden="1">
      <c r="A547" s="12" t="s">
        <v>115</v>
      </c>
      <c r="B547" s="1">
        <v>5</v>
      </c>
      <c r="C547" s="61" t="s">
        <v>13</v>
      </c>
      <c r="D547" s="72"/>
      <c r="E547" s="1"/>
      <c r="F547" s="1"/>
    </row>
    <row r="548" spans="1:6" hidden="1">
      <c r="A548" s="12" t="s">
        <v>113</v>
      </c>
      <c r="B548" s="1">
        <v>1</v>
      </c>
      <c r="C548" s="61" t="s">
        <v>13</v>
      </c>
      <c r="D548" s="72"/>
      <c r="E548" s="1"/>
      <c r="F548" s="1"/>
    </row>
    <row r="549" spans="1:6" hidden="1">
      <c r="A549" s="12" t="s">
        <v>117</v>
      </c>
      <c r="B549" s="1">
        <v>4</v>
      </c>
      <c r="C549" s="61" t="s">
        <v>13</v>
      </c>
      <c r="D549" s="72"/>
      <c r="E549" s="1"/>
      <c r="F549" s="1"/>
    </row>
    <row r="550" spans="1:6" hidden="1">
      <c r="A550" s="12" t="s">
        <v>116</v>
      </c>
      <c r="B550" s="1">
        <v>3</v>
      </c>
      <c r="C550" s="61" t="s">
        <v>13</v>
      </c>
      <c r="D550" s="72"/>
      <c r="E550" s="1"/>
      <c r="F550" s="1"/>
    </row>
    <row r="551" spans="1:6" hidden="1">
      <c r="A551" s="12" t="s">
        <v>118</v>
      </c>
      <c r="B551" s="1">
        <v>4</v>
      </c>
      <c r="C551" s="61" t="s">
        <v>13</v>
      </c>
      <c r="D551" s="72"/>
      <c r="E551" s="1"/>
      <c r="F551" s="1"/>
    </row>
    <row r="552" spans="1:6" hidden="1">
      <c r="A552" s="12" t="s">
        <v>114</v>
      </c>
      <c r="B552" s="1">
        <v>3</v>
      </c>
      <c r="C552" s="61" t="s">
        <v>13</v>
      </c>
      <c r="D552" s="72"/>
      <c r="E552" s="1"/>
      <c r="F552" s="1"/>
    </row>
    <row r="553" spans="1:6" hidden="1">
      <c r="A553" s="12" t="s">
        <v>482</v>
      </c>
      <c r="B553" s="1">
        <v>1</v>
      </c>
      <c r="C553" s="61" t="s">
        <v>368</v>
      </c>
      <c r="D553" s="72"/>
      <c r="E553" s="1"/>
      <c r="F553" s="1"/>
    </row>
    <row r="554" spans="1:6" hidden="1">
      <c r="A554" s="12" t="s">
        <v>483</v>
      </c>
      <c r="B554" s="1">
        <v>4</v>
      </c>
      <c r="C554" s="61" t="s">
        <v>368</v>
      </c>
      <c r="D554" s="72"/>
      <c r="E554" s="1"/>
      <c r="F554" s="1"/>
    </row>
    <row r="555" spans="1:6" hidden="1">
      <c r="A555" s="12" t="s">
        <v>481</v>
      </c>
      <c r="B555" s="1">
        <v>1</v>
      </c>
      <c r="C555" s="61" t="s">
        <v>368</v>
      </c>
      <c r="D555" s="72"/>
      <c r="E555" s="1"/>
      <c r="F555" s="1"/>
    </row>
    <row r="556" spans="1:6" hidden="1">
      <c r="A556" s="12" t="s">
        <v>469</v>
      </c>
      <c r="B556" s="1">
        <v>10</v>
      </c>
      <c r="C556" s="61" t="s">
        <v>368</v>
      </c>
      <c r="D556" s="72"/>
      <c r="E556" s="1"/>
      <c r="F556" s="1"/>
    </row>
    <row r="557" spans="1:6" hidden="1">
      <c r="A557" s="12" t="s">
        <v>471</v>
      </c>
      <c r="B557" s="1">
        <v>2</v>
      </c>
      <c r="C557" s="61" t="s">
        <v>368</v>
      </c>
      <c r="D557" s="72"/>
      <c r="E557" s="1"/>
      <c r="F557" s="1"/>
    </row>
    <row r="558" spans="1:6" hidden="1">
      <c r="A558" s="12" t="s">
        <v>472</v>
      </c>
      <c r="B558" s="1">
        <v>1</v>
      </c>
      <c r="C558" s="61" t="s">
        <v>368</v>
      </c>
      <c r="D558" s="72"/>
      <c r="E558" s="1"/>
      <c r="F558" s="1"/>
    </row>
    <row r="559" spans="1:6" hidden="1">
      <c r="A559" s="12" t="s">
        <v>399</v>
      </c>
      <c r="B559" s="1">
        <v>3</v>
      </c>
      <c r="C559" s="61" t="s">
        <v>368</v>
      </c>
      <c r="D559" s="72"/>
      <c r="E559" s="1"/>
      <c r="F559" s="1"/>
    </row>
    <row r="560" spans="1:6" hidden="1">
      <c r="A560" s="12" t="s">
        <v>399</v>
      </c>
      <c r="B560" s="1">
        <v>6</v>
      </c>
      <c r="C560" s="61" t="s">
        <v>368</v>
      </c>
      <c r="D560" s="72"/>
      <c r="E560" s="1"/>
      <c r="F560" s="1"/>
    </row>
    <row r="561" spans="1:6" hidden="1">
      <c r="A561" s="12" t="s">
        <v>468</v>
      </c>
      <c r="B561" s="1">
        <v>1</v>
      </c>
      <c r="C561" s="61" t="s">
        <v>368</v>
      </c>
      <c r="D561" s="72"/>
      <c r="E561" s="1"/>
      <c r="F561" s="1"/>
    </row>
    <row r="562" spans="1:6" hidden="1">
      <c r="A562" s="12" t="s">
        <v>400</v>
      </c>
      <c r="B562" s="1">
        <v>3</v>
      </c>
      <c r="C562" s="61" t="s">
        <v>368</v>
      </c>
      <c r="D562" s="72"/>
      <c r="E562" s="1"/>
      <c r="F562" s="1"/>
    </row>
    <row r="563" spans="1:6" hidden="1">
      <c r="A563" s="12" t="s">
        <v>400</v>
      </c>
      <c r="B563" s="1">
        <v>7</v>
      </c>
      <c r="C563" s="61" t="s">
        <v>368</v>
      </c>
      <c r="D563" s="72"/>
      <c r="E563" s="1"/>
      <c r="F563" s="1"/>
    </row>
    <row r="564" spans="1:6" hidden="1">
      <c r="A564" s="12" t="s">
        <v>467</v>
      </c>
      <c r="B564" s="1">
        <v>4</v>
      </c>
      <c r="C564" s="61" t="s">
        <v>368</v>
      </c>
      <c r="D564" s="72"/>
      <c r="E564" s="1"/>
      <c r="F564" s="1"/>
    </row>
    <row r="565" spans="1:6" hidden="1">
      <c r="A565" s="12" t="s">
        <v>466</v>
      </c>
      <c r="B565" s="1">
        <v>1</v>
      </c>
      <c r="C565" s="61" t="s">
        <v>368</v>
      </c>
      <c r="D565" s="72"/>
      <c r="E565" s="1"/>
      <c r="F565" s="1"/>
    </row>
    <row r="566" spans="1:6" hidden="1">
      <c r="A566" s="12" t="s">
        <v>470</v>
      </c>
      <c r="B566" s="1">
        <v>10</v>
      </c>
      <c r="C566" s="61" t="s">
        <v>368</v>
      </c>
      <c r="D566" s="72"/>
      <c r="E566" s="1"/>
      <c r="F566" s="1"/>
    </row>
    <row r="567" spans="1:6" hidden="1">
      <c r="A567" s="12" t="s">
        <v>474</v>
      </c>
      <c r="B567" s="1">
        <v>1</v>
      </c>
      <c r="C567" s="61" t="s">
        <v>368</v>
      </c>
      <c r="D567" s="72"/>
      <c r="E567" s="1"/>
      <c r="F567" s="1"/>
    </row>
    <row r="568" spans="1:6" hidden="1">
      <c r="A568" s="12" t="s">
        <v>473</v>
      </c>
      <c r="B568" s="1">
        <v>6</v>
      </c>
      <c r="C568" s="61" t="s">
        <v>368</v>
      </c>
      <c r="D568" s="72"/>
      <c r="E568" s="1"/>
      <c r="F568" s="1"/>
    </row>
    <row r="569" spans="1:6" hidden="1">
      <c r="A569" s="12" t="s">
        <v>475</v>
      </c>
      <c r="B569" s="1">
        <v>1</v>
      </c>
      <c r="C569" s="61" t="s">
        <v>368</v>
      </c>
      <c r="D569" s="72"/>
      <c r="E569" s="1"/>
      <c r="F569" s="1"/>
    </row>
    <row r="570" spans="1:6" hidden="1">
      <c r="A570" s="12" t="s">
        <v>490</v>
      </c>
      <c r="B570" s="1">
        <v>1</v>
      </c>
      <c r="C570" s="79" t="s">
        <v>448</v>
      </c>
      <c r="D570" s="72"/>
      <c r="E570" s="1"/>
      <c r="F570" s="1"/>
    </row>
    <row r="571" spans="1:6" hidden="1">
      <c r="A571" s="12" t="s">
        <v>491</v>
      </c>
      <c r="B571" s="1">
        <v>3</v>
      </c>
      <c r="C571" s="79" t="s">
        <v>448</v>
      </c>
      <c r="D571" s="72"/>
      <c r="E571" s="1"/>
      <c r="F571" s="1"/>
    </row>
    <row r="572" spans="1:6" hidden="1">
      <c r="A572" s="12" t="s">
        <v>295</v>
      </c>
      <c r="B572" s="1">
        <v>13</v>
      </c>
      <c r="C572" s="61" t="s">
        <v>283</v>
      </c>
      <c r="D572" s="72"/>
      <c r="E572" s="1"/>
      <c r="F572" s="1"/>
    </row>
    <row r="573" spans="1:6" hidden="1">
      <c r="A573" s="12" t="s">
        <v>242</v>
      </c>
      <c r="B573" s="1">
        <v>21</v>
      </c>
      <c r="C573" s="61" t="s">
        <v>32</v>
      </c>
      <c r="D573" s="72"/>
      <c r="E573" s="1"/>
      <c r="F573" s="1"/>
    </row>
    <row r="574" spans="1:6" hidden="1">
      <c r="A574" s="12" t="s">
        <v>239</v>
      </c>
      <c r="B574" s="1">
        <v>6</v>
      </c>
      <c r="C574" s="61" t="s">
        <v>32</v>
      </c>
      <c r="D574" s="72"/>
      <c r="E574" s="1"/>
      <c r="F574" s="1"/>
    </row>
    <row r="575" spans="1:6" hidden="1">
      <c r="A575" s="12" t="s">
        <v>245</v>
      </c>
      <c r="B575" s="1">
        <v>1</v>
      </c>
      <c r="C575" s="61" t="s">
        <v>32</v>
      </c>
      <c r="D575" s="72"/>
      <c r="E575" s="1"/>
      <c r="F575" s="1"/>
    </row>
    <row r="576" spans="1:6" hidden="1">
      <c r="A576" s="12" t="s">
        <v>243</v>
      </c>
      <c r="B576" s="1">
        <v>4</v>
      </c>
      <c r="C576" s="61" t="s">
        <v>32</v>
      </c>
      <c r="D576" s="72"/>
      <c r="E576" s="1"/>
      <c r="F576" s="1"/>
    </row>
    <row r="577" spans="1:6" hidden="1">
      <c r="A577" s="12" t="s">
        <v>247</v>
      </c>
      <c r="B577" s="1">
        <v>2</v>
      </c>
      <c r="C577" s="61" t="s">
        <v>32</v>
      </c>
      <c r="D577" s="72"/>
      <c r="E577" s="1"/>
      <c r="F577" s="1"/>
    </row>
    <row r="578" spans="1:6" hidden="1">
      <c r="A578" s="12" t="s">
        <v>241</v>
      </c>
      <c r="B578" s="1">
        <v>13</v>
      </c>
      <c r="C578" s="61" t="s">
        <v>32</v>
      </c>
      <c r="D578" s="72"/>
      <c r="E578" s="1"/>
      <c r="F578" s="1"/>
    </row>
    <row r="579" spans="1:6" hidden="1">
      <c r="A579" s="12" t="s">
        <v>299</v>
      </c>
      <c r="B579" s="1">
        <v>24</v>
      </c>
      <c r="C579" s="61" t="s">
        <v>281</v>
      </c>
      <c r="D579" s="72"/>
      <c r="E579" s="1"/>
      <c r="F579" s="1"/>
    </row>
    <row r="580" spans="1:6" hidden="1">
      <c r="A580" s="12" t="s">
        <v>300</v>
      </c>
      <c r="B580" s="1">
        <v>3</v>
      </c>
      <c r="C580" s="61" t="s">
        <v>281</v>
      </c>
      <c r="D580" s="72"/>
      <c r="E580" s="1"/>
      <c r="F580" s="1"/>
    </row>
    <row r="581" spans="1:6" hidden="1">
      <c r="A581" s="12" t="s">
        <v>244</v>
      </c>
      <c r="B581" s="1">
        <v>1</v>
      </c>
      <c r="C581" s="61" t="s">
        <v>32</v>
      </c>
      <c r="D581" s="72"/>
      <c r="E581" s="1"/>
      <c r="F581" s="1"/>
    </row>
    <row r="582" spans="1:6" hidden="1">
      <c r="A582" s="12" t="s">
        <v>240</v>
      </c>
      <c r="B582" s="1">
        <v>9</v>
      </c>
      <c r="C582" s="61" t="s">
        <v>32</v>
      </c>
      <c r="D582" s="72"/>
      <c r="E582" s="1"/>
      <c r="F582" s="1"/>
    </row>
    <row r="583" spans="1:6" hidden="1">
      <c r="A583" s="12" t="s">
        <v>246</v>
      </c>
      <c r="B583" s="1">
        <v>1</v>
      </c>
      <c r="C583" s="61" t="s">
        <v>32</v>
      </c>
      <c r="D583" s="72"/>
      <c r="E583" s="1"/>
      <c r="F583" s="1"/>
    </row>
    <row r="584" spans="1:6" hidden="1">
      <c r="A584" s="12" t="s">
        <v>248</v>
      </c>
      <c r="B584" s="1">
        <v>2</v>
      </c>
      <c r="C584" s="61" t="s">
        <v>32</v>
      </c>
      <c r="D584" s="72"/>
      <c r="E584" s="1"/>
      <c r="F584" s="1"/>
    </row>
    <row r="585" spans="1:6" hidden="1">
      <c r="A585" s="12" t="s">
        <v>235</v>
      </c>
      <c r="B585" s="1">
        <v>10</v>
      </c>
      <c r="C585" s="61" t="s">
        <v>32</v>
      </c>
      <c r="D585" s="72"/>
      <c r="E585" s="1"/>
      <c r="F585" s="1"/>
    </row>
    <row r="586" spans="1:6" hidden="1">
      <c r="A586" s="12" t="s">
        <v>231</v>
      </c>
      <c r="B586" s="1">
        <v>31</v>
      </c>
      <c r="C586" s="61" t="s">
        <v>32</v>
      </c>
      <c r="D586" s="72"/>
      <c r="E586" s="1"/>
      <c r="F586" s="1"/>
    </row>
    <row r="587" spans="1:6" hidden="1">
      <c r="A587" s="12" t="s">
        <v>238</v>
      </c>
      <c r="B587" s="1">
        <v>8</v>
      </c>
      <c r="C587" s="61" t="s">
        <v>32</v>
      </c>
      <c r="D587" s="72"/>
      <c r="E587" s="1"/>
      <c r="F587" s="1"/>
    </row>
    <row r="588" spans="1:6" hidden="1">
      <c r="A588" s="12" t="s">
        <v>236</v>
      </c>
      <c r="B588" s="1">
        <v>1</v>
      </c>
      <c r="C588" s="61" t="s">
        <v>32</v>
      </c>
      <c r="D588" s="72"/>
      <c r="E588" s="1"/>
      <c r="F588" s="1"/>
    </row>
    <row r="589" spans="1:6" hidden="1">
      <c r="A589" s="12" t="s">
        <v>237</v>
      </c>
      <c r="B589" s="1">
        <v>1</v>
      </c>
      <c r="C589" s="61" t="s">
        <v>32</v>
      </c>
      <c r="D589" s="72"/>
      <c r="E589" s="1"/>
      <c r="F589" s="1"/>
    </row>
    <row r="590" spans="1:6" hidden="1">
      <c r="A590" s="12" t="s">
        <v>232</v>
      </c>
      <c r="B590" s="1">
        <v>14</v>
      </c>
      <c r="C590" s="61" t="s">
        <v>32</v>
      </c>
      <c r="D590" s="72"/>
      <c r="E590" s="1"/>
      <c r="F590" s="1"/>
    </row>
    <row r="591" spans="1:6" hidden="1">
      <c r="A591" s="12" t="s">
        <v>494</v>
      </c>
      <c r="B591" s="1">
        <v>1</v>
      </c>
      <c r="C591" s="79" t="s">
        <v>448</v>
      </c>
      <c r="D591" s="72"/>
      <c r="E591" s="1"/>
      <c r="F591" s="1"/>
    </row>
    <row r="592" spans="1:6" hidden="1">
      <c r="A592" s="12" t="s">
        <v>312</v>
      </c>
      <c r="B592" s="1">
        <v>21</v>
      </c>
      <c r="C592" s="61" t="s">
        <v>123</v>
      </c>
      <c r="D592" s="72"/>
      <c r="E592" s="1"/>
      <c r="F592" s="1"/>
    </row>
    <row r="593" spans="1:6" hidden="1">
      <c r="A593" s="12" t="s">
        <v>316</v>
      </c>
      <c r="B593" s="1">
        <v>13</v>
      </c>
      <c r="C593" s="61" t="s">
        <v>311</v>
      </c>
      <c r="D593" s="72"/>
      <c r="E593" s="1"/>
      <c r="F593" s="1"/>
    </row>
    <row r="594" spans="1:6" hidden="1">
      <c r="A594" s="12" t="s">
        <v>318</v>
      </c>
      <c r="B594" s="1">
        <v>4</v>
      </c>
      <c r="C594" s="61" t="s">
        <v>311</v>
      </c>
      <c r="D594" s="72"/>
      <c r="E594" s="1"/>
      <c r="F594" s="1"/>
    </row>
    <row r="595" spans="1:6" hidden="1">
      <c r="A595" s="12" t="s">
        <v>309</v>
      </c>
      <c r="B595" s="1">
        <v>7</v>
      </c>
      <c r="C595" s="61" t="s">
        <v>123</v>
      </c>
      <c r="D595" s="72"/>
      <c r="E595" s="1"/>
      <c r="F595" s="1"/>
    </row>
    <row r="596" spans="1:6" hidden="1">
      <c r="A596" s="12" t="s">
        <v>314</v>
      </c>
      <c r="B596" s="1">
        <v>5</v>
      </c>
      <c r="C596" s="61" t="s">
        <v>311</v>
      </c>
      <c r="D596" s="72"/>
      <c r="E596" s="1"/>
      <c r="F596" s="1"/>
    </row>
    <row r="597" spans="1:6" hidden="1">
      <c r="A597" s="12" t="s">
        <v>315</v>
      </c>
      <c r="B597" s="1">
        <v>5</v>
      </c>
      <c r="C597" s="61" t="s">
        <v>311</v>
      </c>
      <c r="D597" s="72"/>
      <c r="E597" s="1"/>
      <c r="F597" s="1"/>
    </row>
    <row r="598" spans="1:6" hidden="1">
      <c r="A598" s="12" t="s">
        <v>498</v>
      </c>
      <c r="B598" s="1">
        <v>7</v>
      </c>
      <c r="C598" s="79" t="s">
        <v>497</v>
      </c>
      <c r="D598" s="72"/>
      <c r="E598" s="1"/>
      <c r="F598" s="1"/>
    </row>
    <row r="599" spans="1:6" hidden="1">
      <c r="A599" s="12" t="s">
        <v>499</v>
      </c>
      <c r="B599" s="1">
        <v>8</v>
      </c>
      <c r="C599" s="79" t="s">
        <v>497</v>
      </c>
      <c r="D599" s="72"/>
      <c r="E599" s="1"/>
      <c r="F599" s="1"/>
    </row>
    <row r="600" spans="1:6" hidden="1">
      <c r="A600" s="12" t="s">
        <v>500</v>
      </c>
      <c r="B600" s="1">
        <v>2</v>
      </c>
      <c r="C600" s="79" t="s">
        <v>497</v>
      </c>
      <c r="D600" s="72"/>
      <c r="E600" s="1"/>
      <c r="F600" s="1"/>
    </row>
    <row r="601" spans="1:6" hidden="1">
      <c r="A601" s="12" t="s">
        <v>496</v>
      </c>
      <c r="B601" s="1">
        <v>2</v>
      </c>
      <c r="C601" s="79" t="s">
        <v>497</v>
      </c>
      <c r="D601" s="72"/>
      <c r="E601" s="1"/>
      <c r="F601" s="1"/>
    </row>
    <row r="602" spans="1:6" hidden="1">
      <c r="A602" s="12" t="s">
        <v>501</v>
      </c>
      <c r="B602" s="1">
        <v>1</v>
      </c>
      <c r="C602" s="79" t="s">
        <v>497</v>
      </c>
      <c r="D602" s="72"/>
      <c r="E602" s="1"/>
      <c r="F602" s="1"/>
    </row>
    <row r="603" spans="1:6" hidden="1">
      <c r="A603" s="12" t="s">
        <v>492</v>
      </c>
      <c r="B603" s="1">
        <v>3</v>
      </c>
      <c r="C603" s="79" t="s">
        <v>448</v>
      </c>
      <c r="D603" s="72"/>
      <c r="E603" s="1"/>
      <c r="F603" s="1"/>
    </row>
    <row r="604" spans="1:6" hidden="1">
      <c r="A604" s="12" t="s">
        <v>234</v>
      </c>
      <c r="B604" s="1">
        <v>1</v>
      </c>
      <c r="C604" s="61" t="s">
        <v>32</v>
      </c>
      <c r="D604" s="72"/>
      <c r="E604" s="1"/>
      <c r="F604" s="1"/>
    </row>
    <row r="605" spans="1:6" hidden="1">
      <c r="A605" s="12" t="s">
        <v>313</v>
      </c>
      <c r="B605" s="1">
        <v>29</v>
      </c>
      <c r="C605" s="61" t="s">
        <v>311</v>
      </c>
      <c r="D605" s="72"/>
      <c r="E605" s="1"/>
      <c r="F605" s="1"/>
    </row>
    <row r="606" spans="1:6" hidden="1">
      <c r="A606" s="12" t="s">
        <v>317</v>
      </c>
      <c r="B606" s="1">
        <v>64</v>
      </c>
      <c r="C606" s="61" t="s">
        <v>311</v>
      </c>
      <c r="D606" s="72"/>
      <c r="E606" s="1"/>
      <c r="F606" s="1"/>
    </row>
    <row r="607" spans="1:6" hidden="1">
      <c r="A607" s="12" t="s">
        <v>310</v>
      </c>
      <c r="B607" s="1">
        <v>9</v>
      </c>
      <c r="C607" s="61" t="s">
        <v>311</v>
      </c>
      <c r="D607" s="72"/>
      <c r="E607" s="1"/>
      <c r="F607" s="1"/>
    </row>
    <row r="608" spans="1:6" hidden="1">
      <c r="A608" s="12" t="s">
        <v>319</v>
      </c>
      <c r="B608" s="1">
        <v>3</v>
      </c>
      <c r="C608" s="61" t="s">
        <v>311</v>
      </c>
      <c r="D608" s="72"/>
      <c r="E608" s="1"/>
      <c r="F608" s="1"/>
    </row>
    <row r="609" spans="1:6" hidden="1">
      <c r="A609" s="12" t="s">
        <v>495</v>
      </c>
      <c r="B609" s="1">
        <v>2</v>
      </c>
      <c r="C609" s="79" t="s">
        <v>448</v>
      </c>
      <c r="D609" s="72"/>
      <c r="E609" s="1"/>
      <c r="F609" s="1"/>
    </row>
    <row r="610" spans="1:6" ht="15.75" hidden="1" thickBot="1">
      <c r="A610" s="15" t="s">
        <v>401</v>
      </c>
      <c r="B610" s="5">
        <v>1</v>
      </c>
      <c r="C610" s="63"/>
      <c r="D610" s="72"/>
      <c r="E610" s="1"/>
      <c r="F610" s="1"/>
    </row>
  </sheetData>
  <autoFilter ref="A1:F610" xr:uid="{42653EC1-DD50-47D4-BD37-786391F723A3}">
    <filterColumn colId="0">
      <filters>
        <filter val="Brida ciega PVC presion SCH-80 3&quot;"/>
        <filter val="Brida loca PVC presion SCH-40 1&quot;"/>
        <filter val="Brida loca PVC presion SCH-40 1-1/2&quot;"/>
        <filter val="Brida loca PVC presion SCH-40 2&quot;"/>
        <filter val="Brida loca PVC presion SCH-40 2-1/2&quot;"/>
        <filter val="Brida loca PVC presion SCH-40 3&quot;"/>
        <filter val="Brida loca PVC presion SCH-40 4&quot;"/>
        <filter val="Brida loca PVC presion SCH-40 6&quot;"/>
        <filter val="Brida loca PVC presion SCH-40 8&quot;"/>
        <filter val="Brida loca PVC presion SCH-80 1-1/2&quot;"/>
        <filter val="Brida loca PVC presion SCH-80 2&quot;"/>
        <filter val="Brida loca PVC presion SCH-80 2-1/2&quot;"/>
        <filter val="Brida loca PVC presion SCH-80 4&quot;"/>
        <filter val="Brida loca PVC presion SCH-80 6&quot;"/>
      </filters>
    </filterColumn>
    <filterColumn colId="2">
      <filters>
        <filter val="PVC presion"/>
        <filter val="PVC sanitario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37E30-D168-4C52-A76E-D84D001BFD75}">
  <sheetPr codeName="Hoja3" filterMode="1"/>
  <dimension ref="A1:G629"/>
  <sheetViews>
    <sheetView zoomScaleNormal="100" workbookViewId="0"/>
  </sheetViews>
  <sheetFormatPr defaultColWidth="11.42578125" defaultRowHeight="15"/>
  <cols>
    <col min="1" max="1" width="57.85546875" bestFit="1" customWidth="1"/>
    <col min="3" max="3" width="19.42578125" customWidth="1"/>
    <col min="4" max="4" width="17" style="47" bestFit="1" customWidth="1"/>
    <col min="5" max="5" width="13" bestFit="1" customWidth="1"/>
    <col min="6" max="6" width="27" customWidth="1"/>
    <col min="7" max="7" width="14.5703125" bestFit="1" customWidth="1"/>
  </cols>
  <sheetData>
    <row r="1" spans="1:6" ht="15.75" thickBot="1">
      <c r="A1" s="7" t="s">
        <v>2</v>
      </c>
      <c r="B1" s="7" t="s">
        <v>3</v>
      </c>
      <c r="C1" s="59" t="s">
        <v>4</v>
      </c>
      <c r="D1" s="70" t="s">
        <v>9</v>
      </c>
      <c r="E1" s="71" t="s">
        <v>10</v>
      </c>
      <c r="F1" s="71" t="s">
        <v>11</v>
      </c>
    </row>
    <row r="2" spans="1:6" hidden="1">
      <c r="A2" s="2" t="s">
        <v>350</v>
      </c>
      <c r="B2" s="2">
        <v>4</v>
      </c>
      <c r="C2" s="82" t="s">
        <v>351</v>
      </c>
      <c r="D2" s="72"/>
      <c r="E2" s="1"/>
      <c r="F2" s="1"/>
    </row>
    <row r="3" spans="1:6" hidden="1">
      <c r="A3" s="1" t="s">
        <v>352</v>
      </c>
      <c r="B3" s="1">
        <v>13</v>
      </c>
      <c r="C3" s="79" t="s">
        <v>351</v>
      </c>
      <c r="D3" s="72"/>
      <c r="E3" s="1"/>
      <c r="F3" s="1"/>
    </row>
    <row r="4" spans="1:6" hidden="1">
      <c r="A4" s="1" t="s">
        <v>353</v>
      </c>
      <c r="B4" s="1">
        <v>8</v>
      </c>
      <c r="C4" s="79" t="s">
        <v>351</v>
      </c>
      <c r="D4" s="72"/>
      <c r="E4" s="1"/>
      <c r="F4" s="1"/>
    </row>
    <row r="5" spans="1:6" hidden="1">
      <c r="A5" s="1" t="s">
        <v>80</v>
      </c>
      <c r="B5" s="1">
        <v>6</v>
      </c>
      <c r="C5" s="61" t="s">
        <v>13</v>
      </c>
      <c r="D5" s="72"/>
      <c r="E5" s="1"/>
      <c r="F5" s="1"/>
    </row>
    <row r="6" spans="1:6" hidden="1">
      <c r="A6" s="1" t="s">
        <v>100</v>
      </c>
      <c r="B6" s="1">
        <v>1</v>
      </c>
      <c r="C6" s="61" t="s">
        <v>13</v>
      </c>
      <c r="D6" s="72"/>
      <c r="E6" s="1"/>
      <c r="F6" s="1"/>
    </row>
    <row r="7" spans="1:6" hidden="1">
      <c r="A7" s="78" t="s">
        <v>446</v>
      </c>
      <c r="B7" s="78">
        <v>460</v>
      </c>
      <c r="C7" s="79"/>
      <c r="D7" s="80"/>
      <c r="E7" s="78"/>
      <c r="F7" s="78"/>
    </row>
    <row r="8" spans="1:6" hidden="1">
      <c r="A8" s="78" t="s">
        <v>444</v>
      </c>
      <c r="B8" s="78">
        <v>244</v>
      </c>
      <c r="C8" s="79"/>
      <c r="D8" s="80"/>
      <c r="E8" s="78"/>
      <c r="F8" s="78"/>
    </row>
    <row r="9" spans="1:6" hidden="1">
      <c r="A9" s="78" t="s">
        <v>445</v>
      </c>
      <c r="B9" s="78">
        <v>57</v>
      </c>
      <c r="C9" s="79"/>
      <c r="D9" s="80"/>
      <c r="E9" s="78"/>
      <c r="F9" s="78"/>
    </row>
    <row r="10" spans="1:6" hidden="1">
      <c r="A10" s="1" t="s">
        <v>540</v>
      </c>
      <c r="B10" s="1">
        <v>1</v>
      </c>
      <c r="C10" s="79" t="s">
        <v>448</v>
      </c>
      <c r="D10" s="72"/>
      <c r="E10" s="1"/>
      <c r="F10" s="1"/>
    </row>
    <row r="11" spans="1:6" hidden="1">
      <c r="A11" s="9" t="s">
        <v>532</v>
      </c>
      <c r="B11" s="9">
        <v>63</v>
      </c>
      <c r="C11" s="62" t="s">
        <v>321</v>
      </c>
      <c r="D11" s="72"/>
      <c r="E11" s="1"/>
      <c r="F11" s="1"/>
    </row>
    <row r="12" spans="1:6" hidden="1">
      <c r="A12" s="2" t="s">
        <v>533</v>
      </c>
      <c r="B12" s="2">
        <v>7</v>
      </c>
      <c r="C12" s="60" t="s">
        <v>321</v>
      </c>
      <c r="D12" s="72"/>
      <c r="E12" s="1"/>
      <c r="F12" s="1"/>
    </row>
    <row r="13" spans="1:6" hidden="1">
      <c r="A13" s="78" t="s">
        <v>640</v>
      </c>
      <c r="B13" s="1">
        <v>1</v>
      </c>
      <c r="C13" s="61" t="s">
        <v>355</v>
      </c>
      <c r="D13" s="88"/>
      <c r="E13" s="1"/>
      <c r="F13" s="1"/>
    </row>
    <row r="14" spans="1:6" hidden="1">
      <c r="A14" s="1" t="s">
        <v>462</v>
      </c>
      <c r="B14" s="1">
        <v>1</v>
      </c>
      <c r="C14" s="61" t="s">
        <v>460</v>
      </c>
      <c r="D14" s="90">
        <f>71410*0.8</f>
        <v>57128</v>
      </c>
      <c r="E14" s="91">
        <f>+B14*D14</f>
        <v>57128</v>
      </c>
      <c r="F14" s="1"/>
    </row>
    <row r="15" spans="1:6" hidden="1">
      <c r="A15" s="1" t="s">
        <v>23</v>
      </c>
      <c r="B15" s="1">
        <v>1</v>
      </c>
      <c r="C15" s="61" t="s">
        <v>13</v>
      </c>
      <c r="D15" s="90"/>
      <c r="E15" s="1"/>
      <c r="F15" s="1"/>
    </row>
    <row r="16" spans="1:6" hidden="1">
      <c r="A16" s="96" t="s">
        <v>257</v>
      </c>
      <c r="B16" s="1">
        <v>1</v>
      </c>
      <c r="C16" s="61" t="s">
        <v>32</v>
      </c>
      <c r="D16" s="90">
        <f>61760*0.8</f>
        <v>49408</v>
      </c>
      <c r="E16" s="91">
        <f>+B16*D16</f>
        <v>49408</v>
      </c>
      <c r="F16" s="1">
        <v>3</v>
      </c>
    </row>
    <row r="17" spans="1:7" hidden="1">
      <c r="A17" s="9" t="s">
        <v>459</v>
      </c>
      <c r="B17" s="9">
        <v>6</v>
      </c>
      <c r="C17" s="62" t="s">
        <v>460</v>
      </c>
      <c r="D17" s="90">
        <f>71410*0.8</f>
        <v>57128</v>
      </c>
      <c r="E17" s="91">
        <f>+B17*D17</f>
        <v>342768</v>
      </c>
      <c r="F17" s="1"/>
    </row>
    <row r="18" spans="1:7" hidden="1">
      <c r="A18" s="2" t="s">
        <v>356</v>
      </c>
      <c r="B18" s="2">
        <v>4</v>
      </c>
      <c r="C18" s="82" t="s">
        <v>351</v>
      </c>
      <c r="D18" s="90"/>
      <c r="E18" s="1"/>
      <c r="F18" s="1"/>
    </row>
    <row r="19" spans="1:7" hidden="1">
      <c r="A19" s="1" t="s">
        <v>455</v>
      </c>
      <c r="B19" s="1">
        <v>4</v>
      </c>
      <c r="C19" s="79" t="s">
        <v>448</v>
      </c>
      <c r="D19" s="90"/>
      <c r="E19" s="1"/>
      <c r="F19" s="1"/>
    </row>
    <row r="20" spans="1:7" hidden="1">
      <c r="A20" s="1" t="s">
        <v>453</v>
      </c>
      <c r="B20" s="1">
        <v>26</v>
      </c>
      <c r="C20" s="79" t="s">
        <v>448</v>
      </c>
      <c r="D20" s="90"/>
      <c r="E20" s="1"/>
      <c r="F20" s="1"/>
    </row>
    <row r="21" spans="1:7" hidden="1">
      <c r="A21" s="9" t="s">
        <v>454</v>
      </c>
      <c r="B21" s="9">
        <v>4</v>
      </c>
      <c r="C21" s="84" t="s">
        <v>448</v>
      </c>
      <c r="D21" s="90"/>
      <c r="E21" s="1"/>
      <c r="F21" s="1"/>
    </row>
    <row r="22" spans="1:7" hidden="1">
      <c r="A22" s="2" t="s">
        <v>452</v>
      </c>
      <c r="B22" s="2">
        <v>4</v>
      </c>
      <c r="C22" s="82" t="s">
        <v>448</v>
      </c>
      <c r="D22" s="90"/>
      <c r="E22" s="1"/>
      <c r="F22" s="1"/>
    </row>
    <row r="23" spans="1:7" hidden="1">
      <c r="A23" s="1" t="s">
        <v>451</v>
      </c>
      <c r="B23" s="1">
        <v>15</v>
      </c>
      <c r="C23" s="79" t="s">
        <v>448</v>
      </c>
      <c r="D23" s="90"/>
      <c r="E23" s="1"/>
      <c r="F23" s="1"/>
    </row>
    <row r="24" spans="1:7" hidden="1">
      <c r="A24" s="9" t="s">
        <v>450</v>
      </c>
      <c r="B24" s="9">
        <v>7</v>
      </c>
      <c r="C24" s="84" t="s">
        <v>448</v>
      </c>
      <c r="D24" s="90"/>
      <c r="E24" s="1"/>
      <c r="F24" s="1"/>
    </row>
    <row r="25" spans="1:7" hidden="1">
      <c r="A25" s="2" t="s">
        <v>449</v>
      </c>
      <c r="B25" s="2">
        <v>1</v>
      </c>
      <c r="C25" s="82" t="s">
        <v>448</v>
      </c>
      <c r="D25" s="90"/>
      <c r="E25" s="1"/>
      <c r="F25" s="1"/>
    </row>
    <row r="26" spans="1:7" hidden="1">
      <c r="A26" s="1" t="s">
        <v>447</v>
      </c>
      <c r="B26" s="1">
        <v>2</v>
      </c>
      <c r="C26" s="79" t="s">
        <v>448</v>
      </c>
      <c r="D26" s="90"/>
      <c r="E26" s="1"/>
      <c r="F26" s="1"/>
    </row>
    <row r="27" spans="1:7" hidden="1">
      <c r="A27" s="96" t="s">
        <v>641</v>
      </c>
      <c r="B27" s="1">
        <v>3</v>
      </c>
      <c r="C27" s="61" t="s">
        <v>32</v>
      </c>
      <c r="D27" s="90">
        <f>9050*0.8</f>
        <v>7240</v>
      </c>
      <c r="E27" s="91">
        <f t="shared" ref="E27:E42" si="0">+B27*D27</f>
        <v>21720</v>
      </c>
      <c r="F27" s="1" t="s">
        <v>642</v>
      </c>
      <c r="G27" t="s">
        <v>643</v>
      </c>
    </row>
    <row r="28" spans="1:7" hidden="1">
      <c r="A28" s="96" t="s">
        <v>644</v>
      </c>
      <c r="B28" s="1">
        <v>2</v>
      </c>
      <c r="C28" s="61" t="s">
        <v>32</v>
      </c>
      <c r="D28" s="90">
        <f>13230*0.8</f>
        <v>10584</v>
      </c>
      <c r="E28" s="91">
        <f t="shared" si="0"/>
        <v>21168</v>
      </c>
      <c r="F28" s="1">
        <v>3</v>
      </c>
      <c r="G28" t="s">
        <v>645</v>
      </c>
    </row>
    <row r="29" spans="1:7" hidden="1">
      <c r="A29" s="96" t="s">
        <v>646</v>
      </c>
      <c r="B29" s="1">
        <v>5</v>
      </c>
      <c r="C29" s="61" t="s">
        <v>32</v>
      </c>
      <c r="D29" s="90">
        <f>14640*0.8</f>
        <v>11712</v>
      </c>
      <c r="E29" s="91">
        <f t="shared" si="0"/>
        <v>58560</v>
      </c>
      <c r="F29" s="1">
        <v>3</v>
      </c>
      <c r="G29" t="s">
        <v>647</v>
      </c>
    </row>
    <row r="30" spans="1:7" hidden="1">
      <c r="A30" s="97" t="s">
        <v>648</v>
      </c>
      <c r="B30" s="9"/>
      <c r="C30" s="62"/>
      <c r="D30" s="90"/>
      <c r="E30" s="91"/>
      <c r="F30" s="1">
        <v>6</v>
      </c>
      <c r="G30" t="s">
        <v>717</v>
      </c>
    </row>
    <row r="31" spans="1:7" hidden="1">
      <c r="A31" s="97" t="s">
        <v>648</v>
      </c>
      <c r="B31" s="9">
        <v>10</v>
      </c>
      <c r="C31" s="62" t="s">
        <v>32</v>
      </c>
      <c r="D31" s="90"/>
      <c r="E31" s="91">
        <f t="shared" si="0"/>
        <v>0</v>
      </c>
      <c r="F31" s="1">
        <v>12</v>
      </c>
      <c r="G31" t="s">
        <v>643</v>
      </c>
    </row>
    <row r="32" spans="1:7" hidden="1">
      <c r="A32" s="98" t="s">
        <v>649</v>
      </c>
      <c r="B32" s="2">
        <v>1</v>
      </c>
      <c r="C32" s="60" t="s">
        <v>32</v>
      </c>
      <c r="D32" s="90">
        <f>30040*0.8</f>
        <v>24032</v>
      </c>
      <c r="E32" s="91">
        <f t="shared" si="0"/>
        <v>24032</v>
      </c>
      <c r="F32" s="1" t="s">
        <v>642</v>
      </c>
    </row>
    <row r="33" spans="1:7" hidden="1">
      <c r="A33" s="97" t="s">
        <v>650</v>
      </c>
      <c r="B33" s="9">
        <v>2</v>
      </c>
      <c r="C33" s="62" t="s">
        <v>32</v>
      </c>
      <c r="D33" s="90">
        <f>44060*0.8</f>
        <v>35248</v>
      </c>
      <c r="E33" s="91">
        <f t="shared" si="0"/>
        <v>70496</v>
      </c>
      <c r="F33" s="1">
        <v>2</v>
      </c>
      <c r="G33" t="s">
        <v>718</v>
      </c>
    </row>
    <row r="34" spans="1:7" hidden="1">
      <c r="A34" s="98" t="s">
        <v>651</v>
      </c>
      <c r="B34" s="2">
        <v>3</v>
      </c>
      <c r="C34" s="60" t="s">
        <v>32</v>
      </c>
      <c r="D34" s="90">
        <f>70080*0.8</f>
        <v>56064</v>
      </c>
      <c r="E34" s="91">
        <f t="shared" si="0"/>
        <v>168192</v>
      </c>
      <c r="F34" s="1" t="s">
        <v>642</v>
      </c>
    </row>
    <row r="35" spans="1:7" hidden="1">
      <c r="A35" s="96" t="s">
        <v>652</v>
      </c>
      <c r="B35" s="1">
        <v>2</v>
      </c>
      <c r="C35" s="61" t="s">
        <v>32</v>
      </c>
      <c r="D35" s="90">
        <f>179950*0.8</f>
        <v>143960</v>
      </c>
      <c r="E35" s="91">
        <f t="shared" si="0"/>
        <v>287920</v>
      </c>
      <c r="F35" s="1" t="s">
        <v>642</v>
      </c>
    </row>
    <row r="36" spans="1:7" hidden="1">
      <c r="A36" s="96" t="s">
        <v>653</v>
      </c>
      <c r="B36" s="1">
        <v>1</v>
      </c>
      <c r="C36" s="61" t="s">
        <v>32</v>
      </c>
      <c r="D36" s="90">
        <f>42250*0.8</f>
        <v>33800</v>
      </c>
      <c r="E36" s="91">
        <f t="shared" si="0"/>
        <v>33800</v>
      </c>
      <c r="F36" s="1" t="s">
        <v>642</v>
      </c>
    </row>
    <row r="37" spans="1:7" hidden="1">
      <c r="A37" s="96" t="s">
        <v>719</v>
      </c>
      <c r="B37" s="1">
        <v>2</v>
      </c>
      <c r="C37" s="61" t="s">
        <v>32</v>
      </c>
      <c r="D37" s="90"/>
      <c r="E37" s="91"/>
      <c r="F37" s="1" t="s">
        <v>642</v>
      </c>
      <c r="G37" t="s">
        <v>720</v>
      </c>
    </row>
    <row r="38" spans="1:7" ht="15.75" hidden="1" thickBot="1">
      <c r="A38" s="99" t="s">
        <v>654</v>
      </c>
      <c r="B38" s="5">
        <v>3</v>
      </c>
      <c r="C38" s="63" t="s">
        <v>32</v>
      </c>
      <c r="D38" s="90">
        <f>46798*0.6</f>
        <v>28078.799999999999</v>
      </c>
      <c r="E38" s="91">
        <f t="shared" si="0"/>
        <v>84236.4</v>
      </c>
      <c r="F38" s="1">
        <v>5</v>
      </c>
    </row>
    <row r="39" spans="1:7" hidden="1">
      <c r="A39" s="100" t="s">
        <v>655</v>
      </c>
      <c r="B39" s="13">
        <v>1</v>
      </c>
      <c r="C39" s="64" t="s">
        <v>32</v>
      </c>
      <c r="D39" s="90"/>
      <c r="E39" s="91">
        <f t="shared" si="0"/>
        <v>0</v>
      </c>
      <c r="F39" s="1" t="s">
        <v>642</v>
      </c>
    </row>
    <row r="40" spans="1:7" hidden="1">
      <c r="A40" s="100" t="s">
        <v>721</v>
      </c>
      <c r="B40" s="13"/>
      <c r="C40" s="64" t="s">
        <v>32</v>
      </c>
      <c r="D40" s="90"/>
      <c r="E40" s="91"/>
      <c r="F40" s="1">
        <v>1</v>
      </c>
      <c r="G40" t="s">
        <v>720</v>
      </c>
    </row>
    <row r="41" spans="1:7" hidden="1">
      <c r="A41" s="101" t="s">
        <v>656</v>
      </c>
      <c r="B41" s="1">
        <v>2</v>
      </c>
      <c r="C41" s="61" t="s">
        <v>32</v>
      </c>
      <c r="D41" s="90"/>
      <c r="E41" s="91">
        <f t="shared" si="0"/>
        <v>0</v>
      </c>
      <c r="F41" s="1" t="s">
        <v>642</v>
      </c>
      <c r="G41" t="s">
        <v>722</v>
      </c>
    </row>
    <row r="42" spans="1:7" hidden="1">
      <c r="A42" s="101" t="s">
        <v>657</v>
      </c>
      <c r="B42" s="1">
        <v>5</v>
      </c>
      <c r="C42" s="61" t="s">
        <v>32</v>
      </c>
      <c r="D42" s="90"/>
      <c r="E42" s="91">
        <f t="shared" si="0"/>
        <v>0</v>
      </c>
      <c r="F42" s="1" t="s">
        <v>642</v>
      </c>
    </row>
    <row r="43" spans="1:7" hidden="1">
      <c r="A43" s="12" t="s">
        <v>465</v>
      </c>
      <c r="B43" s="1">
        <v>2</v>
      </c>
      <c r="C43" s="61" t="s">
        <v>460</v>
      </c>
      <c r="D43" s="90"/>
      <c r="E43" s="91">
        <f>+B43*D43</f>
        <v>0</v>
      </c>
      <c r="F43" s="95" t="s">
        <v>658</v>
      </c>
    </row>
    <row r="44" spans="1:7" hidden="1">
      <c r="A44" s="12" t="s">
        <v>464</v>
      </c>
      <c r="B44" s="1">
        <v>1</v>
      </c>
      <c r="C44" s="61" t="s">
        <v>460</v>
      </c>
      <c r="D44" s="90">
        <f>24280*0.8</f>
        <v>19424</v>
      </c>
      <c r="E44" s="91">
        <f>+B44*D44</f>
        <v>19424</v>
      </c>
      <c r="F44" s="95" t="s">
        <v>658</v>
      </c>
    </row>
    <row r="45" spans="1:7" hidden="1">
      <c r="A45" s="12" t="s">
        <v>463</v>
      </c>
      <c r="B45" s="1">
        <v>3</v>
      </c>
      <c r="C45" s="61" t="s">
        <v>460</v>
      </c>
      <c r="D45" s="90"/>
      <c r="E45" s="91">
        <f>+B45*D45</f>
        <v>0</v>
      </c>
      <c r="F45" s="95" t="s">
        <v>658</v>
      </c>
    </row>
    <row r="46" spans="1:7" hidden="1">
      <c r="A46" s="12" t="s">
        <v>461</v>
      </c>
      <c r="B46" s="1">
        <v>2</v>
      </c>
      <c r="C46" s="61" t="s">
        <v>460</v>
      </c>
      <c r="D46" s="90"/>
      <c r="E46" s="91">
        <f>+B46*D46</f>
        <v>0</v>
      </c>
      <c r="F46" s="95" t="s">
        <v>658</v>
      </c>
    </row>
    <row r="47" spans="1:7" hidden="1">
      <c r="A47" s="12" t="s">
        <v>659</v>
      </c>
      <c r="B47" s="1">
        <v>1</v>
      </c>
      <c r="C47" s="79" t="s">
        <v>448</v>
      </c>
      <c r="D47" s="90"/>
      <c r="E47" s="1"/>
      <c r="F47" s="95" t="s">
        <v>658</v>
      </c>
    </row>
    <row r="48" spans="1:7" hidden="1">
      <c r="A48" s="12" t="s">
        <v>457</v>
      </c>
      <c r="B48" s="1">
        <v>7</v>
      </c>
      <c r="C48" s="79" t="s">
        <v>448</v>
      </c>
      <c r="D48" s="90"/>
      <c r="E48" s="1"/>
      <c r="F48" s="95" t="s">
        <v>658</v>
      </c>
    </row>
    <row r="49" spans="1:6" ht="15.75" hidden="1" thickBot="1">
      <c r="A49" s="15" t="s">
        <v>456</v>
      </c>
      <c r="B49" s="5">
        <v>10</v>
      </c>
      <c r="C49" s="85" t="s">
        <v>448</v>
      </c>
      <c r="D49" s="90"/>
      <c r="E49" s="1"/>
      <c r="F49" s="95" t="s">
        <v>658</v>
      </c>
    </row>
    <row r="50" spans="1:6" hidden="1">
      <c r="A50" s="13" t="s">
        <v>554</v>
      </c>
      <c r="B50" s="13">
        <v>2</v>
      </c>
      <c r="C50" s="64" t="s">
        <v>460</v>
      </c>
      <c r="D50" s="90"/>
      <c r="E50" s="91">
        <f>+B50*D50</f>
        <v>0</v>
      </c>
      <c r="F50" s="1"/>
    </row>
    <row r="51" spans="1:6" hidden="1">
      <c r="A51" s="1" t="s">
        <v>638</v>
      </c>
      <c r="B51" s="1">
        <v>1</v>
      </c>
      <c r="C51" s="79" t="s">
        <v>448</v>
      </c>
      <c r="D51" s="87"/>
      <c r="E51" s="1"/>
      <c r="F51" s="1"/>
    </row>
    <row r="52" spans="1:6" hidden="1">
      <c r="A52" s="1" t="s">
        <v>639</v>
      </c>
      <c r="B52" s="1">
        <v>1</v>
      </c>
      <c r="C52" s="79" t="s">
        <v>448</v>
      </c>
      <c r="D52" s="87"/>
      <c r="E52" s="1"/>
      <c r="F52" s="1"/>
    </row>
    <row r="53" spans="1:6" hidden="1">
      <c r="A53" s="1" t="s">
        <v>357</v>
      </c>
      <c r="B53" s="1">
        <v>3</v>
      </c>
      <c r="C53" s="79" t="s">
        <v>351</v>
      </c>
      <c r="D53" s="87"/>
      <c r="E53" s="1"/>
      <c r="F53" s="1"/>
    </row>
    <row r="54" spans="1:6" hidden="1">
      <c r="A54" s="1" t="s">
        <v>358</v>
      </c>
      <c r="B54" s="1">
        <v>8</v>
      </c>
      <c r="C54" s="79" t="s">
        <v>351</v>
      </c>
      <c r="D54" s="87"/>
      <c r="E54" s="1"/>
      <c r="F54" s="1"/>
    </row>
    <row r="55" spans="1:6" hidden="1">
      <c r="A55" s="1" t="s">
        <v>594</v>
      </c>
      <c r="B55" s="1">
        <v>4</v>
      </c>
      <c r="C55" s="61" t="s">
        <v>321</v>
      </c>
      <c r="D55" s="87"/>
      <c r="E55" s="1"/>
      <c r="F55" s="1"/>
    </row>
    <row r="56" spans="1:6" hidden="1">
      <c r="A56" s="1" t="s">
        <v>593</v>
      </c>
      <c r="B56" s="1">
        <v>1</v>
      </c>
      <c r="C56" s="61" t="s">
        <v>321</v>
      </c>
      <c r="D56" s="87"/>
      <c r="E56" s="1"/>
      <c r="F56" s="1"/>
    </row>
    <row r="57" spans="1:6" hidden="1">
      <c r="A57" s="1" t="s">
        <v>589</v>
      </c>
      <c r="B57" s="1">
        <v>1</v>
      </c>
      <c r="C57" s="61" t="s">
        <v>321</v>
      </c>
      <c r="D57" s="87"/>
      <c r="E57" s="1"/>
      <c r="F57" s="1"/>
    </row>
    <row r="58" spans="1:6" hidden="1">
      <c r="A58" s="9" t="s">
        <v>588</v>
      </c>
      <c r="B58" s="9">
        <v>2</v>
      </c>
      <c r="C58" s="62" t="s">
        <v>321</v>
      </c>
      <c r="D58" s="87"/>
      <c r="E58" s="1"/>
      <c r="F58" s="1"/>
    </row>
    <row r="59" spans="1:6" hidden="1">
      <c r="A59" s="2" t="s">
        <v>590</v>
      </c>
      <c r="B59" s="2">
        <v>1</v>
      </c>
      <c r="C59" s="60" t="s">
        <v>321</v>
      </c>
      <c r="D59" s="87"/>
      <c r="E59" s="1"/>
      <c r="F59" s="1"/>
    </row>
    <row r="60" spans="1:6" hidden="1">
      <c r="A60" s="9" t="s">
        <v>591</v>
      </c>
      <c r="B60" s="9">
        <v>2</v>
      </c>
      <c r="C60" s="62" t="s">
        <v>321</v>
      </c>
      <c r="D60" s="87"/>
      <c r="E60" s="1"/>
      <c r="F60" s="1"/>
    </row>
    <row r="61" spans="1:6" hidden="1">
      <c r="A61" s="1" t="s">
        <v>586</v>
      </c>
      <c r="B61" s="1">
        <v>5</v>
      </c>
      <c r="C61" s="61" t="s">
        <v>321</v>
      </c>
      <c r="D61" s="87"/>
      <c r="E61" s="1"/>
      <c r="F61" s="1"/>
    </row>
    <row r="62" spans="1:6" hidden="1">
      <c r="A62" s="1" t="s">
        <v>585</v>
      </c>
      <c r="B62" s="1">
        <v>3</v>
      </c>
      <c r="C62" s="61" t="s">
        <v>321</v>
      </c>
      <c r="D62" s="87"/>
      <c r="E62" s="1"/>
      <c r="F62" s="1"/>
    </row>
    <row r="63" spans="1:6" hidden="1">
      <c r="A63" s="1" t="s">
        <v>587</v>
      </c>
      <c r="B63" s="1">
        <v>2</v>
      </c>
      <c r="C63" s="61" t="s">
        <v>321</v>
      </c>
      <c r="D63" s="87"/>
      <c r="E63" s="1"/>
      <c r="F63" s="1"/>
    </row>
    <row r="64" spans="1:6" hidden="1">
      <c r="A64" s="9" t="s">
        <v>592</v>
      </c>
      <c r="B64" s="9">
        <v>6</v>
      </c>
      <c r="C64" s="62" t="s">
        <v>321</v>
      </c>
      <c r="D64" s="87"/>
      <c r="E64" s="1"/>
      <c r="F64" s="1"/>
    </row>
    <row r="65" spans="1:6" hidden="1">
      <c r="A65" s="2" t="s">
        <v>191</v>
      </c>
      <c r="B65" s="2">
        <v>2</v>
      </c>
      <c r="C65" s="60" t="s">
        <v>172</v>
      </c>
      <c r="D65" s="87"/>
      <c r="E65" s="1"/>
      <c r="F65" s="1"/>
    </row>
    <row r="66" spans="1:6" hidden="1">
      <c r="A66" s="1" t="s">
        <v>186</v>
      </c>
      <c r="B66" s="1">
        <v>3</v>
      </c>
      <c r="C66" s="61" t="s">
        <v>172</v>
      </c>
      <c r="D66" s="87"/>
      <c r="E66" s="1"/>
      <c r="F66" s="1"/>
    </row>
    <row r="67" spans="1:6" hidden="1">
      <c r="A67" s="1" t="s">
        <v>188</v>
      </c>
      <c r="B67" s="1">
        <v>1</v>
      </c>
      <c r="C67" s="61" t="s">
        <v>172</v>
      </c>
      <c r="D67" s="87"/>
      <c r="E67" s="1"/>
      <c r="F67" s="1"/>
    </row>
    <row r="68" spans="1:6" hidden="1">
      <c r="A68" s="1" t="s">
        <v>189</v>
      </c>
      <c r="B68" s="1">
        <v>4</v>
      </c>
      <c r="C68" s="61" t="s">
        <v>172</v>
      </c>
      <c r="D68" s="87"/>
      <c r="E68" s="1"/>
      <c r="F68" s="1"/>
    </row>
    <row r="69" spans="1:6" hidden="1">
      <c r="A69" s="9" t="s">
        <v>187</v>
      </c>
      <c r="B69" s="9">
        <v>1</v>
      </c>
      <c r="C69" s="62" t="s">
        <v>172</v>
      </c>
      <c r="D69" s="87"/>
      <c r="E69" s="1"/>
      <c r="F69" s="1"/>
    </row>
    <row r="70" spans="1:6" hidden="1">
      <c r="A70" s="2" t="s">
        <v>190</v>
      </c>
      <c r="B70" s="2">
        <v>1</v>
      </c>
      <c r="C70" s="60" t="s">
        <v>172</v>
      </c>
      <c r="D70" s="87"/>
      <c r="E70" s="1"/>
      <c r="F70" s="1"/>
    </row>
    <row r="71" spans="1:6" hidden="1">
      <c r="A71" s="96" t="s">
        <v>723</v>
      </c>
      <c r="B71" s="1">
        <v>2</v>
      </c>
      <c r="C71" s="61" t="s">
        <v>360</v>
      </c>
      <c r="D71" s="87"/>
      <c r="E71" s="1"/>
      <c r="F71" s="1">
        <v>3</v>
      </c>
    </row>
    <row r="72" spans="1:6" hidden="1">
      <c r="A72" s="96" t="s">
        <v>724</v>
      </c>
      <c r="B72" s="1">
        <v>2</v>
      </c>
      <c r="C72" s="61" t="s">
        <v>360</v>
      </c>
      <c r="D72" s="87"/>
      <c r="E72" s="1"/>
      <c r="F72" s="1">
        <v>17</v>
      </c>
    </row>
    <row r="73" spans="1:6" hidden="1">
      <c r="A73" s="96" t="s">
        <v>725</v>
      </c>
      <c r="B73" s="1">
        <v>3</v>
      </c>
      <c r="C73" s="61" t="s">
        <v>360</v>
      </c>
      <c r="D73" s="87"/>
      <c r="E73" s="1"/>
      <c r="F73" s="1">
        <v>2</v>
      </c>
    </row>
    <row r="74" spans="1:6" hidden="1">
      <c r="A74" s="96" t="s">
        <v>726</v>
      </c>
      <c r="B74" s="1">
        <v>1</v>
      </c>
      <c r="C74" s="61" t="s">
        <v>360</v>
      </c>
      <c r="D74" s="87"/>
      <c r="E74" s="1"/>
      <c r="F74" s="1">
        <v>4</v>
      </c>
    </row>
    <row r="75" spans="1:6" hidden="1">
      <c r="A75" s="96" t="s">
        <v>727</v>
      </c>
      <c r="B75" s="1">
        <v>13</v>
      </c>
      <c r="C75" s="61" t="s">
        <v>360</v>
      </c>
      <c r="D75" s="87"/>
      <c r="E75" s="1"/>
      <c r="F75" s="1">
        <v>6</v>
      </c>
    </row>
    <row r="76" spans="1:6" hidden="1">
      <c r="A76" s="96" t="s">
        <v>728</v>
      </c>
      <c r="B76" s="1">
        <v>4</v>
      </c>
      <c r="C76" s="61" t="s">
        <v>32</v>
      </c>
      <c r="D76" s="87"/>
      <c r="E76" s="1"/>
      <c r="F76" s="1">
        <v>5</v>
      </c>
    </row>
    <row r="77" spans="1:6" hidden="1">
      <c r="A77" s="96" t="s">
        <v>729</v>
      </c>
      <c r="B77" s="1">
        <v>6</v>
      </c>
      <c r="C77" s="61" t="s">
        <v>360</v>
      </c>
      <c r="D77" s="87"/>
      <c r="E77" s="1"/>
      <c r="F77" s="1">
        <v>5</v>
      </c>
    </row>
    <row r="78" spans="1:6" hidden="1">
      <c r="A78" s="96" t="s">
        <v>730</v>
      </c>
      <c r="B78" s="1">
        <v>14</v>
      </c>
      <c r="C78" s="61" t="s">
        <v>32</v>
      </c>
      <c r="D78" s="87"/>
      <c r="E78" s="1"/>
      <c r="F78" s="1">
        <v>0</v>
      </c>
    </row>
    <row r="79" spans="1:6" hidden="1">
      <c r="A79" s="96" t="s">
        <v>731</v>
      </c>
      <c r="B79" s="1">
        <v>3</v>
      </c>
      <c r="C79" s="61" t="s">
        <v>32</v>
      </c>
      <c r="D79" s="87"/>
      <c r="E79" s="1"/>
      <c r="F79" s="1">
        <v>3</v>
      </c>
    </row>
    <row r="80" spans="1:6" hidden="1">
      <c r="A80" s="96" t="s">
        <v>145</v>
      </c>
      <c r="B80" s="1">
        <v>2</v>
      </c>
      <c r="C80" s="61" t="s">
        <v>32</v>
      </c>
      <c r="D80" s="87"/>
      <c r="E80" s="1"/>
      <c r="F80" s="1">
        <v>3</v>
      </c>
    </row>
    <row r="81" spans="1:6" hidden="1">
      <c r="A81" s="96" t="s">
        <v>147</v>
      </c>
      <c r="B81" s="1">
        <v>5</v>
      </c>
      <c r="C81" s="61" t="s">
        <v>32</v>
      </c>
      <c r="D81" s="87"/>
      <c r="E81" s="1"/>
      <c r="F81" s="1">
        <v>0</v>
      </c>
    </row>
    <row r="82" spans="1:6" hidden="1">
      <c r="A82" s="97" t="s">
        <v>142</v>
      </c>
      <c r="B82" s="9">
        <v>1</v>
      </c>
      <c r="C82" s="62" t="s">
        <v>32</v>
      </c>
      <c r="D82" s="87"/>
      <c r="E82" s="1"/>
      <c r="F82" s="1" t="s">
        <v>642</v>
      </c>
    </row>
    <row r="83" spans="1:6" hidden="1">
      <c r="A83" s="98" t="s">
        <v>144</v>
      </c>
      <c r="B83" s="2">
        <v>6</v>
      </c>
      <c r="C83" s="60" t="s">
        <v>32</v>
      </c>
      <c r="D83" s="87"/>
      <c r="E83" s="1"/>
      <c r="F83" s="1">
        <v>7</v>
      </c>
    </row>
    <row r="84" spans="1:6" hidden="1">
      <c r="A84" s="96" t="s">
        <v>146</v>
      </c>
      <c r="B84" s="1">
        <v>5</v>
      </c>
      <c r="C84" s="61" t="s">
        <v>32</v>
      </c>
      <c r="D84" s="87"/>
      <c r="E84" s="1"/>
      <c r="F84" s="1">
        <v>3</v>
      </c>
    </row>
    <row r="85" spans="1:6" hidden="1">
      <c r="A85" s="96" t="s">
        <v>143</v>
      </c>
      <c r="B85" s="1">
        <v>8</v>
      </c>
      <c r="C85" s="61" t="s">
        <v>32</v>
      </c>
      <c r="D85" s="87"/>
      <c r="E85" s="1"/>
      <c r="F85" s="1">
        <v>10</v>
      </c>
    </row>
    <row r="86" spans="1:6" hidden="1">
      <c r="A86" s="96" t="s">
        <v>137</v>
      </c>
      <c r="B86" s="1">
        <v>7</v>
      </c>
      <c r="C86" s="61" t="s">
        <v>32</v>
      </c>
      <c r="D86" s="87"/>
      <c r="E86" s="1"/>
      <c r="F86" s="1">
        <v>10</v>
      </c>
    </row>
    <row r="87" spans="1:6" hidden="1">
      <c r="A87" s="96" t="s">
        <v>732</v>
      </c>
      <c r="B87" s="1">
        <v>7</v>
      </c>
      <c r="C87" s="61" t="s">
        <v>32</v>
      </c>
      <c r="D87" s="87"/>
      <c r="E87" s="1"/>
      <c r="F87" s="1">
        <v>6</v>
      </c>
    </row>
    <row r="88" spans="1:6" hidden="1">
      <c r="A88" s="96" t="s">
        <v>138</v>
      </c>
      <c r="B88" s="1">
        <v>5</v>
      </c>
      <c r="C88" s="61" t="s">
        <v>32</v>
      </c>
      <c r="D88" s="87"/>
      <c r="E88" s="1"/>
      <c r="F88" s="1">
        <v>5</v>
      </c>
    </row>
    <row r="89" spans="1:6" hidden="1">
      <c r="A89" s="96" t="s">
        <v>139</v>
      </c>
      <c r="B89" s="1">
        <v>1</v>
      </c>
      <c r="C89" s="61" t="s">
        <v>32</v>
      </c>
      <c r="D89" s="87"/>
      <c r="E89" s="1"/>
      <c r="F89" s="1">
        <v>0</v>
      </c>
    </row>
    <row r="90" spans="1:6" hidden="1">
      <c r="A90" s="96" t="s">
        <v>220</v>
      </c>
      <c r="B90" s="1">
        <v>1</v>
      </c>
      <c r="C90" s="61" t="s">
        <v>32</v>
      </c>
      <c r="D90" s="87"/>
      <c r="E90" s="1"/>
      <c r="F90" s="1">
        <v>1</v>
      </c>
    </row>
    <row r="91" spans="1:6" hidden="1">
      <c r="A91" s="96" t="s">
        <v>733</v>
      </c>
      <c r="B91" s="1">
        <v>1</v>
      </c>
      <c r="C91" s="61" t="s">
        <v>32</v>
      </c>
      <c r="D91" s="87"/>
      <c r="E91" s="1"/>
      <c r="F91" s="1">
        <v>1</v>
      </c>
    </row>
    <row r="92" spans="1:6" hidden="1">
      <c r="A92" s="96" t="s">
        <v>150</v>
      </c>
      <c r="B92" s="1">
        <v>1</v>
      </c>
      <c r="C92" s="61" t="s">
        <v>32</v>
      </c>
      <c r="D92" s="87"/>
      <c r="E92" s="1"/>
      <c r="F92" s="1">
        <v>1</v>
      </c>
    </row>
    <row r="93" spans="1:6" hidden="1">
      <c r="A93" s="96" t="s">
        <v>149</v>
      </c>
      <c r="B93" s="1">
        <v>2</v>
      </c>
      <c r="C93" s="61" t="s">
        <v>32</v>
      </c>
      <c r="D93" s="87"/>
      <c r="E93" s="1"/>
      <c r="F93" s="1">
        <v>2</v>
      </c>
    </row>
    <row r="94" spans="1:6" hidden="1">
      <c r="A94" s="96" t="s">
        <v>409</v>
      </c>
      <c r="B94" s="1">
        <v>2</v>
      </c>
      <c r="C94" s="61" t="s">
        <v>193</v>
      </c>
      <c r="D94" s="87"/>
      <c r="E94" s="1"/>
      <c r="F94" s="1">
        <v>2</v>
      </c>
    </row>
    <row r="95" spans="1:6" hidden="1">
      <c r="A95" s="96" t="s">
        <v>408</v>
      </c>
      <c r="B95" s="1">
        <v>2</v>
      </c>
      <c r="C95" s="61" t="s">
        <v>193</v>
      </c>
      <c r="D95" s="87"/>
      <c r="E95" s="1"/>
      <c r="F95" s="1">
        <v>2</v>
      </c>
    </row>
    <row r="96" spans="1:6" hidden="1">
      <c r="A96" s="1" t="s">
        <v>280</v>
      </c>
      <c r="B96" s="1">
        <v>39</v>
      </c>
      <c r="C96" s="61" t="s">
        <v>281</v>
      </c>
      <c r="D96" s="87"/>
      <c r="E96" s="1"/>
      <c r="F96" s="1"/>
    </row>
    <row r="97" spans="1:7" hidden="1">
      <c r="A97" s="1" t="s">
        <v>486</v>
      </c>
      <c r="B97" s="1">
        <v>1</v>
      </c>
      <c r="C97" s="61" t="s">
        <v>368</v>
      </c>
      <c r="D97" s="87"/>
      <c r="E97" s="1"/>
      <c r="F97" s="1"/>
    </row>
    <row r="98" spans="1:7" hidden="1">
      <c r="A98" s="96" t="s">
        <v>162</v>
      </c>
      <c r="B98" s="1">
        <v>11</v>
      </c>
      <c r="C98" s="61" t="s">
        <v>32</v>
      </c>
      <c r="D98" s="87"/>
      <c r="E98" s="1"/>
      <c r="F98" s="1">
        <v>12</v>
      </c>
    </row>
    <row r="99" spans="1:7" hidden="1">
      <c r="A99" s="96" t="s">
        <v>161</v>
      </c>
      <c r="B99" s="1">
        <v>7</v>
      </c>
      <c r="C99" s="61" t="s">
        <v>32</v>
      </c>
      <c r="D99" s="87"/>
      <c r="E99" s="1"/>
      <c r="F99" s="1">
        <v>8</v>
      </c>
    </row>
    <row r="100" spans="1:7" hidden="1">
      <c r="A100" s="96" t="s">
        <v>158</v>
      </c>
      <c r="B100" s="1">
        <v>3</v>
      </c>
      <c r="C100" s="61" t="s">
        <v>32</v>
      </c>
      <c r="D100" s="87"/>
      <c r="E100" s="1"/>
      <c r="F100" s="1">
        <v>4</v>
      </c>
    </row>
    <row r="101" spans="1:7" hidden="1">
      <c r="A101" s="96" t="s">
        <v>159</v>
      </c>
      <c r="B101" s="1">
        <v>8</v>
      </c>
      <c r="C101" s="61" t="s">
        <v>32</v>
      </c>
      <c r="D101" s="87"/>
      <c r="E101" s="1"/>
      <c r="F101" s="1">
        <v>8</v>
      </c>
    </row>
    <row r="102" spans="1:7" hidden="1">
      <c r="A102" s="96" t="s">
        <v>157</v>
      </c>
      <c r="B102" s="1">
        <v>1</v>
      </c>
      <c r="C102" s="61" t="s">
        <v>32</v>
      </c>
      <c r="D102" s="87"/>
      <c r="E102" s="1"/>
      <c r="F102" s="1">
        <v>1</v>
      </c>
    </row>
    <row r="103" spans="1:7" hidden="1">
      <c r="A103" s="96" t="s">
        <v>163</v>
      </c>
      <c r="B103" s="1">
        <v>20</v>
      </c>
      <c r="C103" s="61" t="s">
        <v>32</v>
      </c>
      <c r="D103" s="87"/>
      <c r="E103" s="1"/>
      <c r="F103" s="1">
        <v>19</v>
      </c>
    </row>
    <row r="104" spans="1:7" hidden="1">
      <c r="A104" s="96" t="s">
        <v>156</v>
      </c>
      <c r="B104" s="1">
        <v>2</v>
      </c>
      <c r="C104" s="61" t="s">
        <v>32</v>
      </c>
      <c r="D104" s="87"/>
      <c r="E104" s="1"/>
      <c r="F104" s="1">
        <v>3</v>
      </c>
    </row>
    <row r="105" spans="1:7" hidden="1">
      <c r="A105" s="96" t="s">
        <v>166</v>
      </c>
      <c r="B105" s="1">
        <v>17</v>
      </c>
      <c r="C105" s="61" t="s">
        <v>32</v>
      </c>
      <c r="D105" s="87"/>
      <c r="E105" s="1"/>
      <c r="F105" s="1">
        <v>15</v>
      </c>
    </row>
    <row r="106" spans="1:7" hidden="1">
      <c r="A106" s="96" t="s">
        <v>160</v>
      </c>
      <c r="B106" s="1">
        <v>7</v>
      </c>
      <c r="C106" s="61" t="s">
        <v>32</v>
      </c>
      <c r="D106" s="87"/>
      <c r="E106" s="1"/>
      <c r="F106" s="1">
        <v>7</v>
      </c>
    </row>
    <row r="107" spans="1:7" hidden="1">
      <c r="A107" s="96" t="s">
        <v>165</v>
      </c>
      <c r="B107" s="1">
        <v>4</v>
      </c>
      <c r="C107" s="61" t="s">
        <v>32</v>
      </c>
      <c r="D107" s="87"/>
      <c r="E107" s="1"/>
      <c r="F107" s="1">
        <v>5</v>
      </c>
    </row>
    <row r="108" spans="1:7" hidden="1">
      <c r="A108" s="96" t="s">
        <v>164</v>
      </c>
      <c r="B108" s="1">
        <v>5</v>
      </c>
      <c r="C108" s="61" t="s">
        <v>32</v>
      </c>
      <c r="D108" s="87"/>
      <c r="E108" s="1"/>
      <c r="F108" s="1">
        <v>7</v>
      </c>
    </row>
    <row r="109" spans="1:7" hidden="1">
      <c r="A109" s="96" t="s">
        <v>169</v>
      </c>
      <c r="B109" s="1">
        <v>1</v>
      </c>
      <c r="C109" s="61" t="s">
        <v>32</v>
      </c>
      <c r="D109" s="87"/>
      <c r="E109" s="1"/>
      <c r="F109" s="1">
        <v>1</v>
      </c>
    </row>
    <row r="110" spans="1:7" hidden="1">
      <c r="A110" s="96" t="s">
        <v>168</v>
      </c>
      <c r="B110" s="1">
        <v>1</v>
      </c>
      <c r="C110" s="61" t="s">
        <v>32</v>
      </c>
      <c r="D110" s="87"/>
      <c r="E110" s="1"/>
      <c r="F110" s="1">
        <v>1</v>
      </c>
    </row>
    <row r="111" spans="1:7" hidden="1">
      <c r="A111" s="96" t="s">
        <v>734</v>
      </c>
      <c r="B111" s="1"/>
      <c r="C111" s="61"/>
      <c r="D111" s="87"/>
      <c r="E111" s="1"/>
      <c r="F111" s="1">
        <v>11</v>
      </c>
      <c r="G111" t="s">
        <v>735</v>
      </c>
    </row>
    <row r="112" spans="1:7" hidden="1">
      <c r="A112" s="96" t="s">
        <v>736</v>
      </c>
      <c r="B112" s="1">
        <v>21</v>
      </c>
      <c r="C112" s="61" t="s">
        <v>360</v>
      </c>
      <c r="D112" s="87"/>
      <c r="E112" s="1"/>
      <c r="F112" s="1">
        <v>21</v>
      </c>
    </row>
    <row r="113" spans="1:6" hidden="1">
      <c r="A113" s="97" t="s">
        <v>737</v>
      </c>
      <c r="B113" s="9">
        <v>1</v>
      </c>
      <c r="C113" s="62" t="s">
        <v>32</v>
      </c>
      <c r="D113" s="87"/>
      <c r="E113" s="1"/>
      <c r="F113" s="1">
        <v>1</v>
      </c>
    </row>
    <row r="114" spans="1:6" ht="15.75" hidden="1" thickBot="1">
      <c r="A114" s="5" t="s">
        <v>487</v>
      </c>
      <c r="B114" s="5">
        <v>2</v>
      </c>
      <c r="C114" s="62" t="s">
        <v>368</v>
      </c>
      <c r="D114" s="87"/>
      <c r="E114" s="1"/>
      <c r="F114" s="1"/>
    </row>
    <row r="115" spans="1:6" hidden="1">
      <c r="A115" s="2" t="s">
        <v>488</v>
      </c>
      <c r="B115" s="2">
        <v>2</v>
      </c>
      <c r="C115" s="60" t="s">
        <v>321</v>
      </c>
      <c r="D115" s="87"/>
      <c r="E115" s="1"/>
      <c r="F115" s="1"/>
    </row>
    <row r="116" spans="1:6" hidden="1">
      <c r="A116" s="1" t="s">
        <v>476</v>
      </c>
      <c r="B116" s="1">
        <v>8</v>
      </c>
      <c r="C116" s="61" t="s">
        <v>368</v>
      </c>
      <c r="D116" s="87"/>
      <c r="E116" s="1"/>
      <c r="F116" s="1"/>
    </row>
    <row r="117" spans="1:6" hidden="1">
      <c r="A117" s="92" t="s">
        <v>480</v>
      </c>
      <c r="B117" s="9">
        <v>1</v>
      </c>
      <c r="C117" s="62" t="s">
        <v>368</v>
      </c>
      <c r="D117" s="87"/>
      <c r="E117" s="1"/>
      <c r="F117" s="1"/>
    </row>
    <row r="118" spans="1:6" hidden="1">
      <c r="A118" s="81" t="s">
        <v>477</v>
      </c>
      <c r="B118" s="2">
        <v>4</v>
      </c>
      <c r="C118" s="60" t="s">
        <v>368</v>
      </c>
      <c r="D118" s="87"/>
      <c r="E118" s="1"/>
      <c r="F118" s="1"/>
    </row>
    <row r="119" spans="1:6" hidden="1">
      <c r="A119" s="78" t="s">
        <v>479</v>
      </c>
      <c r="B119" s="1">
        <v>1</v>
      </c>
      <c r="C119" s="61" t="s">
        <v>368</v>
      </c>
      <c r="D119" s="87"/>
      <c r="E119" s="1"/>
      <c r="F119" s="1"/>
    </row>
    <row r="120" spans="1:6" hidden="1">
      <c r="A120" s="92" t="s">
        <v>478</v>
      </c>
      <c r="B120" s="9">
        <v>5</v>
      </c>
      <c r="C120" s="62" t="s">
        <v>368</v>
      </c>
      <c r="D120" s="87"/>
      <c r="E120" s="1"/>
      <c r="F120" s="1"/>
    </row>
    <row r="121" spans="1:6" hidden="1">
      <c r="A121" s="81" t="s">
        <v>367</v>
      </c>
      <c r="B121" s="2">
        <v>8</v>
      </c>
      <c r="C121" s="60" t="s">
        <v>368</v>
      </c>
      <c r="D121" s="87"/>
      <c r="E121" s="1"/>
      <c r="F121" s="1"/>
    </row>
    <row r="122" spans="1:6" hidden="1">
      <c r="A122" s="1" t="s">
        <v>122</v>
      </c>
      <c r="B122" s="1">
        <v>1</v>
      </c>
      <c r="C122" s="61" t="s">
        <v>123</v>
      </c>
      <c r="D122" s="87"/>
      <c r="E122" s="1"/>
      <c r="F122" s="1"/>
    </row>
    <row r="123" spans="1:6" hidden="1">
      <c r="A123" s="78" t="s">
        <v>493</v>
      </c>
      <c r="B123" s="1">
        <v>1</v>
      </c>
      <c r="C123" s="79" t="s">
        <v>448</v>
      </c>
      <c r="D123" s="87"/>
      <c r="E123" s="1"/>
      <c r="F123" s="1"/>
    </row>
    <row r="124" spans="1:6" hidden="1">
      <c r="A124" s="9" t="s">
        <v>485</v>
      </c>
      <c r="B124" s="9">
        <v>1</v>
      </c>
      <c r="C124" s="62" t="s">
        <v>368</v>
      </c>
      <c r="D124" s="87"/>
      <c r="E124" s="1"/>
      <c r="F124" s="1"/>
    </row>
    <row r="125" spans="1:6" hidden="1">
      <c r="A125" s="1" t="s">
        <v>94</v>
      </c>
      <c r="B125" s="1">
        <v>3</v>
      </c>
      <c r="C125" s="61" t="s">
        <v>13</v>
      </c>
      <c r="D125" s="87"/>
      <c r="E125" s="1"/>
      <c r="F125" s="1"/>
    </row>
    <row r="126" spans="1:6" hidden="1">
      <c r="A126" s="9" t="s">
        <v>369</v>
      </c>
      <c r="B126" s="9">
        <v>7</v>
      </c>
      <c r="C126" s="84" t="s">
        <v>351</v>
      </c>
      <c r="D126" s="87"/>
      <c r="E126" s="1"/>
      <c r="F126" s="1"/>
    </row>
    <row r="127" spans="1:6" hidden="1">
      <c r="A127" s="2" t="s">
        <v>566</v>
      </c>
      <c r="B127" s="2">
        <v>10</v>
      </c>
      <c r="C127" s="60" t="s">
        <v>321</v>
      </c>
      <c r="D127" s="87"/>
      <c r="E127" s="1"/>
      <c r="F127" s="1"/>
    </row>
    <row r="128" spans="1:6" hidden="1">
      <c r="A128" s="1" t="s">
        <v>563</v>
      </c>
      <c r="B128" s="1">
        <v>4</v>
      </c>
      <c r="C128" s="61" t="s">
        <v>321</v>
      </c>
      <c r="D128" s="87"/>
      <c r="E128" s="1"/>
      <c r="F128" s="1"/>
    </row>
    <row r="129" spans="1:7" hidden="1">
      <c r="A129" s="1" t="s">
        <v>564</v>
      </c>
      <c r="B129" s="1">
        <v>2</v>
      </c>
      <c r="C129" s="61" t="s">
        <v>321</v>
      </c>
      <c r="D129" s="87"/>
      <c r="E129" s="1"/>
      <c r="F129" s="1"/>
    </row>
    <row r="130" spans="1:7" hidden="1">
      <c r="A130" s="1" t="s">
        <v>562</v>
      </c>
      <c r="B130" s="1">
        <v>1</v>
      </c>
      <c r="C130" s="61" t="s">
        <v>321</v>
      </c>
      <c r="D130" s="87"/>
      <c r="E130" s="1"/>
      <c r="F130" s="1"/>
    </row>
    <row r="131" spans="1:7" hidden="1">
      <c r="A131" s="1" t="s">
        <v>565</v>
      </c>
      <c r="B131" s="1">
        <v>3</v>
      </c>
      <c r="C131" s="61" t="s">
        <v>321</v>
      </c>
      <c r="D131" s="87"/>
      <c r="E131" s="1"/>
      <c r="F131" s="1"/>
    </row>
    <row r="132" spans="1:7" hidden="1">
      <c r="A132" s="1" t="s">
        <v>18</v>
      </c>
      <c r="B132" s="1">
        <v>5</v>
      </c>
      <c r="C132" s="61" t="s">
        <v>13</v>
      </c>
      <c r="D132" s="87"/>
      <c r="E132" s="1"/>
      <c r="F132" s="1"/>
    </row>
    <row r="133" spans="1:7" hidden="1">
      <c r="A133" s="1" t="s">
        <v>19</v>
      </c>
      <c r="B133" s="1">
        <v>2</v>
      </c>
      <c r="C133" s="61" t="s">
        <v>16</v>
      </c>
      <c r="D133" s="87"/>
      <c r="E133" s="1"/>
      <c r="F133" s="1"/>
    </row>
    <row r="134" spans="1:7" hidden="1">
      <c r="A134" s="1" t="s">
        <v>30</v>
      </c>
      <c r="B134" s="1">
        <v>5</v>
      </c>
      <c r="C134" s="61" t="s">
        <v>16</v>
      </c>
      <c r="D134" s="87"/>
      <c r="E134" s="1"/>
      <c r="F134" s="1"/>
    </row>
    <row r="135" spans="1:7" hidden="1">
      <c r="A135" s="1" t="s">
        <v>78</v>
      </c>
      <c r="B135" s="1">
        <v>2</v>
      </c>
      <c r="C135" s="61" t="s">
        <v>13</v>
      </c>
      <c r="D135" s="87"/>
      <c r="E135" s="1"/>
      <c r="F135" s="1"/>
    </row>
    <row r="136" spans="1:7" hidden="1">
      <c r="A136" s="1" t="s">
        <v>29</v>
      </c>
      <c r="B136" s="1">
        <v>20</v>
      </c>
      <c r="C136" s="61" t="s">
        <v>13</v>
      </c>
      <c r="D136" s="87"/>
      <c r="E136" s="1"/>
      <c r="F136" s="1"/>
    </row>
    <row r="137" spans="1:7" hidden="1">
      <c r="A137" s="1" t="s">
        <v>406</v>
      </c>
      <c r="B137" s="1">
        <v>5</v>
      </c>
      <c r="C137" s="79" t="s">
        <v>351</v>
      </c>
      <c r="D137" s="87"/>
      <c r="E137" s="1"/>
      <c r="F137" s="1"/>
    </row>
    <row r="138" spans="1:7" hidden="1">
      <c r="A138" s="1" t="s">
        <v>403</v>
      </c>
      <c r="B138" s="1">
        <v>2</v>
      </c>
      <c r="C138" s="79" t="s">
        <v>404</v>
      </c>
      <c r="D138" s="87"/>
      <c r="E138" s="1"/>
      <c r="F138" s="1"/>
    </row>
    <row r="139" spans="1:7" hidden="1">
      <c r="A139" s="1" t="s">
        <v>298</v>
      </c>
      <c r="B139" s="1">
        <v>2</v>
      </c>
      <c r="C139" s="61" t="s">
        <v>281</v>
      </c>
      <c r="D139" s="87"/>
      <c r="E139" s="1"/>
      <c r="F139" s="1"/>
    </row>
    <row r="140" spans="1:7" hidden="1">
      <c r="A140" s="96" t="s">
        <v>72</v>
      </c>
      <c r="B140" s="1">
        <v>12</v>
      </c>
      <c r="C140" s="61" t="s">
        <v>32</v>
      </c>
      <c r="D140" s="87"/>
      <c r="E140" s="1"/>
      <c r="F140" s="1">
        <v>15</v>
      </c>
    </row>
    <row r="141" spans="1:7" hidden="1">
      <c r="A141" s="97" t="s">
        <v>38</v>
      </c>
      <c r="B141" s="9">
        <v>27</v>
      </c>
      <c r="C141" s="62" t="s">
        <v>32</v>
      </c>
      <c r="D141" s="87"/>
      <c r="E141" s="1"/>
      <c r="F141" s="1">
        <v>27</v>
      </c>
    </row>
    <row r="142" spans="1:7" hidden="1">
      <c r="A142" s="98" t="s">
        <v>52</v>
      </c>
      <c r="B142" s="2">
        <v>107</v>
      </c>
      <c r="C142" s="60" t="s">
        <v>32</v>
      </c>
      <c r="D142" s="87"/>
      <c r="E142" s="1"/>
      <c r="F142" s="1">
        <v>116</v>
      </c>
    </row>
    <row r="143" spans="1:7" ht="15.75" hidden="1" thickBot="1">
      <c r="A143" s="99" t="s">
        <v>128</v>
      </c>
      <c r="B143" s="5">
        <v>31</v>
      </c>
      <c r="C143" s="63" t="s">
        <v>32</v>
      </c>
      <c r="D143" s="87"/>
      <c r="E143" s="1"/>
      <c r="F143" s="1">
        <v>31</v>
      </c>
    </row>
    <row r="144" spans="1:7" ht="15.75" hidden="1" thickBot="1">
      <c r="A144" s="99" t="s">
        <v>738</v>
      </c>
      <c r="B144" s="41"/>
      <c r="C144" s="63" t="s">
        <v>32</v>
      </c>
      <c r="D144" s="87"/>
      <c r="E144" s="1"/>
      <c r="F144" s="1">
        <v>4</v>
      </c>
      <c r="G144" t="s">
        <v>739</v>
      </c>
    </row>
    <row r="145" spans="1:7" hidden="1">
      <c r="A145" s="102" t="s">
        <v>131</v>
      </c>
      <c r="B145" s="20">
        <v>7</v>
      </c>
      <c r="C145" s="25" t="s">
        <v>32</v>
      </c>
      <c r="D145" s="87"/>
      <c r="E145" s="1"/>
      <c r="F145" s="1">
        <v>5</v>
      </c>
    </row>
    <row r="146" spans="1:7" hidden="1">
      <c r="A146" s="98" t="s">
        <v>210</v>
      </c>
      <c r="B146" s="2">
        <v>3</v>
      </c>
      <c r="C146" s="60" t="s">
        <v>32</v>
      </c>
      <c r="D146" s="87"/>
      <c r="E146" s="1"/>
      <c r="F146" s="1">
        <v>3</v>
      </c>
      <c r="G146" t="s">
        <v>740</v>
      </c>
    </row>
    <row r="147" spans="1:7" hidden="1">
      <c r="A147" s="96" t="s">
        <v>272</v>
      </c>
      <c r="B147" s="1">
        <v>2</v>
      </c>
      <c r="C147" s="61" t="s">
        <v>32</v>
      </c>
      <c r="D147" s="87"/>
      <c r="E147" s="1"/>
      <c r="F147" s="1">
        <v>2</v>
      </c>
    </row>
    <row r="148" spans="1:7" hidden="1">
      <c r="A148" s="96" t="s">
        <v>219</v>
      </c>
      <c r="B148" s="1">
        <v>1</v>
      </c>
      <c r="C148" s="61" t="s">
        <v>32</v>
      </c>
      <c r="D148" s="87"/>
      <c r="E148" s="1"/>
      <c r="F148" s="1">
        <v>1</v>
      </c>
    </row>
    <row r="149" spans="1:7" hidden="1">
      <c r="A149" s="96" t="s">
        <v>129</v>
      </c>
      <c r="B149" s="1">
        <v>1</v>
      </c>
      <c r="C149" s="61" t="s">
        <v>32</v>
      </c>
      <c r="D149" s="87"/>
      <c r="E149" s="1"/>
      <c r="F149" s="1">
        <v>1</v>
      </c>
    </row>
    <row r="150" spans="1:7" hidden="1">
      <c r="A150" s="96" t="s">
        <v>741</v>
      </c>
      <c r="B150" s="1">
        <v>8</v>
      </c>
      <c r="C150" s="61" t="s">
        <v>193</v>
      </c>
      <c r="D150" s="87"/>
      <c r="E150" s="1"/>
      <c r="F150" s="1">
        <v>2</v>
      </c>
    </row>
    <row r="151" spans="1:7" hidden="1">
      <c r="A151" s="96" t="s">
        <v>742</v>
      </c>
      <c r="B151" s="1"/>
      <c r="C151" s="61" t="s">
        <v>193</v>
      </c>
      <c r="D151" s="87"/>
      <c r="E151" s="1"/>
      <c r="F151" s="1">
        <v>4</v>
      </c>
      <c r="G151" t="s">
        <v>739</v>
      </c>
    </row>
    <row r="152" spans="1:7" hidden="1">
      <c r="A152" s="96" t="s">
        <v>743</v>
      </c>
      <c r="B152" s="1">
        <v>4</v>
      </c>
      <c r="C152" s="61" t="s">
        <v>193</v>
      </c>
      <c r="D152" s="87"/>
      <c r="E152" s="1"/>
      <c r="F152" s="1">
        <f>3+4</f>
        <v>7</v>
      </c>
    </row>
    <row r="153" spans="1:7" hidden="1">
      <c r="A153" s="96" t="s">
        <v>744</v>
      </c>
      <c r="B153" s="1"/>
      <c r="C153" s="61" t="s">
        <v>193</v>
      </c>
      <c r="D153" s="87"/>
      <c r="E153" s="1"/>
      <c r="F153" s="1">
        <v>4</v>
      </c>
      <c r="G153" t="s">
        <v>739</v>
      </c>
    </row>
    <row r="154" spans="1:7" hidden="1">
      <c r="A154" s="96" t="s">
        <v>745</v>
      </c>
      <c r="B154" s="1">
        <v>1</v>
      </c>
      <c r="C154" s="61" t="s">
        <v>193</v>
      </c>
      <c r="D154" s="87"/>
      <c r="E154" s="1"/>
      <c r="F154" s="1">
        <v>1</v>
      </c>
    </row>
    <row r="155" spans="1:7" hidden="1">
      <c r="A155" s="1" t="s">
        <v>95</v>
      </c>
      <c r="B155" s="1">
        <v>2</v>
      </c>
      <c r="C155" s="61" t="s">
        <v>13</v>
      </c>
      <c r="D155" s="87"/>
      <c r="E155" s="1"/>
      <c r="F155" s="1"/>
    </row>
    <row r="156" spans="1:7" hidden="1">
      <c r="A156" s="1" t="s">
        <v>371</v>
      </c>
      <c r="B156" s="1">
        <v>1</v>
      </c>
      <c r="C156" s="79" t="s">
        <v>351</v>
      </c>
      <c r="D156" s="87"/>
      <c r="E156" s="1"/>
      <c r="F156" s="1"/>
    </row>
    <row r="157" spans="1:7" hidden="1">
      <c r="A157" s="96" t="s">
        <v>746</v>
      </c>
      <c r="B157" s="1">
        <v>1</v>
      </c>
      <c r="C157" s="61" t="s">
        <v>193</v>
      </c>
      <c r="D157" s="87"/>
      <c r="E157" s="1"/>
      <c r="F157" s="1">
        <v>1</v>
      </c>
    </row>
    <row r="158" spans="1:7" hidden="1">
      <c r="A158" s="1" t="s">
        <v>523</v>
      </c>
      <c r="B158" s="1">
        <v>4</v>
      </c>
      <c r="C158" s="61" t="s">
        <v>460</v>
      </c>
      <c r="D158" s="90"/>
      <c r="E158" s="91">
        <f>+B158*D158</f>
        <v>0</v>
      </c>
      <c r="F158" s="1"/>
    </row>
    <row r="159" spans="1:7" hidden="1">
      <c r="A159" s="1" t="s">
        <v>176</v>
      </c>
      <c r="B159" s="1">
        <v>4</v>
      </c>
      <c r="C159" s="61" t="s">
        <v>172</v>
      </c>
      <c r="D159" s="87"/>
      <c r="E159" s="1"/>
      <c r="F159" s="1"/>
    </row>
    <row r="160" spans="1:7" hidden="1">
      <c r="A160" s="1" t="s">
        <v>178</v>
      </c>
      <c r="B160" s="1">
        <v>10</v>
      </c>
      <c r="C160" s="61" t="s">
        <v>172</v>
      </c>
      <c r="D160" s="87"/>
      <c r="E160" s="1"/>
      <c r="F160" s="1"/>
    </row>
    <row r="161" spans="1:6" ht="15.75" hidden="1" thickBot="1">
      <c r="A161" s="5" t="s">
        <v>177</v>
      </c>
      <c r="B161" s="5">
        <v>5</v>
      </c>
      <c r="C161" s="63" t="s">
        <v>172</v>
      </c>
      <c r="D161" s="87"/>
      <c r="E161" s="1"/>
      <c r="F161" s="1"/>
    </row>
    <row r="162" spans="1:6" hidden="1">
      <c r="A162" s="20" t="s">
        <v>179</v>
      </c>
      <c r="B162" s="20">
        <v>2</v>
      </c>
      <c r="C162" s="25" t="s">
        <v>172</v>
      </c>
      <c r="D162" s="87"/>
      <c r="E162" s="1"/>
      <c r="F162" s="1"/>
    </row>
    <row r="163" spans="1:6" hidden="1">
      <c r="A163" s="2" t="s">
        <v>560</v>
      </c>
      <c r="B163" s="2">
        <v>12</v>
      </c>
      <c r="C163" s="60" t="s">
        <v>321</v>
      </c>
      <c r="D163" s="87"/>
      <c r="E163" s="1"/>
      <c r="F163" s="1"/>
    </row>
    <row r="164" spans="1:6" hidden="1">
      <c r="A164" s="1" t="s">
        <v>561</v>
      </c>
      <c r="B164" s="1">
        <v>12</v>
      </c>
      <c r="C164" s="61" t="s">
        <v>321</v>
      </c>
      <c r="D164" s="87"/>
      <c r="E164" s="1"/>
      <c r="F164" s="1"/>
    </row>
    <row r="165" spans="1:6" hidden="1">
      <c r="A165" s="1" t="s">
        <v>558</v>
      </c>
      <c r="B165" s="1">
        <v>18</v>
      </c>
      <c r="C165" s="61" t="s">
        <v>321</v>
      </c>
      <c r="D165" s="87"/>
      <c r="E165" s="1"/>
      <c r="F165" s="1"/>
    </row>
    <row r="166" spans="1:6" hidden="1">
      <c r="A166" s="1" t="s">
        <v>559</v>
      </c>
      <c r="B166" s="1">
        <v>2</v>
      </c>
      <c r="C166" s="61" t="s">
        <v>321</v>
      </c>
      <c r="D166" s="87"/>
      <c r="E166" s="1"/>
      <c r="F166" s="1"/>
    </row>
    <row r="167" spans="1:6" hidden="1">
      <c r="A167" s="1" t="s">
        <v>557</v>
      </c>
      <c r="B167" s="1">
        <v>18</v>
      </c>
      <c r="C167" s="61" t="s">
        <v>321</v>
      </c>
      <c r="D167" s="87"/>
      <c r="E167" s="1"/>
      <c r="F167" s="1"/>
    </row>
    <row r="168" spans="1:6" hidden="1">
      <c r="A168" s="1" t="s">
        <v>556</v>
      </c>
      <c r="B168" s="1">
        <v>3</v>
      </c>
      <c r="C168" s="61" t="s">
        <v>321</v>
      </c>
      <c r="D168" s="87"/>
      <c r="E168" s="1"/>
      <c r="F168" s="1"/>
    </row>
    <row r="169" spans="1:6" hidden="1">
      <c r="A169" s="1" t="s">
        <v>28</v>
      </c>
      <c r="B169" s="1">
        <v>18</v>
      </c>
      <c r="C169" s="61" t="s">
        <v>16</v>
      </c>
      <c r="D169" s="87"/>
      <c r="E169" s="1"/>
      <c r="F169" s="1"/>
    </row>
    <row r="170" spans="1:6" hidden="1">
      <c r="A170" s="1" t="s">
        <v>15</v>
      </c>
      <c r="B170" s="1">
        <v>5</v>
      </c>
      <c r="C170" s="61" t="s">
        <v>16</v>
      </c>
      <c r="D170" s="87"/>
      <c r="E170" s="73"/>
      <c r="F170" s="1"/>
    </row>
    <row r="171" spans="1:6" hidden="1">
      <c r="A171" s="1" t="s">
        <v>27</v>
      </c>
      <c r="B171" s="1">
        <v>4</v>
      </c>
      <c r="C171" s="61" t="s">
        <v>13</v>
      </c>
      <c r="D171" s="87"/>
      <c r="E171" s="1"/>
      <c r="F171" s="1"/>
    </row>
    <row r="172" spans="1:6" hidden="1">
      <c r="A172" s="1" t="s">
        <v>12</v>
      </c>
      <c r="B172" s="1">
        <v>8</v>
      </c>
      <c r="C172" s="61" t="s">
        <v>13</v>
      </c>
      <c r="D172" s="87">
        <f>45220*0.8</f>
        <v>36176</v>
      </c>
      <c r="E172" s="73">
        <f>+B172*D172</f>
        <v>289408</v>
      </c>
      <c r="F172" s="1" t="s">
        <v>14</v>
      </c>
    </row>
    <row r="173" spans="1:6" hidden="1">
      <c r="A173" s="1" t="s">
        <v>12</v>
      </c>
      <c r="B173" s="1">
        <v>1</v>
      </c>
      <c r="C173" s="61" t="s">
        <v>13</v>
      </c>
      <c r="D173" s="87"/>
      <c r="E173" s="1"/>
      <c r="F173" s="1"/>
    </row>
    <row r="174" spans="1:6" hidden="1">
      <c r="A174" s="1" t="s">
        <v>17</v>
      </c>
      <c r="B174" s="1">
        <v>3</v>
      </c>
      <c r="C174" s="61" t="s">
        <v>13</v>
      </c>
      <c r="D174" s="87"/>
      <c r="E174" s="1"/>
      <c r="F174" s="1"/>
    </row>
    <row r="175" spans="1:6" hidden="1">
      <c r="A175" s="1" t="s">
        <v>297</v>
      </c>
      <c r="B175" s="1">
        <v>4</v>
      </c>
      <c r="C175" s="61" t="s">
        <v>281</v>
      </c>
      <c r="D175" s="87"/>
      <c r="E175" s="1"/>
      <c r="F175" s="1"/>
    </row>
    <row r="176" spans="1:6" hidden="1">
      <c r="A176" s="1" t="s">
        <v>292</v>
      </c>
      <c r="B176" s="1">
        <v>43</v>
      </c>
      <c r="C176" s="61" t="s">
        <v>283</v>
      </c>
      <c r="D176" s="87"/>
      <c r="E176" s="1"/>
      <c r="F176" s="1"/>
    </row>
    <row r="177" spans="1:7" hidden="1">
      <c r="A177" s="1" t="s">
        <v>293</v>
      </c>
      <c r="B177" s="1">
        <v>1</v>
      </c>
      <c r="C177" s="61" t="s">
        <v>283</v>
      </c>
      <c r="D177" s="87"/>
      <c r="E177" s="1"/>
      <c r="F177" s="1"/>
    </row>
    <row r="178" spans="1:7" hidden="1">
      <c r="A178" s="1" t="s">
        <v>294</v>
      </c>
      <c r="B178" s="1">
        <v>6</v>
      </c>
      <c r="C178" s="61" t="s">
        <v>283</v>
      </c>
      <c r="D178" s="87"/>
      <c r="E178" s="1"/>
      <c r="F178" s="1"/>
    </row>
    <row r="179" spans="1:7" hidden="1">
      <c r="A179" s="96" t="s">
        <v>61</v>
      </c>
      <c r="B179" s="1">
        <v>14</v>
      </c>
      <c r="C179" s="61" t="s">
        <v>32</v>
      </c>
      <c r="D179" s="87"/>
      <c r="E179" s="1"/>
      <c r="F179" s="1">
        <v>0</v>
      </c>
    </row>
    <row r="180" spans="1:7" hidden="1">
      <c r="A180" s="96" t="s">
        <v>36</v>
      </c>
      <c r="B180" s="1">
        <v>7</v>
      </c>
      <c r="C180" s="61" t="s">
        <v>32</v>
      </c>
      <c r="D180" s="87"/>
      <c r="E180" s="1"/>
      <c r="F180" s="1">
        <v>8</v>
      </c>
    </row>
    <row r="181" spans="1:7" hidden="1">
      <c r="A181" s="96" t="s">
        <v>747</v>
      </c>
      <c r="B181" s="1"/>
      <c r="C181" s="61" t="s">
        <v>32</v>
      </c>
      <c r="D181" s="87"/>
      <c r="E181" s="1"/>
      <c r="F181" s="1">
        <v>4</v>
      </c>
      <c r="G181" t="s">
        <v>739</v>
      </c>
    </row>
    <row r="182" spans="1:7" hidden="1">
      <c r="A182" s="96" t="s">
        <v>51</v>
      </c>
      <c r="B182" s="1">
        <v>35</v>
      </c>
      <c r="C182" s="61" t="s">
        <v>32</v>
      </c>
      <c r="D182" s="87"/>
      <c r="E182" s="1"/>
      <c r="F182" s="1">
        <v>36</v>
      </c>
    </row>
    <row r="183" spans="1:7" hidden="1">
      <c r="A183" s="97" t="s">
        <v>127</v>
      </c>
      <c r="B183" s="9">
        <v>6</v>
      </c>
      <c r="C183" s="62" t="s">
        <v>32</v>
      </c>
      <c r="D183" s="87"/>
      <c r="E183" s="1"/>
      <c r="F183" s="1">
        <v>11</v>
      </c>
    </row>
    <row r="184" spans="1:7" hidden="1">
      <c r="A184" s="98" t="s">
        <v>748</v>
      </c>
      <c r="B184" s="41"/>
      <c r="C184" s="62" t="s">
        <v>32</v>
      </c>
      <c r="D184" s="87"/>
      <c r="E184" s="1"/>
      <c r="F184" s="1">
        <v>8</v>
      </c>
      <c r="G184" t="s">
        <v>739</v>
      </c>
    </row>
    <row r="185" spans="1:7" hidden="1">
      <c r="A185" s="98" t="s">
        <v>209</v>
      </c>
      <c r="B185" s="2">
        <v>2</v>
      </c>
      <c r="C185" s="60" t="s">
        <v>32</v>
      </c>
      <c r="D185" s="87"/>
      <c r="E185" s="1"/>
      <c r="F185" s="1">
        <v>17</v>
      </c>
    </row>
    <row r="186" spans="1:7" hidden="1">
      <c r="A186" s="96" t="s">
        <v>214</v>
      </c>
      <c r="B186" s="13">
        <v>20</v>
      </c>
      <c r="C186" s="61" t="s">
        <v>32</v>
      </c>
      <c r="D186" s="87"/>
      <c r="E186" s="1"/>
      <c r="F186" s="1">
        <v>11</v>
      </c>
    </row>
    <row r="187" spans="1:7" hidden="1">
      <c r="A187" s="96" t="s">
        <v>214</v>
      </c>
      <c r="B187" s="1">
        <v>7</v>
      </c>
      <c r="C187" s="61" t="s">
        <v>32</v>
      </c>
      <c r="D187" s="87"/>
      <c r="E187" s="1"/>
      <c r="F187" s="1">
        <v>0</v>
      </c>
    </row>
    <row r="188" spans="1:7" hidden="1">
      <c r="A188" s="96" t="s">
        <v>215</v>
      </c>
      <c r="B188" s="1">
        <v>7</v>
      </c>
      <c r="C188" s="61" t="s">
        <v>32</v>
      </c>
      <c r="D188" s="87"/>
      <c r="E188" s="1"/>
      <c r="F188" s="1">
        <v>7</v>
      </c>
    </row>
    <row r="189" spans="1:7" hidden="1">
      <c r="A189" s="96" t="s">
        <v>218</v>
      </c>
      <c r="B189" s="1">
        <v>1</v>
      </c>
      <c r="C189" s="61" t="s">
        <v>32</v>
      </c>
      <c r="D189" s="87"/>
      <c r="E189" s="1"/>
      <c r="F189" s="1">
        <v>1</v>
      </c>
    </row>
    <row r="190" spans="1:7" hidden="1">
      <c r="A190" s="97" t="s">
        <v>37</v>
      </c>
      <c r="B190" s="9">
        <v>2</v>
      </c>
      <c r="C190" s="62" t="s">
        <v>32</v>
      </c>
      <c r="D190" s="87"/>
      <c r="E190" s="1"/>
      <c r="F190" s="1">
        <v>2</v>
      </c>
    </row>
    <row r="191" spans="1:7" hidden="1">
      <c r="A191" s="98" t="s">
        <v>136</v>
      </c>
      <c r="B191" s="2">
        <v>4</v>
      </c>
      <c r="C191" s="60" t="s">
        <v>32</v>
      </c>
      <c r="D191" s="87"/>
      <c r="E191" s="1"/>
      <c r="F191" s="1">
        <v>4</v>
      </c>
    </row>
    <row r="192" spans="1:7" hidden="1">
      <c r="A192" s="96" t="s">
        <v>749</v>
      </c>
      <c r="B192" s="1">
        <v>9</v>
      </c>
      <c r="C192" s="61" t="s">
        <v>193</v>
      </c>
      <c r="D192" s="87"/>
      <c r="E192" s="1"/>
      <c r="F192" s="1">
        <v>7</v>
      </c>
    </row>
    <row r="193" spans="1:6" hidden="1">
      <c r="A193" s="96" t="s">
        <v>750</v>
      </c>
      <c r="B193" s="1">
        <v>12</v>
      </c>
      <c r="C193" s="61" t="s">
        <v>193</v>
      </c>
      <c r="D193" s="87"/>
      <c r="E193" s="1"/>
      <c r="F193" s="1">
        <f>12+4</f>
        <v>16</v>
      </c>
    </row>
    <row r="194" spans="1:6" hidden="1">
      <c r="A194" s="96" t="s">
        <v>212</v>
      </c>
      <c r="B194" s="1">
        <v>1</v>
      </c>
      <c r="C194" s="61" t="s">
        <v>193</v>
      </c>
      <c r="D194" s="87"/>
      <c r="E194" s="1"/>
      <c r="F194" s="1">
        <v>0</v>
      </c>
    </row>
    <row r="195" spans="1:6" hidden="1">
      <c r="A195" s="96" t="s">
        <v>751</v>
      </c>
      <c r="B195" s="1">
        <v>1</v>
      </c>
      <c r="C195" s="61" t="s">
        <v>193</v>
      </c>
      <c r="D195" s="87"/>
      <c r="E195" s="1"/>
      <c r="F195" s="1">
        <v>3</v>
      </c>
    </row>
    <row r="196" spans="1:6" hidden="1">
      <c r="A196" s="97" t="s">
        <v>194</v>
      </c>
      <c r="B196" s="9">
        <v>1</v>
      </c>
      <c r="C196" s="62" t="s">
        <v>193</v>
      </c>
      <c r="D196" s="87"/>
      <c r="E196" s="1"/>
      <c r="F196" s="1">
        <v>0</v>
      </c>
    </row>
    <row r="197" spans="1:6" hidden="1">
      <c r="A197" s="2" t="s">
        <v>92</v>
      </c>
      <c r="B197" s="2">
        <v>2</v>
      </c>
      <c r="C197" s="60" t="s">
        <v>13</v>
      </c>
      <c r="D197" s="87"/>
      <c r="E197" s="1"/>
      <c r="F197" s="1"/>
    </row>
    <row r="198" spans="1:6" hidden="1">
      <c r="A198" s="9" t="s">
        <v>93</v>
      </c>
      <c r="B198" s="9">
        <v>2</v>
      </c>
      <c r="C198" s="62" t="s">
        <v>13</v>
      </c>
      <c r="D198" s="87"/>
      <c r="E198" s="1"/>
      <c r="F198" s="1"/>
    </row>
    <row r="199" spans="1:6" hidden="1">
      <c r="A199" s="2" t="s">
        <v>484</v>
      </c>
      <c r="B199" s="2">
        <v>3</v>
      </c>
      <c r="C199" s="60" t="s">
        <v>368</v>
      </c>
      <c r="D199" s="87"/>
      <c r="E199" s="1"/>
      <c r="F199" s="1"/>
    </row>
    <row r="200" spans="1:6" hidden="1">
      <c r="A200" s="1" t="s">
        <v>415</v>
      </c>
      <c r="B200" s="1">
        <v>2</v>
      </c>
      <c r="C200" s="61" t="s">
        <v>413</v>
      </c>
      <c r="D200" s="87"/>
      <c r="E200" s="1"/>
      <c r="F200" s="1"/>
    </row>
    <row r="201" spans="1:6" hidden="1">
      <c r="A201" s="1" t="s">
        <v>412</v>
      </c>
      <c r="B201" s="1">
        <v>2</v>
      </c>
      <c r="C201" s="61" t="s">
        <v>413</v>
      </c>
      <c r="D201" s="87"/>
      <c r="E201" s="1"/>
      <c r="F201" s="1"/>
    </row>
    <row r="202" spans="1:6" hidden="1">
      <c r="A202" s="1" t="s">
        <v>414</v>
      </c>
      <c r="B202" s="1">
        <v>3</v>
      </c>
      <c r="C202" s="61" t="s">
        <v>413</v>
      </c>
      <c r="D202" s="87"/>
      <c r="E202" s="1"/>
      <c r="F202" s="1"/>
    </row>
    <row r="203" spans="1:6" hidden="1">
      <c r="A203" s="96" t="s">
        <v>752</v>
      </c>
      <c r="B203" s="1">
        <v>3</v>
      </c>
      <c r="C203" s="61" t="s">
        <v>32</v>
      </c>
      <c r="D203" s="87"/>
      <c r="E203" s="1"/>
      <c r="F203" s="1">
        <v>5</v>
      </c>
    </row>
    <row r="204" spans="1:6" hidden="1">
      <c r="A204" s="97" t="s">
        <v>753</v>
      </c>
      <c r="B204" s="9">
        <v>5</v>
      </c>
      <c r="C204" s="62" t="s">
        <v>32</v>
      </c>
      <c r="D204" s="87"/>
      <c r="E204" s="1"/>
      <c r="F204" s="1">
        <v>2</v>
      </c>
    </row>
    <row r="205" spans="1:6" hidden="1">
      <c r="A205" s="2" t="s">
        <v>278</v>
      </c>
      <c r="B205" s="2">
        <v>29</v>
      </c>
      <c r="C205" s="60" t="s">
        <v>661</v>
      </c>
      <c r="D205" s="87"/>
      <c r="E205" s="1"/>
      <c r="F205" s="1"/>
    </row>
    <row r="206" spans="1:6" ht="15.75" hidden="1" thickBot="1">
      <c r="A206" s="5" t="s">
        <v>279</v>
      </c>
      <c r="B206" s="5">
        <v>6</v>
      </c>
      <c r="C206" s="60" t="s">
        <v>661</v>
      </c>
      <c r="D206" s="87"/>
      <c r="E206" s="1"/>
      <c r="F206" s="1"/>
    </row>
    <row r="207" spans="1:6" hidden="1">
      <c r="A207" s="25" t="s">
        <v>276</v>
      </c>
      <c r="B207" s="20">
        <v>58</v>
      </c>
      <c r="C207" s="60" t="s">
        <v>661</v>
      </c>
      <c r="D207" s="87"/>
      <c r="E207" s="1"/>
      <c r="F207" s="1"/>
    </row>
    <row r="208" spans="1:6" hidden="1">
      <c r="A208" s="2" t="s">
        <v>277</v>
      </c>
      <c r="B208" s="2">
        <v>8</v>
      </c>
      <c r="C208" s="60" t="s">
        <v>661</v>
      </c>
      <c r="D208" s="87"/>
      <c r="E208" s="1"/>
      <c r="F208" s="1"/>
    </row>
    <row r="209" spans="1:7" hidden="1">
      <c r="A209" s="1" t="s">
        <v>273</v>
      </c>
      <c r="B209" s="1">
        <v>4</v>
      </c>
      <c r="C209" s="60" t="s">
        <v>661</v>
      </c>
      <c r="D209" s="87"/>
      <c r="E209" s="1"/>
      <c r="F209" s="1"/>
    </row>
    <row r="210" spans="1:7" hidden="1">
      <c r="A210" s="1" t="s">
        <v>275</v>
      </c>
      <c r="B210" s="1">
        <v>3</v>
      </c>
      <c r="C210" s="60" t="s">
        <v>661</v>
      </c>
      <c r="D210" s="87"/>
      <c r="E210" s="1"/>
      <c r="F210" s="1"/>
    </row>
    <row r="211" spans="1:7" hidden="1">
      <c r="A211" s="97" t="s">
        <v>754</v>
      </c>
      <c r="B211" s="1"/>
      <c r="C211" s="62" t="s">
        <v>32</v>
      </c>
      <c r="D211" s="87"/>
      <c r="E211" s="1"/>
      <c r="F211" s="1">
        <v>1</v>
      </c>
      <c r="G211" t="s">
        <v>735</v>
      </c>
    </row>
    <row r="212" spans="1:7" hidden="1">
      <c r="A212" s="97" t="s">
        <v>755</v>
      </c>
      <c r="B212" s="1"/>
      <c r="C212" s="62" t="s">
        <v>32</v>
      </c>
      <c r="D212" s="87"/>
      <c r="E212" s="1"/>
      <c r="F212" s="1">
        <v>1</v>
      </c>
      <c r="G212" t="s">
        <v>735</v>
      </c>
    </row>
    <row r="213" spans="1:7" hidden="1">
      <c r="A213" s="96" t="s">
        <v>260</v>
      </c>
      <c r="B213" s="1">
        <v>11</v>
      </c>
      <c r="C213" s="61" t="s">
        <v>32</v>
      </c>
      <c r="D213" s="87"/>
      <c r="E213" s="1"/>
      <c r="F213" s="1">
        <v>13</v>
      </c>
    </row>
    <row r="214" spans="1:7" hidden="1">
      <c r="A214" s="96" t="s">
        <v>270</v>
      </c>
      <c r="B214" s="1">
        <v>1</v>
      </c>
      <c r="C214" s="61" t="s">
        <v>32</v>
      </c>
      <c r="D214" s="87"/>
      <c r="E214" s="1"/>
      <c r="F214" s="1">
        <v>1</v>
      </c>
    </row>
    <row r="215" spans="1:7" hidden="1">
      <c r="A215" s="97" t="s">
        <v>228</v>
      </c>
      <c r="B215" s="9">
        <v>1</v>
      </c>
      <c r="C215" s="62" t="s">
        <v>193</v>
      </c>
      <c r="D215" s="87"/>
      <c r="E215" s="1"/>
      <c r="F215" s="1">
        <v>1</v>
      </c>
    </row>
    <row r="216" spans="1:7" hidden="1">
      <c r="A216" s="2" t="s">
        <v>373</v>
      </c>
      <c r="B216" s="2">
        <v>4</v>
      </c>
      <c r="C216" s="60" t="s">
        <v>374</v>
      </c>
      <c r="D216" s="87"/>
      <c r="E216" s="1"/>
      <c r="F216" s="1"/>
    </row>
    <row r="217" spans="1:7" hidden="1">
      <c r="A217" s="1" t="s">
        <v>546</v>
      </c>
      <c r="B217" s="1">
        <v>1</v>
      </c>
      <c r="C217" s="79" t="s">
        <v>448</v>
      </c>
      <c r="D217" s="87"/>
      <c r="E217" s="1"/>
      <c r="F217" s="1"/>
    </row>
    <row r="218" spans="1:7" hidden="1">
      <c r="A218" s="1" t="s">
        <v>545</v>
      </c>
      <c r="B218" s="1">
        <v>1</v>
      </c>
      <c r="C218" s="79" t="s">
        <v>448</v>
      </c>
      <c r="D218" s="87"/>
      <c r="E218" s="1"/>
      <c r="F218" s="1"/>
    </row>
    <row r="219" spans="1:7" hidden="1">
      <c r="A219" s="1" t="s">
        <v>544</v>
      </c>
      <c r="B219" s="1">
        <v>1</v>
      </c>
      <c r="C219" s="79" t="s">
        <v>448</v>
      </c>
      <c r="D219" s="87"/>
      <c r="E219" s="1"/>
      <c r="F219" s="1"/>
    </row>
    <row r="220" spans="1:7" hidden="1">
      <c r="A220" s="1" t="s">
        <v>543</v>
      </c>
      <c r="B220" s="1">
        <v>1</v>
      </c>
      <c r="C220" s="79" t="s">
        <v>448</v>
      </c>
      <c r="D220" s="87"/>
      <c r="E220" s="1"/>
      <c r="F220" s="1"/>
    </row>
    <row r="221" spans="1:7" hidden="1">
      <c r="A221" s="1" t="s">
        <v>542</v>
      </c>
      <c r="B221" s="1">
        <v>1</v>
      </c>
      <c r="C221" s="79" t="s">
        <v>448</v>
      </c>
      <c r="D221" s="87"/>
      <c r="E221" s="1"/>
      <c r="F221" s="1"/>
    </row>
    <row r="222" spans="1:7" hidden="1">
      <c r="A222" s="1" t="s">
        <v>541</v>
      </c>
      <c r="B222" s="1">
        <v>1</v>
      </c>
      <c r="C222" s="79" t="s">
        <v>448</v>
      </c>
      <c r="D222" s="87"/>
      <c r="E222" s="1"/>
      <c r="F222" s="1"/>
    </row>
    <row r="223" spans="1:7" hidden="1">
      <c r="A223" s="1" t="s">
        <v>121</v>
      </c>
      <c r="B223" s="1">
        <v>4</v>
      </c>
      <c r="C223" s="61" t="s">
        <v>13</v>
      </c>
      <c r="D223" s="87"/>
      <c r="E223" s="1"/>
      <c r="F223" s="1"/>
    </row>
    <row r="224" spans="1:7" hidden="1">
      <c r="A224" s="1" t="s">
        <v>120</v>
      </c>
      <c r="B224" s="1">
        <v>2</v>
      </c>
      <c r="C224" s="61" t="s">
        <v>13</v>
      </c>
      <c r="D224" s="87"/>
      <c r="E224" s="1"/>
      <c r="F224" s="1"/>
    </row>
    <row r="225" spans="1:6" hidden="1">
      <c r="A225" s="35" t="s">
        <v>323</v>
      </c>
      <c r="B225" s="55">
        <v>31</v>
      </c>
      <c r="C225" s="69" t="s">
        <v>321</v>
      </c>
      <c r="D225" s="87"/>
      <c r="E225" s="1"/>
      <c r="F225" s="1"/>
    </row>
    <row r="226" spans="1:6" hidden="1">
      <c r="A226" s="33" t="s">
        <v>320</v>
      </c>
      <c r="B226" s="52">
        <v>50</v>
      </c>
      <c r="C226" s="68" t="s">
        <v>321</v>
      </c>
      <c r="D226" s="87"/>
      <c r="E226" s="1"/>
      <c r="F226" s="1"/>
    </row>
    <row r="227" spans="1:6" hidden="1">
      <c r="A227" s="20" t="s">
        <v>325</v>
      </c>
      <c r="B227" s="76">
        <v>95</v>
      </c>
      <c r="C227" s="66" t="s">
        <v>321</v>
      </c>
      <c r="D227" s="87"/>
      <c r="E227" s="1"/>
      <c r="F227" s="1"/>
    </row>
    <row r="228" spans="1:6" hidden="1">
      <c r="A228" s="20" t="s">
        <v>324</v>
      </c>
      <c r="B228" s="76">
        <v>118</v>
      </c>
      <c r="C228" s="66" t="s">
        <v>321</v>
      </c>
      <c r="D228" s="87"/>
      <c r="E228" s="1"/>
      <c r="F228" s="1"/>
    </row>
    <row r="229" spans="1:6" hidden="1">
      <c r="A229" s="2" t="s">
        <v>326</v>
      </c>
      <c r="B229" s="56">
        <v>241</v>
      </c>
      <c r="C229" s="60" t="s">
        <v>321</v>
      </c>
      <c r="D229" s="87"/>
      <c r="E229" s="1"/>
      <c r="F229" s="1"/>
    </row>
    <row r="230" spans="1:6" hidden="1">
      <c r="A230" s="1" t="s">
        <v>327</v>
      </c>
      <c r="B230" s="53">
        <v>77</v>
      </c>
      <c r="C230" s="61" t="s">
        <v>321</v>
      </c>
      <c r="D230" s="87"/>
      <c r="E230" s="1"/>
      <c r="F230" s="1"/>
    </row>
    <row r="231" spans="1:6" hidden="1">
      <c r="A231" s="31" t="s">
        <v>328</v>
      </c>
      <c r="B231" s="54">
        <v>112</v>
      </c>
      <c r="C231" s="65" t="s">
        <v>321</v>
      </c>
      <c r="D231" s="87"/>
      <c r="E231" s="1"/>
      <c r="F231" s="1"/>
    </row>
    <row r="232" spans="1:6" ht="15.75" hidden="1" thickBot="1">
      <c r="A232" s="5" t="s">
        <v>322</v>
      </c>
      <c r="B232" s="77">
        <v>124</v>
      </c>
      <c r="C232" s="63" t="s">
        <v>321</v>
      </c>
      <c r="D232" s="87"/>
      <c r="E232" s="1"/>
      <c r="F232" s="1"/>
    </row>
    <row r="233" spans="1:6" hidden="1">
      <c r="A233" s="2" t="s">
        <v>330</v>
      </c>
      <c r="B233" s="56">
        <v>1</v>
      </c>
      <c r="C233" s="67" t="s">
        <v>321</v>
      </c>
      <c r="D233" s="87"/>
      <c r="E233" s="1"/>
      <c r="F233" s="1"/>
    </row>
    <row r="234" spans="1:6" hidden="1">
      <c r="A234" s="41" t="s">
        <v>662</v>
      </c>
      <c r="B234" s="75">
        <v>23</v>
      </c>
      <c r="C234" t="s">
        <v>321</v>
      </c>
      <c r="D234" s="87"/>
      <c r="E234" s="1"/>
      <c r="F234" s="1"/>
    </row>
    <row r="235" spans="1:6" hidden="1">
      <c r="A235" s="33" t="s">
        <v>170</v>
      </c>
      <c r="B235" s="33">
        <v>1</v>
      </c>
      <c r="C235" s="68"/>
      <c r="D235" s="87"/>
      <c r="E235" s="78"/>
      <c r="F235" s="78"/>
    </row>
    <row r="236" spans="1:6" hidden="1">
      <c r="A236" s="1" t="s">
        <v>417</v>
      </c>
      <c r="B236" s="1">
        <v>11</v>
      </c>
      <c r="C236" s="61" t="s">
        <v>281</v>
      </c>
      <c r="D236" s="87"/>
      <c r="E236" s="1"/>
      <c r="F236" s="1"/>
    </row>
    <row r="237" spans="1:6" hidden="1">
      <c r="A237" s="1" t="s">
        <v>416</v>
      </c>
      <c r="B237" s="1">
        <v>1</v>
      </c>
      <c r="C237" s="61" t="s">
        <v>281</v>
      </c>
      <c r="D237" s="87"/>
      <c r="E237" s="1"/>
      <c r="F237" s="1"/>
    </row>
    <row r="238" spans="1:6" hidden="1">
      <c r="A238" s="1" t="s">
        <v>182</v>
      </c>
      <c r="B238" s="1">
        <v>2</v>
      </c>
      <c r="C238" s="61" t="s">
        <v>172</v>
      </c>
      <c r="D238" s="87"/>
      <c r="E238" s="1"/>
      <c r="F238" s="1"/>
    </row>
    <row r="239" spans="1:6" hidden="1">
      <c r="A239" s="1" t="s">
        <v>303</v>
      </c>
      <c r="B239" s="1">
        <v>55</v>
      </c>
      <c r="C239" s="61" t="s">
        <v>281</v>
      </c>
      <c r="D239" s="87"/>
      <c r="E239" s="1"/>
      <c r="F239" s="1"/>
    </row>
    <row r="240" spans="1:6" hidden="1">
      <c r="A240" s="1" t="s">
        <v>282</v>
      </c>
      <c r="B240" s="1">
        <v>20</v>
      </c>
      <c r="C240" s="61" t="s">
        <v>283</v>
      </c>
      <c r="D240" s="87"/>
      <c r="E240" s="1"/>
      <c r="F240" s="1"/>
    </row>
    <row r="241" spans="1:7" hidden="1">
      <c r="A241" s="1" t="s">
        <v>304</v>
      </c>
      <c r="B241" s="1">
        <v>3</v>
      </c>
      <c r="C241" s="61" t="s">
        <v>281</v>
      </c>
      <c r="D241" s="87"/>
      <c r="E241" s="1"/>
      <c r="F241" s="1"/>
    </row>
    <row r="242" spans="1:7" hidden="1">
      <c r="A242" s="1" t="s">
        <v>284</v>
      </c>
      <c r="B242" s="1">
        <v>4</v>
      </c>
      <c r="C242" s="61" t="s">
        <v>283</v>
      </c>
      <c r="D242" s="87"/>
      <c r="E242" s="1"/>
      <c r="F242" s="1"/>
    </row>
    <row r="243" spans="1:7" hidden="1">
      <c r="A243" s="96" t="s">
        <v>167</v>
      </c>
      <c r="B243" s="1">
        <v>14</v>
      </c>
      <c r="C243" s="61" t="s">
        <v>32</v>
      </c>
      <c r="D243" s="87"/>
      <c r="E243" s="1"/>
      <c r="F243" s="1">
        <v>14</v>
      </c>
      <c r="G243">
        <f>+B243+B245</f>
        <v>85</v>
      </c>
    </row>
    <row r="244" spans="1:7" hidden="1">
      <c r="A244" s="97" t="s">
        <v>45</v>
      </c>
      <c r="B244" s="9">
        <v>58</v>
      </c>
      <c r="C244" s="62" t="s">
        <v>32</v>
      </c>
      <c r="D244" s="87"/>
      <c r="E244" s="1"/>
      <c r="F244" s="1">
        <v>56</v>
      </c>
    </row>
    <row r="245" spans="1:7" hidden="1">
      <c r="A245" s="98" t="s">
        <v>65</v>
      </c>
      <c r="B245" s="2">
        <v>71</v>
      </c>
      <c r="C245" s="60" t="s">
        <v>32</v>
      </c>
      <c r="D245" s="87"/>
      <c r="E245" s="1"/>
      <c r="F245" s="1">
        <f>55-F243</f>
        <v>41</v>
      </c>
    </row>
    <row r="246" spans="1:7" hidden="1">
      <c r="A246" s="96" t="s">
        <v>124</v>
      </c>
      <c r="B246" s="1">
        <v>16</v>
      </c>
      <c r="C246" s="61" t="s">
        <v>32</v>
      </c>
      <c r="D246" s="87"/>
      <c r="E246" s="1"/>
      <c r="F246" s="1">
        <v>17</v>
      </c>
    </row>
    <row r="247" spans="1:7" hidden="1">
      <c r="A247" s="96" t="s">
        <v>39</v>
      </c>
      <c r="B247" s="1">
        <v>26</v>
      </c>
      <c r="C247" s="61" t="s">
        <v>32</v>
      </c>
      <c r="D247" s="87"/>
      <c r="E247" s="1"/>
      <c r="F247" s="1">
        <v>26</v>
      </c>
    </row>
    <row r="248" spans="1:7" hidden="1">
      <c r="A248" s="96" t="s">
        <v>134</v>
      </c>
      <c r="B248" s="1">
        <v>3</v>
      </c>
      <c r="C248" s="61" t="s">
        <v>32</v>
      </c>
      <c r="D248" s="87"/>
      <c r="E248" s="1"/>
      <c r="F248" s="1">
        <v>2</v>
      </c>
    </row>
    <row r="249" spans="1:7" hidden="1">
      <c r="A249" s="96" t="s">
        <v>266</v>
      </c>
      <c r="B249" s="1">
        <v>9</v>
      </c>
      <c r="C249" s="61" t="s">
        <v>32</v>
      </c>
      <c r="D249" s="87"/>
      <c r="E249" s="1"/>
      <c r="F249" s="1">
        <v>9</v>
      </c>
    </row>
    <row r="250" spans="1:7" hidden="1">
      <c r="A250" s="96" t="s">
        <v>202</v>
      </c>
      <c r="B250" s="1">
        <v>4</v>
      </c>
      <c r="C250" s="61" t="s">
        <v>32</v>
      </c>
      <c r="D250" s="87"/>
      <c r="E250" s="1"/>
      <c r="F250" s="1">
        <v>3</v>
      </c>
    </row>
    <row r="251" spans="1:7" hidden="1">
      <c r="A251" s="96" t="s">
        <v>202</v>
      </c>
      <c r="B251" s="1">
        <v>7</v>
      </c>
      <c r="C251" s="61" t="s">
        <v>32</v>
      </c>
      <c r="D251" s="87"/>
      <c r="E251" s="1"/>
      <c r="F251" s="1">
        <v>0</v>
      </c>
    </row>
    <row r="252" spans="1:7" hidden="1">
      <c r="A252" s="96" t="s">
        <v>55</v>
      </c>
      <c r="B252" s="1">
        <v>5</v>
      </c>
      <c r="C252" s="61" t="s">
        <v>32</v>
      </c>
      <c r="D252" s="87"/>
      <c r="E252" s="1"/>
      <c r="F252" s="1">
        <v>14</v>
      </c>
    </row>
    <row r="253" spans="1:7" hidden="1">
      <c r="A253" s="96" t="s">
        <v>201</v>
      </c>
      <c r="B253" s="1">
        <v>1</v>
      </c>
      <c r="C253" s="61" t="s">
        <v>32</v>
      </c>
      <c r="D253" s="87"/>
      <c r="E253" s="1"/>
      <c r="F253" s="1">
        <v>1</v>
      </c>
    </row>
    <row r="254" spans="1:7" hidden="1">
      <c r="A254" s="96" t="s">
        <v>201</v>
      </c>
      <c r="B254" s="1">
        <v>3</v>
      </c>
      <c r="C254" s="61" t="s">
        <v>32</v>
      </c>
      <c r="D254" s="87"/>
      <c r="E254" s="1"/>
      <c r="F254" s="1">
        <v>0</v>
      </c>
    </row>
    <row r="255" spans="1:7" hidden="1">
      <c r="A255" s="97" t="s">
        <v>201</v>
      </c>
      <c r="B255" s="9">
        <v>11</v>
      </c>
      <c r="C255" s="62" t="s">
        <v>32</v>
      </c>
      <c r="D255" s="87"/>
      <c r="E255" s="1"/>
      <c r="F255" s="1">
        <v>11</v>
      </c>
    </row>
    <row r="256" spans="1:7" hidden="1">
      <c r="A256" s="103" t="s">
        <v>56</v>
      </c>
      <c r="B256" s="20">
        <v>1</v>
      </c>
      <c r="C256" s="66" t="s">
        <v>32</v>
      </c>
      <c r="D256" s="87"/>
      <c r="E256" s="9"/>
      <c r="F256" s="9">
        <v>1</v>
      </c>
    </row>
    <row r="257" spans="1:7" hidden="1">
      <c r="A257" s="96" t="s">
        <v>756</v>
      </c>
      <c r="B257" s="1">
        <v>28</v>
      </c>
      <c r="C257" s="1" t="s">
        <v>360</v>
      </c>
      <c r="D257" s="90"/>
      <c r="E257" s="1"/>
      <c r="F257" s="1">
        <v>28</v>
      </c>
    </row>
    <row r="258" spans="1:7" hidden="1">
      <c r="A258" s="1" t="s">
        <v>663</v>
      </c>
      <c r="B258" s="1">
        <v>2</v>
      </c>
      <c r="C258" s="86" t="s">
        <v>13</v>
      </c>
      <c r="D258" s="87"/>
      <c r="E258" s="13"/>
      <c r="F258" s="1"/>
    </row>
    <row r="259" spans="1:7" hidden="1">
      <c r="A259" s="1" t="s">
        <v>184</v>
      </c>
      <c r="B259" s="1">
        <v>8</v>
      </c>
      <c r="C259" s="61" t="s">
        <v>172</v>
      </c>
      <c r="D259" s="87"/>
      <c r="E259" s="1"/>
      <c r="F259" s="1"/>
    </row>
    <row r="260" spans="1:7" hidden="1">
      <c r="A260" s="9" t="s">
        <v>183</v>
      </c>
      <c r="B260" s="9">
        <v>2</v>
      </c>
      <c r="C260" s="62" t="s">
        <v>172</v>
      </c>
      <c r="D260" s="87"/>
      <c r="E260" s="1"/>
      <c r="F260" s="1"/>
    </row>
    <row r="261" spans="1:7" hidden="1">
      <c r="A261" s="2" t="s">
        <v>301</v>
      </c>
      <c r="B261" s="2">
        <v>33</v>
      </c>
      <c r="C261" s="60" t="s">
        <v>281</v>
      </c>
      <c r="D261" s="87"/>
      <c r="E261" s="1"/>
      <c r="F261" s="1"/>
    </row>
    <row r="262" spans="1:7" hidden="1">
      <c r="A262" s="1" t="s">
        <v>285</v>
      </c>
      <c r="B262" s="1">
        <v>32</v>
      </c>
      <c r="C262" s="61" t="s">
        <v>283</v>
      </c>
      <c r="D262" s="87"/>
      <c r="E262" s="1"/>
      <c r="F262" s="1"/>
    </row>
    <row r="263" spans="1:7" hidden="1">
      <c r="A263" s="1" t="s">
        <v>287</v>
      </c>
      <c r="B263" s="1">
        <v>1</v>
      </c>
      <c r="C263" s="61" t="s">
        <v>283</v>
      </c>
      <c r="D263" s="87"/>
      <c r="E263" s="1"/>
      <c r="F263" s="1"/>
    </row>
    <row r="264" spans="1:7" hidden="1">
      <c r="A264" s="1" t="s">
        <v>302</v>
      </c>
      <c r="B264" s="1">
        <v>1</v>
      </c>
      <c r="C264" s="61" t="s">
        <v>281</v>
      </c>
      <c r="D264" s="87"/>
      <c r="E264" s="1"/>
      <c r="F264" s="1"/>
    </row>
    <row r="265" spans="1:7" hidden="1">
      <c r="A265" s="9" t="s">
        <v>286</v>
      </c>
      <c r="B265" s="9">
        <v>2</v>
      </c>
      <c r="C265" s="62" t="s">
        <v>283</v>
      </c>
      <c r="D265" s="87"/>
      <c r="E265" s="1"/>
      <c r="F265" s="1"/>
    </row>
    <row r="266" spans="1:7" hidden="1">
      <c r="A266" s="98" t="s">
        <v>46</v>
      </c>
      <c r="B266" s="2">
        <v>13</v>
      </c>
      <c r="C266" s="60" t="s">
        <v>32</v>
      </c>
      <c r="D266" s="87"/>
      <c r="E266" s="1"/>
      <c r="F266" s="1">
        <v>10</v>
      </c>
    </row>
    <row r="267" spans="1:7" hidden="1">
      <c r="A267" s="96" t="s">
        <v>66</v>
      </c>
      <c r="B267" s="1">
        <v>10</v>
      </c>
      <c r="C267" s="61" t="s">
        <v>32</v>
      </c>
      <c r="D267" s="87"/>
      <c r="E267" s="1"/>
      <c r="F267" s="1">
        <v>29</v>
      </c>
    </row>
    <row r="268" spans="1:7" hidden="1">
      <c r="A268" s="96" t="s">
        <v>125</v>
      </c>
      <c r="B268" s="1">
        <v>22</v>
      </c>
      <c r="C268" s="61" t="s">
        <v>32</v>
      </c>
      <c r="D268" s="87"/>
      <c r="E268" s="1"/>
      <c r="F268" s="1">
        <v>24</v>
      </c>
    </row>
    <row r="269" spans="1:7" hidden="1">
      <c r="A269" s="96" t="s">
        <v>40</v>
      </c>
      <c r="B269" s="1">
        <v>11</v>
      </c>
      <c r="C269" s="61" t="s">
        <v>32</v>
      </c>
      <c r="D269" s="87"/>
      <c r="E269" s="1"/>
      <c r="F269" s="1">
        <v>11</v>
      </c>
    </row>
    <row r="270" spans="1:7" hidden="1">
      <c r="A270" s="97" t="s">
        <v>135</v>
      </c>
      <c r="B270" s="9">
        <v>4</v>
      </c>
      <c r="C270" s="62" t="s">
        <v>32</v>
      </c>
      <c r="D270" s="87"/>
      <c r="E270" s="1"/>
      <c r="F270" s="1">
        <v>6</v>
      </c>
      <c r="G270" t="s">
        <v>757</v>
      </c>
    </row>
    <row r="271" spans="1:7" hidden="1">
      <c r="A271" s="98" t="s">
        <v>267</v>
      </c>
      <c r="B271" s="2">
        <v>5</v>
      </c>
      <c r="C271" s="60" t="s">
        <v>32</v>
      </c>
      <c r="D271" s="87"/>
      <c r="E271" s="1"/>
      <c r="F271" s="1">
        <v>5</v>
      </c>
    </row>
    <row r="272" spans="1:7" hidden="1">
      <c r="A272" s="96" t="s">
        <v>203</v>
      </c>
      <c r="B272" s="1">
        <v>1</v>
      </c>
      <c r="C272" s="61" t="s">
        <v>32</v>
      </c>
      <c r="D272" s="87"/>
      <c r="E272" s="1"/>
      <c r="F272" s="1">
        <v>0</v>
      </c>
    </row>
    <row r="273" spans="1:6" hidden="1">
      <c r="A273" s="97" t="s">
        <v>57</v>
      </c>
      <c r="B273" s="9">
        <v>8</v>
      </c>
      <c r="C273" s="62" t="s">
        <v>32</v>
      </c>
      <c r="D273" s="87"/>
      <c r="E273" s="1"/>
      <c r="F273" s="1">
        <v>20</v>
      </c>
    </row>
    <row r="274" spans="1:6" hidden="1">
      <c r="A274" s="98" t="s">
        <v>263</v>
      </c>
      <c r="B274" s="2">
        <v>5</v>
      </c>
      <c r="C274" s="60" t="s">
        <v>32</v>
      </c>
      <c r="D274" s="87"/>
      <c r="E274" s="1"/>
      <c r="F274" s="1">
        <v>5</v>
      </c>
    </row>
    <row r="275" spans="1:6" hidden="1">
      <c r="A275" s="96" t="s">
        <v>126</v>
      </c>
      <c r="B275" s="1">
        <v>13</v>
      </c>
      <c r="C275" s="61" t="s">
        <v>32</v>
      </c>
      <c r="D275" s="87"/>
      <c r="E275" s="1"/>
      <c r="F275" s="1">
        <v>13</v>
      </c>
    </row>
    <row r="276" spans="1:6" hidden="1">
      <c r="A276" s="97" t="s">
        <v>41</v>
      </c>
      <c r="B276" s="9">
        <v>8</v>
      </c>
      <c r="C276" s="62" t="s">
        <v>32</v>
      </c>
      <c r="D276" s="87"/>
      <c r="E276" s="1"/>
      <c r="F276" s="1">
        <v>8</v>
      </c>
    </row>
    <row r="277" spans="1:6" hidden="1">
      <c r="A277" s="98" t="s">
        <v>377</v>
      </c>
      <c r="B277" s="2">
        <v>1</v>
      </c>
      <c r="C277" s="60" t="s">
        <v>360</v>
      </c>
      <c r="D277" s="87"/>
      <c r="E277" s="1"/>
      <c r="F277" s="1">
        <v>0</v>
      </c>
    </row>
    <row r="278" spans="1:6" hidden="1">
      <c r="A278" s="31" t="s">
        <v>378</v>
      </c>
      <c r="B278" s="1">
        <v>3</v>
      </c>
      <c r="C278" s="61"/>
      <c r="D278" s="87"/>
      <c r="E278" s="1"/>
      <c r="F278" s="1"/>
    </row>
    <row r="279" spans="1:6" hidden="1">
      <c r="A279" s="31" t="s">
        <v>420</v>
      </c>
      <c r="B279" s="1">
        <v>1</v>
      </c>
      <c r="C279" s="61"/>
      <c r="D279" s="87"/>
      <c r="E279" s="1"/>
      <c r="F279" s="1"/>
    </row>
    <row r="280" spans="1:6" hidden="1">
      <c r="A280" s="31" t="s">
        <v>379</v>
      </c>
      <c r="B280" s="1">
        <v>2</v>
      </c>
      <c r="C280" s="61"/>
      <c r="D280" s="87"/>
      <c r="E280" s="1"/>
      <c r="F280" s="1"/>
    </row>
    <row r="281" spans="1:6" hidden="1">
      <c r="A281" s="1" t="s">
        <v>380</v>
      </c>
      <c r="B281" s="1">
        <v>2</v>
      </c>
      <c r="C281" s="61" t="s">
        <v>355</v>
      </c>
      <c r="D281" s="87"/>
      <c r="E281" s="1"/>
      <c r="F281" s="1"/>
    </row>
    <row r="282" spans="1:6" hidden="1">
      <c r="A282" s="1" t="s">
        <v>381</v>
      </c>
      <c r="B282" s="1">
        <v>1</v>
      </c>
      <c r="C282" s="61" t="s">
        <v>355</v>
      </c>
      <c r="D282" s="87"/>
      <c r="E282" s="1"/>
      <c r="F282" s="1"/>
    </row>
    <row r="283" spans="1:6" hidden="1">
      <c r="A283" s="78" t="s">
        <v>664</v>
      </c>
      <c r="B283" s="1">
        <v>4</v>
      </c>
      <c r="C283" s="79" t="s">
        <v>13</v>
      </c>
      <c r="D283" s="87"/>
      <c r="E283" s="1" t="s">
        <v>665</v>
      </c>
      <c r="F283" s="1"/>
    </row>
    <row r="284" spans="1:6" hidden="1">
      <c r="A284" s="78" t="s">
        <v>666</v>
      </c>
      <c r="B284" s="1">
        <v>1</v>
      </c>
      <c r="C284" s="79" t="s">
        <v>13</v>
      </c>
      <c r="D284" s="87"/>
      <c r="E284" s="1" t="s">
        <v>665</v>
      </c>
      <c r="F284" s="1"/>
    </row>
    <row r="285" spans="1:6" hidden="1">
      <c r="A285" s="78" t="s">
        <v>667</v>
      </c>
      <c r="B285" s="1">
        <v>1</v>
      </c>
      <c r="C285" s="79" t="s">
        <v>13</v>
      </c>
      <c r="D285" s="87"/>
      <c r="E285" s="1" t="s">
        <v>665</v>
      </c>
      <c r="F285" s="1"/>
    </row>
    <row r="286" spans="1:6" hidden="1">
      <c r="A286" s="78" t="s">
        <v>668</v>
      </c>
      <c r="B286" s="1">
        <v>1</v>
      </c>
      <c r="C286" s="79" t="s">
        <v>13</v>
      </c>
      <c r="D286" s="87"/>
      <c r="E286" s="1" t="s">
        <v>665</v>
      </c>
      <c r="F286" s="1"/>
    </row>
    <row r="287" spans="1:6" hidden="1">
      <c r="A287" s="78" t="s">
        <v>669</v>
      </c>
      <c r="B287" s="1">
        <v>2</v>
      </c>
      <c r="C287" s="79" t="s">
        <v>13</v>
      </c>
      <c r="D287" s="87"/>
      <c r="E287" s="1" t="s">
        <v>665</v>
      </c>
      <c r="F287" s="1"/>
    </row>
    <row r="288" spans="1:6" hidden="1">
      <c r="A288" s="78" t="s">
        <v>670</v>
      </c>
      <c r="B288" s="1">
        <v>1</v>
      </c>
      <c r="C288" s="79" t="s">
        <v>671</v>
      </c>
      <c r="D288" s="87"/>
      <c r="E288" s="1" t="s">
        <v>665</v>
      </c>
      <c r="F288" s="1"/>
    </row>
    <row r="289" spans="1:6" hidden="1">
      <c r="A289" s="78" t="s">
        <v>672</v>
      </c>
      <c r="B289" s="1">
        <v>23</v>
      </c>
      <c r="C289" s="79" t="s">
        <v>13</v>
      </c>
      <c r="D289" s="87"/>
      <c r="E289" s="1" t="s">
        <v>665</v>
      </c>
      <c r="F289" s="1"/>
    </row>
    <row r="290" spans="1:6" hidden="1">
      <c r="A290" s="92" t="s">
        <v>673</v>
      </c>
      <c r="B290" s="9">
        <v>1</v>
      </c>
      <c r="C290" s="84" t="s">
        <v>13</v>
      </c>
      <c r="D290" s="87"/>
      <c r="E290" s="1" t="s">
        <v>665</v>
      </c>
      <c r="F290" s="1"/>
    </row>
    <row r="291" spans="1:6" hidden="1">
      <c r="A291" s="81" t="s">
        <v>674</v>
      </c>
      <c r="B291" s="2">
        <v>22</v>
      </c>
      <c r="C291" s="82" t="s">
        <v>13</v>
      </c>
      <c r="D291" s="87"/>
      <c r="E291" s="1" t="s">
        <v>665</v>
      </c>
      <c r="F291" s="1"/>
    </row>
    <row r="292" spans="1:6" hidden="1">
      <c r="A292" s="78" t="s">
        <v>675</v>
      </c>
      <c r="B292" s="1">
        <v>5</v>
      </c>
      <c r="C292" s="79" t="s">
        <v>13</v>
      </c>
      <c r="D292" s="87"/>
      <c r="E292" s="1" t="s">
        <v>665</v>
      </c>
      <c r="F292" s="1"/>
    </row>
    <row r="293" spans="1:6" hidden="1">
      <c r="A293" s="78" t="s">
        <v>676</v>
      </c>
      <c r="B293" s="1">
        <v>4</v>
      </c>
      <c r="C293" s="79" t="s">
        <v>13</v>
      </c>
      <c r="D293" s="87"/>
      <c r="E293" s="1" t="s">
        <v>665</v>
      </c>
      <c r="F293" s="1"/>
    </row>
    <row r="294" spans="1:6" hidden="1">
      <c r="A294" s="78" t="s">
        <v>677</v>
      </c>
      <c r="B294" s="1">
        <v>1</v>
      </c>
      <c r="C294" s="79" t="s">
        <v>13</v>
      </c>
      <c r="D294" s="87"/>
      <c r="E294" s="1" t="s">
        <v>665</v>
      </c>
      <c r="F294" s="1"/>
    </row>
    <row r="295" spans="1:6" hidden="1">
      <c r="A295" s="78" t="s">
        <v>678</v>
      </c>
      <c r="B295" s="1">
        <v>2</v>
      </c>
      <c r="C295" s="79" t="s">
        <v>13</v>
      </c>
      <c r="D295" s="87"/>
      <c r="E295" s="1" t="s">
        <v>665</v>
      </c>
      <c r="F295" s="1"/>
    </row>
    <row r="296" spans="1:6" hidden="1">
      <c r="A296" s="78" t="s">
        <v>679</v>
      </c>
      <c r="B296" s="1">
        <v>2</v>
      </c>
      <c r="C296" s="79" t="s">
        <v>13</v>
      </c>
      <c r="D296" s="87"/>
      <c r="E296" s="1" t="s">
        <v>665</v>
      </c>
      <c r="F296" s="1"/>
    </row>
    <row r="297" spans="1:6" hidden="1">
      <c r="A297" s="78" t="s">
        <v>680</v>
      </c>
      <c r="B297" s="1">
        <v>1</v>
      </c>
      <c r="C297" s="79" t="s">
        <v>13</v>
      </c>
      <c r="D297" s="87"/>
      <c r="E297" s="1" t="s">
        <v>665</v>
      </c>
      <c r="F297" s="1"/>
    </row>
    <row r="298" spans="1:6" hidden="1">
      <c r="A298" s="78" t="s">
        <v>681</v>
      </c>
      <c r="B298" s="1">
        <v>6</v>
      </c>
      <c r="C298" s="79" t="s">
        <v>13</v>
      </c>
      <c r="D298" s="87"/>
      <c r="E298" s="1" t="s">
        <v>665</v>
      </c>
      <c r="F298" s="1"/>
    </row>
    <row r="299" spans="1:6" hidden="1">
      <c r="A299" s="78" t="s">
        <v>682</v>
      </c>
      <c r="B299" s="1">
        <v>4</v>
      </c>
      <c r="C299" s="79" t="s">
        <v>13</v>
      </c>
      <c r="D299" s="87"/>
      <c r="E299" s="1" t="s">
        <v>665</v>
      </c>
      <c r="F299" s="1"/>
    </row>
    <row r="300" spans="1:6" hidden="1">
      <c r="A300" s="78" t="s">
        <v>683</v>
      </c>
      <c r="B300" s="1">
        <v>1</v>
      </c>
      <c r="C300" s="79" t="s">
        <v>13</v>
      </c>
      <c r="D300" s="87"/>
      <c r="E300" s="1" t="s">
        <v>665</v>
      </c>
      <c r="F300" s="1"/>
    </row>
    <row r="301" spans="1:6" hidden="1">
      <c r="A301" s="78" t="s">
        <v>684</v>
      </c>
      <c r="B301" s="1">
        <v>4</v>
      </c>
      <c r="C301" s="79" t="s">
        <v>13</v>
      </c>
      <c r="D301" s="87"/>
      <c r="E301" s="1" t="s">
        <v>665</v>
      </c>
      <c r="F301" s="1"/>
    </row>
    <row r="302" spans="1:6" hidden="1">
      <c r="A302" s="78" t="s">
        <v>685</v>
      </c>
      <c r="B302" s="1">
        <v>2</v>
      </c>
      <c r="C302" s="79" t="s">
        <v>13</v>
      </c>
      <c r="D302" s="87"/>
      <c r="E302" s="1" t="s">
        <v>665</v>
      </c>
      <c r="F302" s="1"/>
    </row>
    <row r="303" spans="1:6" ht="15.75" hidden="1" thickBot="1">
      <c r="A303" s="93" t="s">
        <v>686</v>
      </c>
      <c r="B303" s="5">
        <v>3</v>
      </c>
      <c r="C303" s="85" t="s">
        <v>13</v>
      </c>
      <c r="D303" s="87"/>
      <c r="E303" s="1" t="s">
        <v>665</v>
      </c>
      <c r="F303" s="1"/>
    </row>
    <row r="304" spans="1:6" hidden="1">
      <c r="A304" s="94" t="s">
        <v>687</v>
      </c>
      <c r="B304" s="13">
        <v>4</v>
      </c>
      <c r="C304" s="86" t="s">
        <v>13</v>
      </c>
      <c r="D304" s="87"/>
      <c r="E304" s="1" t="s">
        <v>665</v>
      </c>
      <c r="F304" s="1"/>
    </row>
    <row r="305" spans="1:7" hidden="1">
      <c r="A305" s="96" t="s">
        <v>758</v>
      </c>
      <c r="B305" s="13"/>
      <c r="C305" s="61" t="s">
        <v>32</v>
      </c>
      <c r="D305" s="87"/>
      <c r="E305" s="1"/>
      <c r="F305" s="1">
        <v>5</v>
      </c>
      <c r="G305" t="s">
        <v>759</v>
      </c>
    </row>
    <row r="306" spans="1:7" hidden="1">
      <c r="A306" s="96" t="s">
        <v>760</v>
      </c>
      <c r="B306" s="1">
        <v>7</v>
      </c>
      <c r="C306" s="61" t="s">
        <v>32</v>
      </c>
      <c r="D306" s="87"/>
      <c r="E306" s="1"/>
      <c r="F306" s="1">
        <v>14</v>
      </c>
      <c r="G306" t="s">
        <v>759</v>
      </c>
    </row>
    <row r="307" spans="1:7" hidden="1">
      <c r="A307" s="1" t="s">
        <v>489</v>
      </c>
      <c r="B307" s="1">
        <v>2</v>
      </c>
      <c r="C307" s="79" t="s">
        <v>448</v>
      </c>
      <c r="D307" s="87"/>
      <c r="E307" s="1"/>
      <c r="F307" s="1"/>
    </row>
    <row r="308" spans="1:7" hidden="1">
      <c r="A308" s="1" t="s">
        <v>548</v>
      </c>
      <c r="B308" s="1">
        <v>5</v>
      </c>
      <c r="C308" s="79" t="s">
        <v>448</v>
      </c>
      <c r="D308" s="87"/>
      <c r="E308" s="1"/>
      <c r="F308" s="1"/>
    </row>
    <row r="309" spans="1:7" hidden="1">
      <c r="A309" s="1" t="s">
        <v>547</v>
      </c>
      <c r="B309" s="1">
        <v>7</v>
      </c>
      <c r="C309" s="79" t="s">
        <v>448</v>
      </c>
      <c r="D309" s="87"/>
      <c r="E309" s="1"/>
      <c r="F309" s="1"/>
    </row>
    <row r="310" spans="1:7" hidden="1">
      <c r="A310" s="1" t="s">
        <v>383</v>
      </c>
      <c r="B310" s="1">
        <v>74</v>
      </c>
      <c r="C310" s="61" t="s">
        <v>355</v>
      </c>
      <c r="D310" s="87"/>
      <c r="E310" s="1"/>
      <c r="F310" s="1"/>
    </row>
    <row r="311" spans="1:7" hidden="1">
      <c r="A311" s="1" t="s">
        <v>688</v>
      </c>
      <c r="B311" s="1">
        <v>3</v>
      </c>
      <c r="C311" s="79" t="s">
        <v>13</v>
      </c>
      <c r="D311" s="87"/>
      <c r="E311" s="1"/>
      <c r="F311" s="1"/>
    </row>
    <row r="312" spans="1:7" hidden="1">
      <c r="A312" s="1" t="s">
        <v>689</v>
      </c>
      <c r="B312" s="1">
        <v>2</v>
      </c>
      <c r="C312" s="61" t="s">
        <v>13</v>
      </c>
      <c r="D312" s="87"/>
      <c r="E312" s="1"/>
      <c r="F312" s="1"/>
    </row>
    <row r="313" spans="1:7" hidden="1">
      <c r="A313" s="1" t="s">
        <v>690</v>
      </c>
      <c r="B313" s="1">
        <v>5</v>
      </c>
      <c r="C313" s="61" t="s">
        <v>13</v>
      </c>
      <c r="D313" s="87"/>
      <c r="E313" s="1"/>
      <c r="F313" s="1"/>
    </row>
    <row r="314" spans="1:7" ht="15.75" hidden="1" thickBot="1">
      <c r="A314" s="5" t="s">
        <v>691</v>
      </c>
      <c r="B314" s="5">
        <v>5</v>
      </c>
      <c r="C314" s="63" t="s">
        <v>13</v>
      </c>
      <c r="D314" s="87"/>
      <c r="E314" s="1"/>
      <c r="F314" s="1"/>
    </row>
    <row r="315" spans="1:7" hidden="1">
      <c r="A315" s="2" t="s">
        <v>692</v>
      </c>
      <c r="B315" s="2">
        <v>1</v>
      </c>
      <c r="C315" s="60" t="s">
        <v>13</v>
      </c>
      <c r="D315" s="87"/>
      <c r="E315" s="1"/>
      <c r="F315" s="1"/>
    </row>
    <row r="316" spans="1:7" hidden="1">
      <c r="A316" s="1" t="s">
        <v>692</v>
      </c>
      <c r="B316" s="1">
        <v>2</v>
      </c>
      <c r="C316" s="61" t="s">
        <v>13</v>
      </c>
      <c r="D316" s="87"/>
      <c r="E316" s="1"/>
      <c r="F316" s="1"/>
    </row>
    <row r="317" spans="1:7" hidden="1">
      <c r="A317" s="1" t="s">
        <v>693</v>
      </c>
      <c r="B317" s="1">
        <v>9</v>
      </c>
      <c r="C317" s="61" t="s">
        <v>13</v>
      </c>
      <c r="D317" s="87"/>
      <c r="E317" s="1"/>
      <c r="F317" s="1"/>
    </row>
    <row r="318" spans="1:7" hidden="1">
      <c r="A318" s="1" t="s">
        <v>694</v>
      </c>
      <c r="B318" s="1">
        <v>1</v>
      </c>
      <c r="C318" s="61" t="s">
        <v>13</v>
      </c>
      <c r="D318" s="87"/>
      <c r="E318" s="1"/>
      <c r="F318" s="1"/>
    </row>
    <row r="319" spans="1:7" hidden="1">
      <c r="A319" s="1" t="s">
        <v>695</v>
      </c>
      <c r="B319" s="1">
        <v>2</v>
      </c>
      <c r="C319" s="61" t="s">
        <v>13</v>
      </c>
      <c r="D319" s="87"/>
      <c r="E319" s="1"/>
      <c r="F319" s="1"/>
    </row>
    <row r="320" spans="1:7" hidden="1">
      <c r="A320" s="1" t="s">
        <v>696</v>
      </c>
      <c r="B320" s="1">
        <v>3</v>
      </c>
      <c r="C320" s="61" t="s">
        <v>13</v>
      </c>
      <c r="D320" s="87"/>
      <c r="E320" s="1"/>
      <c r="F320" s="1"/>
    </row>
    <row r="321" spans="1:6" hidden="1">
      <c r="A321" s="31" t="s">
        <v>697</v>
      </c>
      <c r="B321" s="1">
        <v>5</v>
      </c>
      <c r="C321" s="79" t="s">
        <v>351</v>
      </c>
      <c r="D321" s="87"/>
      <c r="E321" s="1" t="s">
        <v>698</v>
      </c>
      <c r="F321" s="1"/>
    </row>
    <row r="322" spans="1:6" hidden="1">
      <c r="A322" s="9" t="s">
        <v>385</v>
      </c>
      <c r="B322" s="9">
        <v>2</v>
      </c>
      <c r="C322" s="84" t="s">
        <v>351</v>
      </c>
      <c r="D322" s="87"/>
      <c r="E322" s="1"/>
      <c r="F322" s="1"/>
    </row>
    <row r="323" spans="1:6" hidden="1">
      <c r="A323" s="2" t="s">
        <v>599</v>
      </c>
      <c r="B323" s="2">
        <v>1</v>
      </c>
      <c r="C323" s="60" t="s">
        <v>321</v>
      </c>
      <c r="D323" s="87"/>
      <c r="E323" s="1"/>
      <c r="F323" s="1"/>
    </row>
    <row r="324" spans="1:6" hidden="1">
      <c r="A324" s="9" t="s">
        <v>598</v>
      </c>
      <c r="B324" s="9">
        <v>1</v>
      </c>
      <c r="C324" s="62" t="s">
        <v>321</v>
      </c>
      <c r="D324" s="87"/>
      <c r="E324" s="1"/>
      <c r="F324" s="1"/>
    </row>
    <row r="325" spans="1:6" hidden="1">
      <c r="A325" s="2" t="s">
        <v>99</v>
      </c>
      <c r="B325" s="2">
        <v>1</v>
      </c>
      <c r="C325" s="60" t="s">
        <v>13</v>
      </c>
      <c r="D325" s="87"/>
      <c r="E325" s="1"/>
      <c r="F325" s="1"/>
    </row>
    <row r="326" spans="1:6" hidden="1">
      <c r="A326" s="1" t="s">
        <v>699</v>
      </c>
      <c r="B326" s="1">
        <v>2</v>
      </c>
      <c r="C326" s="61" t="s">
        <v>13</v>
      </c>
      <c r="D326" s="87"/>
      <c r="E326" s="1"/>
      <c r="F326" s="1"/>
    </row>
    <row r="327" spans="1:6" hidden="1">
      <c r="A327" s="1" t="s">
        <v>700</v>
      </c>
      <c r="B327" s="1">
        <v>2</v>
      </c>
      <c r="C327" s="61" t="s">
        <v>13</v>
      </c>
      <c r="D327" s="87"/>
      <c r="E327" s="1"/>
      <c r="F327" s="1"/>
    </row>
    <row r="328" spans="1:6" hidden="1">
      <c r="A328" s="1" t="s">
        <v>107</v>
      </c>
      <c r="B328" s="1">
        <v>3</v>
      </c>
      <c r="C328" s="61" t="s">
        <v>13</v>
      </c>
      <c r="D328" s="87"/>
      <c r="E328" s="1"/>
      <c r="F328" s="1"/>
    </row>
    <row r="329" spans="1:6" hidden="1">
      <c r="A329" s="1" t="s">
        <v>111</v>
      </c>
      <c r="B329" s="1">
        <v>1</v>
      </c>
      <c r="C329" s="61" t="s">
        <v>13</v>
      </c>
      <c r="D329" s="87"/>
      <c r="E329" s="1"/>
      <c r="F329" s="1"/>
    </row>
    <row r="330" spans="1:6" hidden="1">
      <c r="A330" s="1" t="s">
        <v>109</v>
      </c>
      <c r="B330" s="1">
        <v>1</v>
      </c>
      <c r="C330" s="61" t="s">
        <v>13</v>
      </c>
      <c r="D330" s="87"/>
      <c r="E330" s="1"/>
      <c r="F330" s="1"/>
    </row>
    <row r="331" spans="1:6" hidden="1">
      <c r="A331" s="1" t="s">
        <v>112</v>
      </c>
      <c r="B331" s="1">
        <v>5</v>
      </c>
      <c r="C331" s="61" t="s">
        <v>13</v>
      </c>
      <c r="D331" s="87"/>
      <c r="E331" s="1"/>
      <c r="F331" s="1"/>
    </row>
    <row r="332" spans="1:6" hidden="1">
      <c r="A332" s="1" t="s">
        <v>79</v>
      </c>
      <c r="B332" s="1">
        <v>6</v>
      </c>
      <c r="C332" s="61" t="s">
        <v>13</v>
      </c>
      <c r="D332" s="87"/>
      <c r="E332" s="1"/>
      <c r="F332" s="1"/>
    </row>
    <row r="333" spans="1:6" hidden="1">
      <c r="A333" s="1" t="s">
        <v>108</v>
      </c>
      <c r="B333" s="1">
        <v>3</v>
      </c>
      <c r="C333" s="61" t="s">
        <v>13</v>
      </c>
      <c r="D333" s="87"/>
      <c r="E333" s="1"/>
      <c r="F333" s="1"/>
    </row>
    <row r="334" spans="1:6" hidden="1">
      <c r="A334" s="1" t="s">
        <v>110</v>
      </c>
      <c r="B334" s="1">
        <v>1</v>
      </c>
      <c r="C334" s="61" t="s">
        <v>13</v>
      </c>
      <c r="D334" s="87"/>
      <c r="E334" s="1"/>
      <c r="F334" s="1"/>
    </row>
    <row r="335" spans="1:6" hidden="1">
      <c r="A335" s="1" t="s">
        <v>24</v>
      </c>
      <c r="B335" s="1">
        <v>2</v>
      </c>
      <c r="C335" s="61" t="s">
        <v>13</v>
      </c>
      <c r="D335" s="87"/>
      <c r="E335" s="1"/>
      <c r="F335" s="1"/>
    </row>
    <row r="336" spans="1:6" hidden="1">
      <c r="A336" s="96" t="s">
        <v>761</v>
      </c>
      <c r="B336" s="1">
        <v>1</v>
      </c>
      <c r="C336" s="61" t="s">
        <v>193</v>
      </c>
      <c r="D336" s="87"/>
      <c r="E336" s="1"/>
      <c r="F336" s="1" t="s">
        <v>642</v>
      </c>
    </row>
    <row r="337" spans="1:6" hidden="1">
      <c r="A337" s="96" t="s">
        <v>761</v>
      </c>
      <c r="B337" s="1">
        <v>1</v>
      </c>
      <c r="C337" s="61" t="s">
        <v>193</v>
      </c>
      <c r="D337" s="87"/>
      <c r="E337" s="1"/>
      <c r="F337" s="1" t="s">
        <v>642</v>
      </c>
    </row>
    <row r="338" spans="1:6" hidden="1">
      <c r="A338" s="78" t="s">
        <v>701</v>
      </c>
      <c r="B338" s="1">
        <v>8</v>
      </c>
      <c r="C338" s="61" t="s">
        <v>13</v>
      </c>
      <c r="D338" s="87"/>
      <c r="E338" s="1"/>
      <c r="F338" s="1"/>
    </row>
    <row r="339" spans="1:6" hidden="1">
      <c r="A339" s="1" t="s">
        <v>595</v>
      </c>
      <c r="B339" s="1">
        <v>2</v>
      </c>
      <c r="C339" s="61" t="s">
        <v>321</v>
      </c>
      <c r="D339" s="87"/>
      <c r="E339" s="1"/>
      <c r="F339" s="1"/>
    </row>
    <row r="340" spans="1:6" hidden="1">
      <c r="A340" s="9" t="s">
        <v>596</v>
      </c>
      <c r="B340" s="9">
        <v>4</v>
      </c>
      <c r="C340" s="62" t="s">
        <v>321</v>
      </c>
      <c r="D340" s="87"/>
      <c r="E340" s="1"/>
      <c r="F340" s="1"/>
    </row>
    <row r="341" spans="1:6" ht="15" hidden="1" customHeight="1">
      <c r="A341" s="2" t="s">
        <v>597</v>
      </c>
      <c r="B341" s="2">
        <v>2</v>
      </c>
      <c r="C341" s="60" t="s">
        <v>321</v>
      </c>
      <c r="D341" s="87"/>
      <c r="E341" s="1"/>
      <c r="F341" s="1"/>
    </row>
    <row r="342" spans="1:6" ht="15" hidden="1" customHeight="1">
      <c r="A342" s="1" t="s">
        <v>185</v>
      </c>
      <c r="B342" s="1">
        <v>2</v>
      </c>
      <c r="C342" s="61" t="s">
        <v>172</v>
      </c>
      <c r="D342" s="87"/>
      <c r="E342" s="1"/>
      <c r="F342" s="1"/>
    </row>
    <row r="343" spans="1:6" ht="15" hidden="1" customHeight="1">
      <c r="A343" s="96" t="s">
        <v>35</v>
      </c>
      <c r="B343" s="1">
        <v>5</v>
      </c>
      <c r="C343" s="61" t="s">
        <v>32</v>
      </c>
      <c r="D343" s="87"/>
      <c r="E343" s="1"/>
      <c r="F343" s="1">
        <v>5</v>
      </c>
    </row>
    <row r="344" spans="1:6" ht="15" hidden="1" customHeight="1">
      <c r="A344" s="96" t="s">
        <v>132</v>
      </c>
      <c r="B344" s="1">
        <v>17</v>
      </c>
      <c r="C344" s="61" t="s">
        <v>32</v>
      </c>
      <c r="D344" s="87"/>
      <c r="E344" s="1"/>
      <c r="F344" s="1">
        <v>17</v>
      </c>
    </row>
    <row r="345" spans="1:6" ht="15" hidden="1" customHeight="1">
      <c r="A345" s="96" t="s">
        <v>268</v>
      </c>
      <c r="B345" s="1">
        <v>5</v>
      </c>
      <c r="C345" s="61" t="s">
        <v>32</v>
      </c>
      <c r="D345" s="87"/>
      <c r="E345" s="1"/>
      <c r="F345" s="1">
        <v>5</v>
      </c>
    </row>
    <row r="346" spans="1:6" ht="15" hidden="1" customHeight="1">
      <c r="A346" s="96" t="s">
        <v>264</v>
      </c>
      <c r="B346" s="1">
        <v>4</v>
      </c>
      <c r="C346" s="61" t="s">
        <v>32</v>
      </c>
      <c r="D346" s="87"/>
      <c r="E346" s="1"/>
      <c r="F346" s="1">
        <v>4</v>
      </c>
    </row>
    <row r="347" spans="1:6" ht="15" hidden="1" customHeight="1">
      <c r="A347" s="96" t="s">
        <v>211</v>
      </c>
      <c r="B347" s="1">
        <v>2</v>
      </c>
      <c r="C347" s="61" t="s">
        <v>193</v>
      </c>
      <c r="D347" s="87"/>
      <c r="E347" s="1"/>
      <c r="F347" s="1">
        <v>0</v>
      </c>
    </row>
    <row r="348" spans="1:6" ht="15" hidden="1" customHeight="1">
      <c r="A348" s="96" t="s">
        <v>702</v>
      </c>
      <c r="B348" s="1">
        <v>7</v>
      </c>
      <c r="C348" s="61" t="s">
        <v>32</v>
      </c>
      <c r="D348" s="87"/>
      <c r="E348" s="1"/>
      <c r="F348" s="1">
        <v>0</v>
      </c>
    </row>
    <row r="349" spans="1:6" ht="15" hidden="1" customHeight="1">
      <c r="A349" s="96" t="s">
        <v>704</v>
      </c>
      <c r="B349" s="1">
        <v>43</v>
      </c>
      <c r="C349" s="61" t="s">
        <v>32</v>
      </c>
      <c r="D349" s="87"/>
      <c r="E349" s="1"/>
      <c r="F349" s="1">
        <v>14</v>
      </c>
    </row>
    <row r="350" spans="1:6" ht="15" hidden="1" customHeight="1">
      <c r="A350" s="96" t="s">
        <v>705</v>
      </c>
      <c r="B350" s="1">
        <v>5</v>
      </c>
      <c r="C350" s="61" t="s">
        <v>32</v>
      </c>
      <c r="D350" s="87"/>
      <c r="E350" s="1"/>
      <c r="F350" s="1">
        <v>10</v>
      </c>
    </row>
    <row r="351" spans="1:6" ht="15" hidden="1" customHeight="1">
      <c r="A351" s="96" t="s">
        <v>706</v>
      </c>
      <c r="B351" s="1">
        <v>10</v>
      </c>
      <c r="C351" s="61" t="s">
        <v>32</v>
      </c>
      <c r="D351" s="87"/>
      <c r="E351" s="1"/>
      <c r="F351" s="1">
        <v>10</v>
      </c>
    </row>
    <row r="352" spans="1:6" ht="15" hidden="1" customHeight="1">
      <c r="A352" s="96" t="s">
        <v>707</v>
      </c>
      <c r="B352" s="1">
        <v>1</v>
      </c>
      <c r="C352" s="61" t="s">
        <v>32</v>
      </c>
      <c r="D352" s="87"/>
      <c r="E352" s="1"/>
      <c r="F352" s="1">
        <v>1</v>
      </c>
    </row>
    <row r="353" spans="1:7" ht="15" hidden="1" customHeight="1">
      <c r="A353" s="96" t="s">
        <v>386</v>
      </c>
      <c r="B353" s="1">
        <v>1</v>
      </c>
      <c r="C353" s="61" t="s">
        <v>360</v>
      </c>
      <c r="D353" s="87"/>
      <c r="E353" s="1"/>
      <c r="F353" s="1">
        <v>1</v>
      </c>
    </row>
    <row r="354" spans="1:7" ht="15" hidden="1" customHeight="1">
      <c r="A354" s="96" t="s">
        <v>34</v>
      </c>
      <c r="B354" s="1">
        <v>2</v>
      </c>
      <c r="C354" s="61" t="s">
        <v>32</v>
      </c>
      <c r="D354" s="87"/>
      <c r="E354" s="1"/>
      <c r="F354" s="1">
        <v>2</v>
      </c>
    </row>
    <row r="355" spans="1:7" ht="15" hidden="1" customHeight="1">
      <c r="A355" s="96" t="s">
        <v>762</v>
      </c>
      <c r="B355" s="1"/>
      <c r="C355" s="61" t="s">
        <v>32</v>
      </c>
      <c r="D355" s="87"/>
      <c r="E355" s="1"/>
      <c r="F355" s="1">
        <v>40</v>
      </c>
    </row>
    <row r="356" spans="1:7" ht="15" hidden="1" customHeight="1">
      <c r="A356" s="96" t="s">
        <v>763</v>
      </c>
      <c r="B356" s="1">
        <v>17</v>
      </c>
      <c r="C356" s="61" t="s">
        <v>32</v>
      </c>
      <c r="D356" s="87"/>
      <c r="E356" s="1"/>
      <c r="F356" s="1">
        <v>16</v>
      </c>
    </row>
    <row r="357" spans="1:7" ht="15" hidden="1" customHeight="1">
      <c r="A357" s="96" t="s">
        <v>764</v>
      </c>
      <c r="B357" s="1">
        <v>1</v>
      </c>
      <c r="C357" s="61" t="s">
        <v>32</v>
      </c>
      <c r="D357" s="87"/>
      <c r="E357" s="1"/>
      <c r="F357" s="1">
        <v>1</v>
      </c>
    </row>
    <row r="358" spans="1:7" ht="15" hidden="1" customHeight="1">
      <c r="A358" s="96" t="s">
        <v>765</v>
      </c>
      <c r="B358" s="1"/>
      <c r="C358" s="61" t="s">
        <v>32</v>
      </c>
      <c r="D358" s="87"/>
      <c r="E358" s="1"/>
      <c r="F358" s="1">
        <v>8</v>
      </c>
      <c r="G358" t="s">
        <v>766</v>
      </c>
    </row>
    <row r="359" spans="1:7" ht="15" hidden="1" customHeight="1">
      <c r="A359" s="96" t="s">
        <v>204</v>
      </c>
      <c r="B359" s="1">
        <v>1</v>
      </c>
      <c r="C359" s="61" t="s">
        <v>32</v>
      </c>
      <c r="D359" s="87"/>
      <c r="E359" s="1"/>
      <c r="F359" s="1">
        <v>0</v>
      </c>
    </row>
    <row r="360" spans="1:7" ht="15" hidden="1" customHeight="1">
      <c r="A360" s="1" t="s">
        <v>552</v>
      </c>
      <c r="B360" s="1">
        <v>1</v>
      </c>
      <c r="C360" s="61" t="s">
        <v>460</v>
      </c>
      <c r="D360" s="90"/>
      <c r="E360" s="91">
        <f>+B360*D360</f>
        <v>0</v>
      </c>
      <c r="F360" s="1"/>
    </row>
    <row r="361" spans="1:7" ht="15" hidden="1" customHeight="1">
      <c r="A361" s="1" t="s">
        <v>551</v>
      </c>
      <c r="B361" s="1">
        <v>3</v>
      </c>
      <c r="C361" s="61" t="s">
        <v>460</v>
      </c>
      <c r="D361" s="90"/>
      <c r="E361" s="91">
        <f>+B361*D361</f>
        <v>0</v>
      </c>
      <c r="F361" s="1"/>
    </row>
    <row r="362" spans="1:7" ht="15" hidden="1" customHeight="1">
      <c r="A362" s="1" t="s">
        <v>550</v>
      </c>
      <c r="B362" s="1">
        <v>4</v>
      </c>
      <c r="C362" s="61" t="s">
        <v>460</v>
      </c>
      <c r="D362" s="90"/>
      <c r="E362" s="91">
        <f>+B362*D362</f>
        <v>0</v>
      </c>
      <c r="F362" s="1"/>
    </row>
    <row r="363" spans="1:7" ht="15" hidden="1" customHeight="1">
      <c r="A363" s="1" t="s">
        <v>171</v>
      </c>
      <c r="B363" s="1">
        <v>11</v>
      </c>
      <c r="C363" s="61" t="s">
        <v>172</v>
      </c>
      <c r="D363" s="87"/>
      <c r="E363" s="1"/>
      <c r="F363" s="1"/>
    </row>
    <row r="364" spans="1:7" ht="15" hidden="1" customHeight="1">
      <c r="A364" s="1" t="s">
        <v>174</v>
      </c>
      <c r="B364" s="1">
        <v>4</v>
      </c>
      <c r="C364" s="61" t="s">
        <v>172</v>
      </c>
      <c r="D364" s="87"/>
      <c r="E364" s="1"/>
      <c r="F364" s="1"/>
    </row>
    <row r="365" spans="1:7" ht="15" hidden="1" customHeight="1">
      <c r="A365" s="1" t="s">
        <v>173</v>
      </c>
      <c r="B365" s="1">
        <v>2</v>
      </c>
      <c r="C365" s="61" t="s">
        <v>172</v>
      </c>
      <c r="D365" s="87"/>
      <c r="E365" s="1"/>
      <c r="F365" s="1"/>
    </row>
    <row r="366" spans="1:7" ht="15" hidden="1" customHeight="1">
      <c r="A366" s="1" t="s">
        <v>175</v>
      </c>
      <c r="B366" s="1">
        <v>1</v>
      </c>
      <c r="C366" s="61" t="s">
        <v>172</v>
      </c>
      <c r="D366" s="87"/>
      <c r="E366" s="1"/>
      <c r="F366" s="1"/>
    </row>
    <row r="367" spans="1:7" ht="15" hidden="1" customHeight="1">
      <c r="A367" s="1" t="s">
        <v>571</v>
      </c>
      <c r="B367" s="1">
        <v>7</v>
      </c>
      <c r="C367" s="61" t="s">
        <v>321</v>
      </c>
      <c r="D367" s="87"/>
      <c r="E367" s="1"/>
      <c r="F367" s="1"/>
    </row>
    <row r="368" spans="1:7" ht="15" hidden="1" customHeight="1">
      <c r="A368" s="1" t="s">
        <v>572</v>
      </c>
      <c r="B368" s="1">
        <v>21</v>
      </c>
      <c r="C368" s="61" t="s">
        <v>321</v>
      </c>
      <c r="D368" s="87"/>
      <c r="E368" s="1"/>
      <c r="F368" s="1"/>
    </row>
    <row r="369" spans="1:6" ht="15" hidden="1" customHeight="1">
      <c r="A369" s="1" t="s">
        <v>569</v>
      </c>
      <c r="B369" s="1">
        <v>4</v>
      </c>
      <c r="C369" s="61" t="s">
        <v>321</v>
      </c>
      <c r="D369" s="87"/>
      <c r="E369" s="1"/>
      <c r="F369" s="1"/>
    </row>
    <row r="370" spans="1:6" ht="15" hidden="1" customHeight="1">
      <c r="A370" s="1" t="s">
        <v>570</v>
      </c>
      <c r="B370" s="1">
        <v>2</v>
      </c>
      <c r="C370" s="61" t="s">
        <v>321</v>
      </c>
      <c r="D370" s="87"/>
      <c r="E370" s="1"/>
      <c r="F370" s="1"/>
    </row>
    <row r="371" spans="1:6" ht="15" hidden="1" customHeight="1">
      <c r="A371" s="1" t="s">
        <v>568</v>
      </c>
      <c r="B371" s="1">
        <v>1</v>
      </c>
      <c r="C371" s="61" t="s">
        <v>321</v>
      </c>
      <c r="D371" s="87"/>
      <c r="E371" s="1"/>
      <c r="F371" s="1"/>
    </row>
    <row r="372" spans="1:6" ht="15" hidden="1" customHeight="1">
      <c r="A372" s="1" t="s">
        <v>567</v>
      </c>
      <c r="B372" s="1">
        <v>1</v>
      </c>
      <c r="C372" s="61" t="s">
        <v>321</v>
      </c>
      <c r="D372" s="87"/>
      <c r="E372" s="1"/>
      <c r="F372" s="1"/>
    </row>
    <row r="373" spans="1:6" ht="15" hidden="1" customHeight="1">
      <c r="A373" s="1" t="s">
        <v>26</v>
      </c>
      <c r="B373" s="1">
        <v>3</v>
      </c>
      <c r="C373" s="61" t="s">
        <v>16</v>
      </c>
      <c r="D373" s="87"/>
      <c r="E373" s="1"/>
      <c r="F373" s="1"/>
    </row>
    <row r="374" spans="1:6" ht="15" hidden="1" customHeight="1">
      <c r="A374" s="1" t="s">
        <v>22</v>
      </c>
      <c r="B374" s="1">
        <v>1</v>
      </c>
      <c r="C374" s="61" t="s">
        <v>13</v>
      </c>
      <c r="D374" s="87"/>
      <c r="E374" s="1"/>
      <c r="F374" s="1"/>
    </row>
    <row r="375" spans="1:6" ht="15" hidden="1" customHeight="1">
      <c r="A375" s="1" t="s">
        <v>21</v>
      </c>
      <c r="B375" s="1">
        <v>2</v>
      </c>
      <c r="C375" s="61" t="s">
        <v>13</v>
      </c>
      <c r="D375" s="87"/>
      <c r="E375" s="1"/>
      <c r="F375" s="1"/>
    </row>
    <row r="376" spans="1:6" ht="15" hidden="1" customHeight="1">
      <c r="A376" s="1" t="s">
        <v>20</v>
      </c>
      <c r="B376" s="1">
        <v>1</v>
      </c>
      <c r="C376" s="61" t="s">
        <v>13</v>
      </c>
      <c r="D376" s="87"/>
      <c r="E376" s="1"/>
      <c r="F376" s="1"/>
    </row>
    <row r="377" spans="1:6" ht="15" hidden="1" customHeight="1">
      <c r="A377" s="1" t="s">
        <v>76</v>
      </c>
      <c r="B377" s="1">
        <v>9</v>
      </c>
      <c r="C377" s="61" t="s">
        <v>13</v>
      </c>
      <c r="D377" s="87"/>
      <c r="E377" s="1"/>
      <c r="F377" s="1"/>
    </row>
    <row r="378" spans="1:6" ht="15" hidden="1" customHeight="1">
      <c r="A378" s="1" t="s">
        <v>77</v>
      </c>
      <c r="B378" s="1">
        <v>11</v>
      </c>
      <c r="C378" s="61" t="s">
        <v>13</v>
      </c>
      <c r="D378" s="87"/>
      <c r="E378" s="1"/>
      <c r="F378" s="1"/>
    </row>
    <row r="379" spans="1:6" ht="15" hidden="1" customHeight="1">
      <c r="A379" s="1" t="s">
        <v>25</v>
      </c>
      <c r="B379" s="1">
        <v>16</v>
      </c>
      <c r="C379" s="61" t="s">
        <v>13</v>
      </c>
      <c r="D379" s="87"/>
      <c r="E379" s="1"/>
      <c r="F379" s="1"/>
    </row>
    <row r="380" spans="1:6" ht="15" hidden="1" customHeight="1">
      <c r="A380" s="1" t="s">
        <v>91</v>
      </c>
      <c r="B380" s="1">
        <v>5</v>
      </c>
      <c r="C380" s="61" t="s">
        <v>13</v>
      </c>
      <c r="D380" s="87"/>
      <c r="E380" s="1"/>
      <c r="F380" s="1"/>
    </row>
    <row r="381" spans="1:6" ht="15" hidden="1" customHeight="1">
      <c r="A381" s="1" t="s">
        <v>708</v>
      </c>
      <c r="B381" s="1">
        <v>2</v>
      </c>
      <c r="C381" s="79" t="s">
        <v>13</v>
      </c>
      <c r="D381" s="87"/>
      <c r="E381" s="1"/>
      <c r="F381" s="1"/>
    </row>
    <row r="382" spans="1:6" ht="15" hidden="1" customHeight="1">
      <c r="A382" s="1" t="s">
        <v>296</v>
      </c>
      <c r="B382" s="1">
        <v>12</v>
      </c>
      <c r="C382" s="61" t="s">
        <v>281</v>
      </c>
      <c r="D382" s="87"/>
      <c r="E382" s="1"/>
      <c r="F382" s="1"/>
    </row>
    <row r="383" spans="1:6" ht="15" hidden="1" customHeight="1">
      <c r="A383" s="1" t="s">
        <v>289</v>
      </c>
      <c r="B383" s="1">
        <v>28</v>
      </c>
      <c r="C383" s="61" t="s">
        <v>283</v>
      </c>
      <c r="D383" s="87"/>
      <c r="E383" s="1"/>
      <c r="F383" s="1"/>
    </row>
    <row r="384" spans="1:6" ht="15" hidden="1" customHeight="1">
      <c r="A384" s="1" t="s">
        <v>291</v>
      </c>
      <c r="B384" s="1">
        <v>3</v>
      </c>
      <c r="C384" s="61" t="s">
        <v>283</v>
      </c>
      <c r="D384" s="87"/>
      <c r="E384" s="1"/>
      <c r="F384" s="1"/>
    </row>
    <row r="385" spans="1:7" ht="15" hidden="1" customHeight="1">
      <c r="A385" s="9" t="s">
        <v>290</v>
      </c>
      <c r="B385" s="9">
        <v>2</v>
      </c>
      <c r="C385" s="62" t="s">
        <v>283</v>
      </c>
      <c r="D385" s="87"/>
      <c r="E385" s="9"/>
      <c r="F385" s="9"/>
    </row>
    <row r="386" spans="1:7" ht="15" hidden="1" customHeight="1">
      <c r="A386" s="96" t="s">
        <v>67</v>
      </c>
      <c r="B386" s="1">
        <v>35</v>
      </c>
      <c r="C386" s="1" t="s">
        <v>32</v>
      </c>
      <c r="D386" s="90"/>
      <c r="E386" s="1"/>
      <c r="F386" s="1">
        <v>28</v>
      </c>
    </row>
    <row r="387" spans="1:7" ht="15" hidden="1" customHeight="1">
      <c r="A387" s="96" t="s">
        <v>31</v>
      </c>
      <c r="B387" s="1">
        <v>8</v>
      </c>
      <c r="C387" s="1" t="s">
        <v>32</v>
      </c>
      <c r="D387" s="90"/>
      <c r="E387" s="1" t="s">
        <v>709</v>
      </c>
      <c r="F387" s="1">
        <v>12</v>
      </c>
    </row>
    <row r="388" spans="1:7" ht="15.75" hidden="1" customHeight="1">
      <c r="A388" s="96" t="s">
        <v>208</v>
      </c>
      <c r="B388" s="1">
        <v>13</v>
      </c>
      <c r="C388" s="1" t="s">
        <v>32</v>
      </c>
      <c r="D388" s="90"/>
      <c r="E388" s="1" t="s">
        <v>709</v>
      </c>
      <c r="F388" s="1">
        <v>11</v>
      </c>
    </row>
    <row r="389" spans="1:7" ht="15.75" hidden="1" customHeight="1">
      <c r="A389" s="96" t="s">
        <v>767</v>
      </c>
      <c r="B389" s="1"/>
      <c r="C389" s="1" t="s">
        <v>32</v>
      </c>
      <c r="D389" s="90"/>
      <c r="E389" s="1" t="s">
        <v>709</v>
      </c>
      <c r="F389" s="1">
        <v>3</v>
      </c>
      <c r="G389" t="s">
        <v>768</v>
      </c>
    </row>
    <row r="390" spans="1:7" ht="15" hidden="1" customHeight="1">
      <c r="A390" s="96" t="s">
        <v>271</v>
      </c>
      <c r="B390" s="1">
        <v>1</v>
      </c>
      <c r="C390" s="1" t="s">
        <v>32</v>
      </c>
      <c r="D390" s="90"/>
      <c r="E390" s="1" t="s">
        <v>709</v>
      </c>
      <c r="F390" s="1">
        <v>2</v>
      </c>
    </row>
    <row r="391" spans="1:7" ht="15" hidden="1" customHeight="1">
      <c r="A391" s="96" t="s">
        <v>53</v>
      </c>
      <c r="B391" s="1">
        <v>40</v>
      </c>
      <c r="C391" s="1" t="s">
        <v>32</v>
      </c>
      <c r="D391" s="90"/>
      <c r="E391" s="1" t="s">
        <v>709</v>
      </c>
      <c r="F391" s="1">
        <v>42</v>
      </c>
    </row>
    <row r="392" spans="1:7" ht="15" hidden="1" customHeight="1">
      <c r="A392" s="96" t="s">
        <v>261</v>
      </c>
      <c r="B392" s="1">
        <v>2</v>
      </c>
      <c r="C392" s="1" t="s">
        <v>32</v>
      </c>
      <c r="D392" s="90"/>
      <c r="E392" s="1" t="s">
        <v>709</v>
      </c>
      <c r="F392" s="1">
        <v>2</v>
      </c>
    </row>
    <row r="393" spans="1:7" ht="15" hidden="1" customHeight="1">
      <c r="A393" s="96" t="s">
        <v>213</v>
      </c>
      <c r="B393" s="1">
        <v>1</v>
      </c>
      <c r="C393" s="1" t="s">
        <v>32</v>
      </c>
      <c r="D393" s="90"/>
      <c r="E393" s="1" t="s">
        <v>709</v>
      </c>
      <c r="F393" s="1">
        <v>0</v>
      </c>
    </row>
    <row r="394" spans="1:7" ht="15" hidden="1" customHeight="1">
      <c r="A394" s="96" t="s">
        <v>769</v>
      </c>
      <c r="B394" s="1"/>
      <c r="C394" s="1"/>
      <c r="D394" s="90"/>
      <c r="E394" s="1" t="s">
        <v>770</v>
      </c>
      <c r="F394" s="1">
        <v>3</v>
      </c>
    </row>
    <row r="395" spans="1:7" ht="15" hidden="1" customHeight="1">
      <c r="A395" s="96" t="s">
        <v>771</v>
      </c>
      <c r="B395" s="1">
        <v>4</v>
      </c>
      <c r="C395" s="1" t="s">
        <v>32</v>
      </c>
      <c r="D395" s="90"/>
      <c r="E395" s="1" t="s">
        <v>709</v>
      </c>
      <c r="F395" s="1">
        <v>3</v>
      </c>
    </row>
    <row r="396" spans="1:7" ht="15" hidden="1" customHeight="1">
      <c r="A396" s="96" t="s">
        <v>47</v>
      </c>
      <c r="B396" s="1">
        <v>3</v>
      </c>
      <c r="C396" s="1" t="s">
        <v>32</v>
      </c>
      <c r="D396" s="90"/>
      <c r="E396" s="1" t="s">
        <v>709</v>
      </c>
      <c r="F396" s="1">
        <v>5</v>
      </c>
    </row>
    <row r="397" spans="1:7" ht="15" hidden="1" customHeight="1">
      <c r="A397" s="96" t="s">
        <v>33</v>
      </c>
      <c r="B397" s="1">
        <v>1</v>
      </c>
      <c r="C397" s="1" t="s">
        <v>32</v>
      </c>
      <c r="D397" s="90"/>
      <c r="E397" s="1" t="s">
        <v>709</v>
      </c>
      <c r="F397" s="1">
        <v>1</v>
      </c>
    </row>
    <row r="398" spans="1:7" ht="15" hidden="1" customHeight="1">
      <c r="A398" s="96" t="s">
        <v>54</v>
      </c>
      <c r="B398" s="1">
        <v>1</v>
      </c>
      <c r="C398" s="1" t="s">
        <v>32</v>
      </c>
      <c r="D398" s="90"/>
      <c r="E398" s="1" t="s">
        <v>709</v>
      </c>
      <c r="F398" s="1">
        <v>0</v>
      </c>
    </row>
    <row r="399" spans="1:7" ht="15" hidden="1" customHeight="1">
      <c r="A399" s="96" t="s">
        <v>262</v>
      </c>
      <c r="B399" s="1">
        <v>1</v>
      </c>
      <c r="C399" s="1" t="s">
        <v>32</v>
      </c>
      <c r="D399" s="90"/>
      <c r="E399" s="1" t="s">
        <v>709</v>
      </c>
      <c r="F399" s="1">
        <v>1</v>
      </c>
    </row>
    <row r="400" spans="1:7" ht="15" hidden="1" customHeight="1">
      <c r="A400" s="96" t="s">
        <v>772</v>
      </c>
      <c r="B400" s="1">
        <v>7</v>
      </c>
      <c r="C400" s="1" t="s">
        <v>193</v>
      </c>
      <c r="D400" s="90"/>
      <c r="E400" s="1" t="s">
        <v>709</v>
      </c>
      <c r="F400" s="1">
        <v>7</v>
      </c>
    </row>
    <row r="401" spans="1:7" ht="15" hidden="1" customHeight="1">
      <c r="A401" s="96" t="s">
        <v>773</v>
      </c>
      <c r="B401" s="1">
        <v>3</v>
      </c>
      <c r="C401" s="1" t="s">
        <v>193</v>
      </c>
      <c r="D401" s="90"/>
      <c r="E401" s="1" t="s">
        <v>709</v>
      </c>
      <c r="F401" s="1">
        <v>3</v>
      </c>
    </row>
    <row r="402" spans="1:7" ht="15" hidden="1" customHeight="1">
      <c r="A402" s="96" t="s">
        <v>774</v>
      </c>
      <c r="B402" s="1">
        <v>1</v>
      </c>
      <c r="C402" s="1" t="s">
        <v>193</v>
      </c>
      <c r="D402" s="90"/>
      <c r="E402" s="1" t="s">
        <v>709</v>
      </c>
      <c r="F402" s="1">
        <v>1</v>
      </c>
    </row>
    <row r="403" spans="1:7" ht="15" hidden="1" customHeight="1">
      <c r="A403" s="96" t="s">
        <v>775</v>
      </c>
      <c r="B403" s="1"/>
      <c r="C403" s="1" t="s">
        <v>193</v>
      </c>
      <c r="D403" s="90"/>
      <c r="E403" s="1" t="s">
        <v>709</v>
      </c>
      <c r="F403" s="1">
        <v>1</v>
      </c>
      <c r="G403" t="s">
        <v>776</v>
      </c>
    </row>
    <row r="404" spans="1:7" ht="15" hidden="1" customHeight="1">
      <c r="A404" s="96" t="s">
        <v>777</v>
      </c>
      <c r="B404" s="1">
        <v>2</v>
      </c>
      <c r="C404" s="1" t="s">
        <v>193</v>
      </c>
      <c r="D404" s="90"/>
      <c r="E404" s="1" t="s">
        <v>709</v>
      </c>
      <c r="F404" s="1">
        <v>2</v>
      </c>
    </row>
    <row r="405" spans="1:7" ht="15" hidden="1" customHeight="1">
      <c r="A405" s="17" t="s">
        <v>710</v>
      </c>
      <c r="B405" s="13">
        <v>7</v>
      </c>
      <c r="C405" s="86" t="s">
        <v>13</v>
      </c>
      <c r="D405" s="87"/>
      <c r="E405" s="13"/>
      <c r="F405" s="13"/>
    </row>
    <row r="406" spans="1:7" ht="15" hidden="1" customHeight="1">
      <c r="A406" s="12" t="s">
        <v>97</v>
      </c>
      <c r="B406" s="1">
        <v>1</v>
      </c>
      <c r="C406" s="61" t="s">
        <v>13</v>
      </c>
      <c r="D406" s="87"/>
      <c r="E406" s="1"/>
      <c r="F406" s="1"/>
    </row>
    <row r="407" spans="1:7" ht="15" hidden="1" customHeight="1">
      <c r="A407" s="12" t="s">
        <v>98</v>
      </c>
      <c r="B407" s="1">
        <v>2</v>
      </c>
      <c r="C407" s="61" t="s">
        <v>13</v>
      </c>
      <c r="D407" s="87"/>
      <c r="E407" s="1"/>
      <c r="F407" s="1"/>
    </row>
    <row r="408" spans="1:7" ht="15" hidden="1" customHeight="1">
      <c r="A408" s="12" t="s">
        <v>96</v>
      </c>
      <c r="B408" s="1">
        <v>4</v>
      </c>
      <c r="C408" s="61" t="s">
        <v>13</v>
      </c>
      <c r="D408" s="87"/>
      <c r="E408" s="1"/>
      <c r="F408" s="1"/>
    </row>
    <row r="409" spans="1:7" ht="15" hidden="1" customHeight="1">
      <c r="A409" s="12" t="s">
        <v>624</v>
      </c>
      <c r="B409" s="1">
        <v>8</v>
      </c>
      <c r="C409" s="79" t="s">
        <v>448</v>
      </c>
      <c r="D409" s="87"/>
      <c r="E409" s="1"/>
      <c r="F409" s="1"/>
    </row>
    <row r="410" spans="1:7" ht="15" hidden="1" customHeight="1">
      <c r="A410" s="12" t="s">
        <v>610</v>
      </c>
      <c r="B410" s="1">
        <v>63</v>
      </c>
      <c r="C410" s="79" t="s">
        <v>448</v>
      </c>
      <c r="D410" s="87"/>
      <c r="E410" s="1"/>
      <c r="F410" s="1"/>
    </row>
    <row r="411" spans="1:7" ht="15" hidden="1" customHeight="1">
      <c r="A411" s="12" t="s">
        <v>623</v>
      </c>
      <c r="B411" s="1">
        <v>13</v>
      </c>
      <c r="C411" s="79" t="s">
        <v>448</v>
      </c>
      <c r="D411" s="87"/>
      <c r="E411" s="1"/>
      <c r="F411" s="1"/>
    </row>
    <row r="412" spans="1:7" ht="15" hidden="1" customHeight="1">
      <c r="A412" s="12" t="s">
        <v>622</v>
      </c>
      <c r="B412" s="1">
        <v>8</v>
      </c>
      <c r="C412" s="79" t="s">
        <v>448</v>
      </c>
      <c r="D412" s="87"/>
      <c r="E412" s="1"/>
      <c r="F412" s="1"/>
    </row>
    <row r="413" spans="1:7" ht="15" hidden="1" customHeight="1">
      <c r="A413" s="12" t="s">
        <v>621</v>
      </c>
      <c r="B413" s="1">
        <v>2</v>
      </c>
      <c r="C413" s="79" t="s">
        <v>448</v>
      </c>
      <c r="D413" s="87"/>
      <c r="E413" s="1"/>
      <c r="F413" s="1"/>
    </row>
    <row r="414" spans="1:7" ht="15" hidden="1" customHeight="1">
      <c r="A414" s="12" t="s">
        <v>620</v>
      </c>
      <c r="B414" s="1">
        <v>1</v>
      </c>
      <c r="C414" s="79" t="s">
        <v>448</v>
      </c>
      <c r="D414" s="87"/>
      <c r="E414" s="1"/>
      <c r="F414" s="1"/>
    </row>
    <row r="415" spans="1:7" ht="15" hidden="1" customHeight="1">
      <c r="A415" s="12" t="s">
        <v>636</v>
      </c>
      <c r="B415" s="1">
        <v>65</v>
      </c>
      <c r="C415" s="79" t="s">
        <v>448</v>
      </c>
      <c r="D415" s="87"/>
      <c r="E415" s="1"/>
      <c r="F415" s="1"/>
    </row>
    <row r="416" spans="1:7" ht="15" hidden="1" customHeight="1">
      <c r="A416" s="12" t="s">
        <v>637</v>
      </c>
      <c r="B416" s="1">
        <v>169</v>
      </c>
      <c r="C416" s="79" t="s">
        <v>448</v>
      </c>
      <c r="D416" s="87"/>
      <c r="E416" s="1"/>
      <c r="F416" s="1"/>
    </row>
    <row r="417" spans="1:6" ht="15" hidden="1" customHeight="1">
      <c r="A417" s="12" t="s">
        <v>635</v>
      </c>
      <c r="B417" s="1">
        <v>111</v>
      </c>
      <c r="C417" s="79" t="s">
        <v>448</v>
      </c>
      <c r="D417" s="87"/>
      <c r="E417" s="1"/>
      <c r="F417" s="1"/>
    </row>
    <row r="418" spans="1:6" ht="15" hidden="1" customHeight="1">
      <c r="A418" s="12" t="s">
        <v>535</v>
      </c>
      <c r="B418" s="1">
        <v>2</v>
      </c>
      <c r="C418" s="79" t="s">
        <v>448</v>
      </c>
      <c r="D418" s="87"/>
      <c r="E418" s="1"/>
      <c r="F418" s="1"/>
    </row>
    <row r="419" spans="1:6" ht="15" hidden="1" customHeight="1">
      <c r="A419" s="12" t="s">
        <v>615</v>
      </c>
      <c r="B419" s="1">
        <v>1</v>
      </c>
      <c r="C419" s="79" t="s">
        <v>448</v>
      </c>
      <c r="D419" s="87"/>
      <c r="E419" s="1"/>
      <c r="F419" s="1"/>
    </row>
    <row r="420" spans="1:6" ht="15" hidden="1" customHeight="1">
      <c r="A420" s="12" t="s">
        <v>534</v>
      </c>
      <c r="B420" s="1">
        <v>1</v>
      </c>
      <c r="C420" s="79" t="s">
        <v>448</v>
      </c>
      <c r="D420" s="87"/>
      <c r="E420" s="1"/>
      <c r="F420" s="1"/>
    </row>
    <row r="421" spans="1:6" ht="15" hidden="1" customHeight="1">
      <c r="A421" s="12" t="s">
        <v>618</v>
      </c>
      <c r="B421" s="1">
        <v>1</v>
      </c>
      <c r="C421" s="79" t="s">
        <v>448</v>
      </c>
      <c r="D421" s="87"/>
      <c r="E421" s="1"/>
      <c r="F421" s="1"/>
    </row>
    <row r="422" spans="1:6" ht="15" hidden="1" customHeight="1">
      <c r="A422" s="12" t="s">
        <v>617</v>
      </c>
      <c r="B422" s="1">
        <v>1</v>
      </c>
      <c r="C422" s="79" t="s">
        <v>448</v>
      </c>
      <c r="D422" s="87"/>
      <c r="E422" s="1"/>
      <c r="F422" s="1"/>
    </row>
    <row r="423" spans="1:6" ht="15" hidden="1" customHeight="1">
      <c r="A423" s="12" t="s">
        <v>601</v>
      </c>
      <c r="B423" s="1">
        <v>6</v>
      </c>
      <c r="C423" s="79" t="s">
        <v>448</v>
      </c>
      <c r="D423" s="87"/>
      <c r="E423" s="1"/>
      <c r="F423" s="1"/>
    </row>
    <row r="424" spans="1:6" ht="15" hidden="1" customHeight="1">
      <c r="A424" s="12" t="s">
        <v>616</v>
      </c>
      <c r="B424" s="1">
        <v>1</v>
      </c>
      <c r="C424" s="79" t="s">
        <v>448</v>
      </c>
      <c r="D424" s="87"/>
      <c r="E424" s="1"/>
      <c r="F424" s="1"/>
    </row>
    <row r="425" spans="1:6" ht="15" hidden="1" customHeight="1">
      <c r="A425" s="12" t="s">
        <v>600</v>
      </c>
      <c r="B425" s="1">
        <v>6</v>
      </c>
      <c r="C425" s="79" t="s">
        <v>448</v>
      </c>
      <c r="D425" s="87"/>
      <c r="E425" s="1"/>
      <c r="F425" s="1"/>
    </row>
    <row r="426" spans="1:6" ht="15" hidden="1" customHeight="1">
      <c r="A426" s="12" t="s">
        <v>630</v>
      </c>
      <c r="B426" s="1">
        <v>9</v>
      </c>
      <c r="C426" s="79" t="s">
        <v>448</v>
      </c>
      <c r="D426" s="87"/>
      <c r="E426" s="1"/>
      <c r="F426" s="1"/>
    </row>
    <row r="427" spans="1:6" ht="15" hidden="1" customHeight="1">
      <c r="A427" s="12" t="s">
        <v>389</v>
      </c>
      <c r="B427" s="1">
        <v>21</v>
      </c>
      <c r="C427" s="79" t="s">
        <v>351</v>
      </c>
      <c r="D427" s="87"/>
      <c r="E427" s="1"/>
      <c r="F427" s="1"/>
    </row>
    <row r="428" spans="1:6" ht="15" hidden="1" customHeight="1">
      <c r="A428" s="12" t="s">
        <v>389</v>
      </c>
      <c r="B428" s="1">
        <v>45</v>
      </c>
      <c r="C428" s="79" t="s">
        <v>448</v>
      </c>
      <c r="D428" s="87"/>
      <c r="E428" s="1"/>
      <c r="F428" s="1"/>
    </row>
    <row r="429" spans="1:6" ht="15" hidden="1" customHeight="1">
      <c r="A429" s="12" t="s">
        <v>629</v>
      </c>
      <c r="B429" s="1">
        <v>11</v>
      </c>
      <c r="C429" s="79" t="s">
        <v>448</v>
      </c>
      <c r="D429" s="87"/>
      <c r="E429" s="1"/>
      <c r="F429" s="1"/>
    </row>
    <row r="430" spans="1:6" ht="15" hidden="1" customHeight="1">
      <c r="A430" s="12" t="s">
        <v>613</v>
      </c>
      <c r="B430" s="1">
        <v>21</v>
      </c>
      <c r="C430" s="79" t="s">
        <v>448</v>
      </c>
      <c r="D430" s="87"/>
      <c r="E430" s="1"/>
      <c r="F430" s="1"/>
    </row>
    <row r="431" spans="1:6" ht="15" hidden="1" customHeight="1">
      <c r="A431" s="12" t="s">
        <v>628</v>
      </c>
      <c r="B431" s="1">
        <v>37</v>
      </c>
      <c r="C431" s="79" t="s">
        <v>448</v>
      </c>
      <c r="D431" s="87"/>
      <c r="E431" s="1"/>
      <c r="F431" s="1"/>
    </row>
    <row r="432" spans="1:6" ht="15" hidden="1" customHeight="1">
      <c r="A432" s="12" t="s">
        <v>612</v>
      </c>
      <c r="B432" s="1">
        <v>3</v>
      </c>
      <c r="C432" s="79" t="s">
        <v>448</v>
      </c>
      <c r="D432" s="87"/>
      <c r="E432" s="1"/>
      <c r="F432" s="1"/>
    </row>
    <row r="433" spans="1:6" ht="15" hidden="1" customHeight="1">
      <c r="A433" s="12" t="s">
        <v>611</v>
      </c>
      <c r="B433" s="1">
        <v>38</v>
      </c>
      <c r="C433" s="79" t="s">
        <v>448</v>
      </c>
      <c r="D433" s="87"/>
      <c r="E433" s="1"/>
      <c r="F433" s="1"/>
    </row>
    <row r="434" spans="1:6" ht="15" hidden="1" customHeight="1">
      <c r="A434" s="12" t="s">
        <v>627</v>
      </c>
      <c r="B434" s="1">
        <v>32</v>
      </c>
      <c r="C434" s="79" t="s">
        <v>448</v>
      </c>
      <c r="D434" s="87"/>
      <c r="E434" s="1"/>
      <c r="F434" s="1"/>
    </row>
    <row r="435" spans="1:6" ht="15" hidden="1" customHeight="1">
      <c r="A435" s="12" t="s">
        <v>633</v>
      </c>
      <c r="B435" s="1">
        <v>4</v>
      </c>
      <c r="C435" s="79" t="s">
        <v>448</v>
      </c>
      <c r="D435" s="87"/>
      <c r="E435" s="1"/>
      <c r="F435" s="1"/>
    </row>
    <row r="436" spans="1:6" ht="15" hidden="1" customHeight="1">
      <c r="A436" s="12" t="s">
        <v>634</v>
      </c>
      <c r="B436" s="1">
        <v>27</v>
      </c>
      <c r="C436" s="79" t="s">
        <v>448</v>
      </c>
      <c r="D436" s="87"/>
      <c r="E436" s="1"/>
      <c r="F436" s="1"/>
    </row>
    <row r="437" spans="1:6" ht="15" hidden="1" customHeight="1">
      <c r="A437" s="12" t="s">
        <v>632</v>
      </c>
      <c r="B437" s="1">
        <v>21</v>
      </c>
      <c r="C437" s="79" t="s">
        <v>448</v>
      </c>
      <c r="D437" s="87"/>
      <c r="E437" s="1"/>
      <c r="F437" s="1"/>
    </row>
    <row r="438" spans="1:6" ht="15" hidden="1" customHeight="1">
      <c r="A438" s="12" t="s">
        <v>631</v>
      </c>
      <c r="B438" s="1">
        <v>19</v>
      </c>
      <c r="C438" s="79" t="s">
        <v>448</v>
      </c>
      <c r="D438" s="87"/>
      <c r="E438" s="1"/>
      <c r="F438" s="1"/>
    </row>
    <row r="439" spans="1:6" ht="15" hidden="1" customHeight="1">
      <c r="A439" s="12" t="s">
        <v>604</v>
      </c>
      <c r="B439" s="1">
        <v>28</v>
      </c>
      <c r="C439" s="79" t="s">
        <v>448</v>
      </c>
      <c r="D439" s="87"/>
      <c r="E439" s="1"/>
      <c r="F439" s="1"/>
    </row>
    <row r="440" spans="1:6" ht="15" hidden="1" customHeight="1">
      <c r="A440" s="12" t="s">
        <v>619</v>
      </c>
      <c r="B440" s="1">
        <v>6</v>
      </c>
      <c r="C440" s="79" t="s">
        <v>448</v>
      </c>
      <c r="D440" s="87"/>
      <c r="E440" s="1"/>
      <c r="F440" s="1"/>
    </row>
    <row r="441" spans="1:6" ht="15" hidden="1" customHeight="1">
      <c r="A441" s="12" t="s">
        <v>603</v>
      </c>
      <c r="B441" s="1">
        <v>1</v>
      </c>
      <c r="C441" s="79" t="s">
        <v>448</v>
      </c>
      <c r="D441" s="87"/>
      <c r="E441" s="1"/>
      <c r="F441" s="1"/>
    </row>
    <row r="442" spans="1:6" ht="15" hidden="1" customHeight="1">
      <c r="A442" s="12" t="s">
        <v>390</v>
      </c>
      <c r="B442" s="1">
        <v>69</v>
      </c>
      <c r="C442" s="79" t="s">
        <v>351</v>
      </c>
      <c r="D442" s="87"/>
      <c r="E442" s="1"/>
      <c r="F442" s="1"/>
    </row>
    <row r="443" spans="1:6" ht="15" hidden="1" customHeight="1">
      <c r="A443" s="12" t="s">
        <v>602</v>
      </c>
      <c r="B443" s="1">
        <v>3</v>
      </c>
      <c r="C443" s="79" t="s">
        <v>448</v>
      </c>
      <c r="D443" s="87"/>
      <c r="E443" s="1"/>
      <c r="F443" s="1"/>
    </row>
    <row r="444" spans="1:6" ht="15" hidden="1" customHeight="1">
      <c r="A444" s="12" t="s">
        <v>626</v>
      </c>
      <c r="B444" s="1">
        <v>22</v>
      </c>
      <c r="C444" s="79" t="s">
        <v>448</v>
      </c>
      <c r="D444" s="87"/>
      <c r="E444" s="1"/>
      <c r="F444" s="1"/>
    </row>
    <row r="445" spans="1:6" ht="15" hidden="1" customHeight="1">
      <c r="A445" s="12" t="s">
        <v>625</v>
      </c>
      <c r="B445" s="1">
        <v>6</v>
      </c>
      <c r="C445" s="79" t="s">
        <v>448</v>
      </c>
      <c r="D445" s="87"/>
      <c r="E445" s="1"/>
      <c r="F445" s="1"/>
    </row>
    <row r="446" spans="1:6" ht="15" hidden="1" customHeight="1">
      <c r="A446" s="12" t="s">
        <v>536</v>
      </c>
      <c r="B446" s="1">
        <v>6</v>
      </c>
      <c r="C446" s="79" t="s">
        <v>448</v>
      </c>
      <c r="D446" s="87"/>
      <c r="E446" s="1"/>
      <c r="F446" s="1"/>
    </row>
    <row r="447" spans="1:6" ht="15" hidden="1" customHeight="1">
      <c r="A447" s="12" t="s">
        <v>614</v>
      </c>
      <c r="B447" s="1">
        <v>4</v>
      </c>
      <c r="C447" s="79" t="s">
        <v>448</v>
      </c>
      <c r="D447" s="87"/>
      <c r="E447" s="1"/>
      <c r="F447" s="1"/>
    </row>
    <row r="448" spans="1:6" ht="15" hidden="1" customHeight="1">
      <c r="A448" s="12" t="s">
        <v>609</v>
      </c>
      <c r="B448" s="1">
        <v>21</v>
      </c>
      <c r="C448" s="79" t="s">
        <v>448</v>
      </c>
      <c r="D448" s="87"/>
      <c r="E448" s="1"/>
      <c r="F448" s="1"/>
    </row>
    <row r="449" spans="1:6" ht="15" hidden="1" customHeight="1">
      <c r="A449" s="12" t="s">
        <v>608</v>
      </c>
      <c r="B449" s="1">
        <v>27</v>
      </c>
      <c r="C449" s="79" t="s">
        <v>448</v>
      </c>
      <c r="D449" s="87"/>
      <c r="E449" s="1"/>
      <c r="F449" s="1"/>
    </row>
    <row r="450" spans="1:6" ht="15" hidden="1" customHeight="1">
      <c r="A450" s="12" t="s">
        <v>607</v>
      </c>
      <c r="B450" s="1">
        <v>6</v>
      </c>
      <c r="C450" s="79" t="s">
        <v>448</v>
      </c>
      <c r="D450" s="87"/>
      <c r="E450" s="1"/>
      <c r="F450" s="1"/>
    </row>
    <row r="451" spans="1:6" ht="15" hidden="1" customHeight="1">
      <c r="A451" s="12" t="s">
        <v>606</v>
      </c>
      <c r="B451" s="1">
        <v>32</v>
      </c>
      <c r="C451" s="79" t="s">
        <v>448</v>
      </c>
      <c r="D451" s="87"/>
      <c r="E451" s="1"/>
      <c r="F451" s="1"/>
    </row>
    <row r="452" spans="1:6" ht="15" hidden="1" customHeight="1">
      <c r="A452" s="12" t="s">
        <v>605</v>
      </c>
      <c r="B452" s="1">
        <v>3</v>
      </c>
      <c r="C452" s="79" t="s">
        <v>448</v>
      </c>
      <c r="D452" s="87"/>
      <c r="E452" s="1"/>
      <c r="F452" s="1"/>
    </row>
    <row r="453" spans="1:6" ht="15" hidden="1" customHeight="1">
      <c r="A453" s="12" t="s">
        <v>440</v>
      </c>
      <c r="B453" s="1">
        <v>108</v>
      </c>
      <c r="C453" s="61" t="s">
        <v>321</v>
      </c>
      <c r="D453" s="87"/>
      <c r="E453" s="1"/>
      <c r="F453" s="1"/>
    </row>
    <row r="454" spans="1:6" ht="15" hidden="1" customHeight="1">
      <c r="A454" s="12" t="s">
        <v>439</v>
      </c>
      <c r="B454" s="1">
        <v>3</v>
      </c>
      <c r="C454" s="61" t="s">
        <v>321</v>
      </c>
      <c r="D454" s="87"/>
      <c r="E454" s="1"/>
      <c r="F454" s="1"/>
    </row>
    <row r="455" spans="1:6" ht="15" hidden="1" customHeight="1">
      <c r="A455" s="12" t="s">
        <v>438</v>
      </c>
      <c r="B455" s="1">
        <v>1</v>
      </c>
      <c r="C455" s="61" t="s">
        <v>321</v>
      </c>
      <c r="D455" s="87"/>
      <c r="E455" s="1"/>
      <c r="F455" s="1"/>
    </row>
    <row r="456" spans="1:6" ht="15" hidden="1" customHeight="1">
      <c r="A456" s="12" t="s">
        <v>437</v>
      </c>
      <c r="B456" s="1">
        <v>23</v>
      </c>
      <c r="C456" s="61" t="s">
        <v>321</v>
      </c>
      <c r="D456" s="87"/>
      <c r="E456" s="1"/>
      <c r="F456" s="1"/>
    </row>
    <row r="457" spans="1:6" ht="15" hidden="1" customHeight="1">
      <c r="A457" s="12" t="s">
        <v>436</v>
      </c>
      <c r="B457" s="1">
        <v>2</v>
      </c>
      <c r="C457" s="61" t="s">
        <v>321</v>
      </c>
      <c r="D457" s="87"/>
      <c r="E457" s="1"/>
      <c r="F457" s="1"/>
    </row>
    <row r="458" spans="1:6" ht="15" hidden="1" customHeight="1">
      <c r="A458" s="12" t="s">
        <v>435</v>
      </c>
      <c r="B458" s="1">
        <v>117</v>
      </c>
      <c r="C458" s="61" t="s">
        <v>321</v>
      </c>
      <c r="D458" s="87"/>
      <c r="E458" s="1"/>
      <c r="F458" s="1"/>
    </row>
    <row r="459" spans="1:6" ht="15" hidden="1" customHeight="1">
      <c r="A459" s="12" t="s">
        <v>529</v>
      </c>
      <c r="B459" s="1">
        <v>6</v>
      </c>
      <c r="C459" s="61" t="s">
        <v>321</v>
      </c>
      <c r="D459" s="87"/>
      <c r="E459" s="1"/>
      <c r="F459" s="1"/>
    </row>
    <row r="460" spans="1:6" ht="15" hidden="1" customHeight="1">
      <c r="A460" s="12" t="s">
        <v>528</v>
      </c>
      <c r="B460" s="1">
        <v>1</v>
      </c>
      <c r="C460" s="61" t="s">
        <v>321</v>
      </c>
      <c r="D460" s="87"/>
      <c r="E460" s="1"/>
      <c r="F460" s="1"/>
    </row>
    <row r="461" spans="1:6" ht="15" hidden="1" customHeight="1">
      <c r="A461" s="12" t="s">
        <v>526</v>
      </c>
      <c r="B461" s="1">
        <v>13</v>
      </c>
      <c r="C461" s="61" t="s">
        <v>321</v>
      </c>
      <c r="D461" s="87"/>
      <c r="E461" s="1"/>
      <c r="F461" s="1"/>
    </row>
    <row r="462" spans="1:6" ht="15" hidden="1" customHeight="1">
      <c r="A462" s="12" t="s">
        <v>527</v>
      </c>
      <c r="B462" s="1">
        <v>3</v>
      </c>
      <c r="C462" s="61" t="s">
        <v>321</v>
      </c>
      <c r="D462" s="87"/>
      <c r="E462" s="1"/>
      <c r="F462" s="1"/>
    </row>
    <row r="463" spans="1:6" ht="15" hidden="1" customHeight="1">
      <c r="A463" s="12" t="s">
        <v>524</v>
      </c>
      <c r="B463" s="1">
        <v>20</v>
      </c>
      <c r="C463" s="61" t="s">
        <v>321</v>
      </c>
      <c r="D463" s="87"/>
      <c r="E463" s="1"/>
      <c r="F463" s="1"/>
    </row>
    <row r="464" spans="1:6" ht="15" hidden="1" customHeight="1">
      <c r="A464" s="12" t="s">
        <v>427</v>
      </c>
      <c r="B464" s="1">
        <v>23</v>
      </c>
      <c r="C464" s="61" t="s">
        <v>321</v>
      </c>
      <c r="D464" s="87"/>
      <c r="E464" s="1"/>
      <c r="F464" s="1"/>
    </row>
    <row r="465" spans="1:6" ht="15" hidden="1" customHeight="1">
      <c r="A465" s="12" t="s">
        <v>426</v>
      </c>
      <c r="B465" s="1">
        <v>30</v>
      </c>
      <c r="C465" s="61" t="s">
        <v>321</v>
      </c>
      <c r="D465" s="87"/>
      <c r="E465" s="1"/>
      <c r="F465" s="1"/>
    </row>
    <row r="466" spans="1:6" ht="15" hidden="1" customHeight="1">
      <c r="A466" s="12" t="s">
        <v>425</v>
      </c>
      <c r="B466" s="1">
        <v>40</v>
      </c>
      <c r="C466" s="61" t="s">
        <v>321</v>
      </c>
      <c r="D466" s="87"/>
      <c r="E466" s="1"/>
      <c r="F466" s="1"/>
    </row>
    <row r="467" spans="1:6" ht="15" hidden="1" customHeight="1">
      <c r="A467" s="12" t="s">
        <v>424</v>
      </c>
      <c r="B467" s="1">
        <v>9</v>
      </c>
      <c r="C467" s="61" t="s">
        <v>321</v>
      </c>
      <c r="D467" s="87"/>
      <c r="E467" s="1"/>
      <c r="F467" s="1"/>
    </row>
    <row r="468" spans="1:6" ht="15" hidden="1" customHeight="1">
      <c r="A468" s="12" t="s">
        <v>423</v>
      </c>
      <c r="B468" s="1">
        <v>52</v>
      </c>
      <c r="C468" s="61" t="s">
        <v>321</v>
      </c>
      <c r="D468" s="87"/>
      <c r="E468" s="1"/>
      <c r="F468" s="1"/>
    </row>
    <row r="469" spans="1:6" ht="15" hidden="1" customHeight="1">
      <c r="A469" s="12" t="s">
        <v>422</v>
      </c>
      <c r="B469" s="1">
        <v>54</v>
      </c>
      <c r="C469" s="61" t="s">
        <v>321</v>
      </c>
      <c r="D469" s="87"/>
      <c r="E469" s="1"/>
      <c r="F469" s="1"/>
    </row>
    <row r="470" spans="1:6" ht="15" hidden="1" customHeight="1">
      <c r="A470" s="12" t="s">
        <v>421</v>
      </c>
      <c r="B470" s="1">
        <v>2</v>
      </c>
      <c r="C470" s="61" t="s">
        <v>321</v>
      </c>
      <c r="D470" s="87"/>
      <c r="E470" s="1"/>
      <c r="F470" s="1"/>
    </row>
    <row r="471" spans="1:6" ht="15" hidden="1" customHeight="1">
      <c r="A471" s="12" t="s">
        <v>434</v>
      </c>
      <c r="B471" s="1">
        <v>18</v>
      </c>
      <c r="C471" s="61" t="s">
        <v>321</v>
      </c>
      <c r="D471" s="87"/>
      <c r="E471" s="1"/>
      <c r="F471" s="1"/>
    </row>
    <row r="472" spans="1:6" ht="15" hidden="1" customHeight="1">
      <c r="A472" s="12" t="s">
        <v>433</v>
      </c>
      <c r="B472" s="1">
        <v>20</v>
      </c>
      <c r="C472" s="61" t="s">
        <v>321</v>
      </c>
      <c r="D472" s="87"/>
      <c r="E472" s="1"/>
      <c r="F472" s="1"/>
    </row>
    <row r="473" spans="1:6" ht="15" hidden="1" customHeight="1">
      <c r="A473" s="12" t="s">
        <v>432</v>
      </c>
      <c r="B473" s="1">
        <v>2</v>
      </c>
      <c r="C473" s="61" t="s">
        <v>321</v>
      </c>
      <c r="D473" s="87"/>
      <c r="E473" s="1"/>
      <c r="F473" s="1"/>
    </row>
    <row r="474" spans="1:6" ht="15" hidden="1" customHeight="1">
      <c r="A474" s="12" t="s">
        <v>431</v>
      </c>
      <c r="B474" s="1">
        <v>4</v>
      </c>
      <c r="C474" s="61" t="s">
        <v>321</v>
      </c>
      <c r="D474" s="87"/>
      <c r="E474" s="1"/>
      <c r="F474" s="1"/>
    </row>
    <row r="475" spans="1:6" ht="15" hidden="1" customHeight="1">
      <c r="A475" s="12" t="s">
        <v>430</v>
      </c>
      <c r="B475" s="1">
        <v>57</v>
      </c>
      <c r="C475" s="61" t="s">
        <v>321</v>
      </c>
      <c r="D475" s="87"/>
      <c r="E475" s="1"/>
      <c r="F475" s="1"/>
    </row>
    <row r="476" spans="1:6" ht="15" hidden="1" customHeight="1">
      <c r="A476" s="12" t="s">
        <v>429</v>
      </c>
      <c r="B476" s="1">
        <v>13</v>
      </c>
      <c r="C476" s="61" t="s">
        <v>321</v>
      </c>
      <c r="D476" s="87"/>
      <c r="E476" s="1"/>
      <c r="F476" s="1"/>
    </row>
    <row r="477" spans="1:6" ht="15" hidden="1" customHeight="1">
      <c r="A477" s="12" t="s">
        <v>428</v>
      </c>
      <c r="B477" s="1">
        <v>37</v>
      </c>
      <c r="C477" s="61" t="s">
        <v>321</v>
      </c>
      <c r="D477" s="87"/>
      <c r="E477" s="1"/>
      <c r="F477" s="1"/>
    </row>
    <row r="478" spans="1:6" ht="15" hidden="1" customHeight="1">
      <c r="A478" s="12" t="s">
        <v>525</v>
      </c>
      <c r="B478" s="1">
        <v>19</v>
      </c>
      <c r="C478" s="61" t="s">
        <v>321</v>
      </c>
      <c r="D478" s="87"/>
      <c r="E478" s="1"/>
      <c r="F478" s="1"/>
    </row>
    <row r="479" spans="1:6" ht="15" hidden="1" customHeight="1">
      <c r="A479" s="12" t="s">
        <v>555</v>
      </c>
      <c r="B479" s="39">
        <v>66</v>
      </c>
      <c r="C479" s="61" t="s">
        <v>460</v>
      </c>
      <c r="D479" s="90"/>
      <c r="E479" s="91">
        <f>+B479*D479</f>
        <v>0</v>
      </c>
      <c r="F479" s="1"/>
    </row>
    <row r="480" spans="1:6" ht="15" hidden="1" customHeight="1">
      <c r="A480" s="12" t="s">
        <v>347</v>
      </c>
      <c r="B480" s="39">
        <v>6</v>
      </c>
      <c r="C480" s="61" t="s">
        <v>172</v>
      </c>
      <c r="D480" s="87"/>
      <c r="E480" s="1"/>
      <c r="F480" s="1"/>
    </row>
    <row r="481" spans="1:6" ht="15" hidden="1" customHeight="1">
      <c r="A481" s="12" t="s">
        <v>348</v>
      </c>
      <c r="B481" s="39">
        <v>5.2</v>
      </c>
      <c r="C481" s="61" t="s">
        <v>172</v>
      </c>
      <c r="D481" s="87"/>
      <c r="E481" s="1"/>
      <c r="F481" s="1"/>
    </row>
    <row r="482" spans="1:6" ht="15" hidden="1" customHeight="1">
      <c r="A482" s="12" t="s">
        <v>345</v>
      </c>
      <c r="B482" s="39">
        <v>5.15</v>
      </c>
      <c r="C482" s="61" t="s">
        <v>172</v>
      </c>
      <c r="D482" s="87"/>
      <c r="E482" s="1"/>
      <c r="F482" s="1"/>
    </row>
    <row r="483" spans="1:6" ht="15" hidden="1" customHeight="1">
      <c r="A483" s="12" t="s">
        <v>346</v>
      </c>
      <c r="B483" s="39">
        <v>6</v>
      </c>
      <c r="C483" s="61" t="s">
        <v>13</v>
      </c>
      <c r="D483" s="87"/>
      <c r="E483" s="1"/>
      <c r="F483" s="1"/>
    </row>
    <row r="484" spans="1:6" ht="15" hidden="1" customHeight="1">
      <c r="A484" s="12" t="s">
        <v>335</v>
      </c>
      <c r="B484" s="39">
        <v>15</v>
      </c>
      <c r="C484" s="61" t="s">
        <v>333</v>
      </c>
      <c r="D484" s="87"/>
      <c r="E484" s="1"/>
      <c r="F484" s="1"/>
    </row>
    <row r="485" spans="1:6" ht="15" hidden="1" customHeight="1">
      <c r="A485" s="12" t="s">
        <v>336</v>
      </c>
      <c r="B485" s="39">
        <v>3</v>
      </c>
      <c r="C485" s="61" t="s">
        <v>333</v>
      </c>
      <c r="D485" s="87"/>
      <c r="E485" s="1"/>
      <c r="F485" s="1"/>
    </row>
    <row r="486" spans="1:6" ht="15" hidden="1" customHeight="1">
      <c r="A486" s="12" t="s">
        <v>334</v>
      </c>
      <c r="B486" s="39">
        <v>3</v>
      </c>
      <c r="C486" s="61" t="s">
        <v>333</v>
      </c>
      <c r="D486" s="87"/>
      <c r="E486" s="1"/>
      <c r="F486" s="1"/>
    </row>
    <row r="487" spans="1:6" ht="15" hidden="1" customHeight="1">
      <c r="A487" s="12" t="s">
        <v>332</v>
      </c>
      <c r="B487" s="39">
        <v>6</v>
      </c>
      <c r="C487" s="61" t="s">
        <v>333</v>
      </c>
      <c r="D487" s="87"/>
      <c r="E487" s="1"/>
      <c r="F487" s="1"/>
    </row>
    <row r="488" spans="1:6" ht="15" hidden="1" customHeight="1">
      <c r="A488" s="12" t="s">
        <v>391</v>
      </c>
      <c r="B488" s="49">
        <v>10</v>
      </c>
      <c r="C488" s="61" t="s">
        <v>360</v>
      </c>
      <c r="D488" s="87"/>
      <c r="E488" s="31" t="s">
        <v>711</v>
      </c>
      <c r="F488" s="1"/>
    </row>
    <row r="489" spans="1:6" ht="15" hidden="1" customHeight="1">
      <c r="A489" s="12" t="s">
        <v>392</v>
      </c>
      <c r="B489" s="49">
        <v>24</v>
      </c>
      <c r="C489" s="61" t="s">
        <v>360</v>
      </c>
      <c r="D489" s="87"/>
      <c r="E489" s="31" t="s">
        <v>711</v>
      </c>
      <c r="F489" s="1"/>
    </row>
    <row r="490" spans="1:6" ht="15" hidden="1" customHeight="1">
      <c r="A490" s="12" t="s">
        <v>339</v>
      </c>
      <c r="B490" s="39">
        <v>5.34</v>
      </c>
      <c r="C490" s="61" t="s">
        <v>32</v>
      </c>
      <c r="D490" s="87"/>
      <c r="E490" s="1"/>
      <c r="F490" s="1"/>
    </row>
    <row r="491" spans="1:6" ht="15" hidden="1" customHeight="1">
      <c r="A491" s="12" t="s">
        <v>342</v>
      </c>
      <c r="B491" s="39">
        <v>10.1</v>
      </c>
      <c r="C491" s="61" t="s">
        <v>32</v>
      </c>
      <c r="D491" s="87"/>
      <c r="E491" s="1"/>
      <c r="F491" s="1"/>
    </row>
    <row r="492" spans="1:6" ht="15" hidden="1" customHeight="1">
      <c r="A492" s="12" t="s">
        <v>343</v>
      </c>
      <c r="B492" s="39">
        <v>10.75</v>
      </c>
      <c r="C492" s="61" t="s">
        <v>32</v>
      </c>
      <c r="D492" s="87"/>
      <c r="E492" s="1"/>
      <c r="F492" s="1"/>
    </row>
    <row r="493" spans="1:6" ht="15" hidden="1" customHeight="1">
      <c r="A493" s="12" t="s">
        <v>341</v>
      </c>
      <c r="B493" s="39">
        <v>10.75</v>
      </c>
      <c r="C493" s="61" t="s">
        <v>32</v>
      </c>
      <c r="D493" s="87"/>
      <c r="E493" s="1"/>
      <c r="F493" s="1"/>
    </row>
    <row r="494" spans="1:6" ht="15" hidden="1" customHeight="1">
      <c r="A494" s="12" t="s">
        <v>340</v>
      </c>
      <c r="B494" s="39">
        <v>17.2</v>
      </c>
      <c r="C494" s="61" t="s">
        <v>32</v>
      </c>
      <c r="D494" s="87"/>
      <c r="E494" s="1"/>
      <c r="F494" s="1"/>
    </row>
    <row r="495" spans="1:6" ht="15" hidden="1" customHeight="1">
      <c r="A495" s="12" t="s">
        <v>337</v>
      </c>
      <c r="B495" s="39">
        <v>3</v>
      </c>
      <c r="C495" s="61" t="s">
        <v>32</v>
      </c>
      <c r="D495" s="87"/>
      <c r="E495" s="1"/>
      <c r="F495" s="1"/>
    </row>
    <row r="496" spans="1:6" ht="15" hidden="1" customHeight="1">
      <c r="A496" s="12" t="s">
        <v>338</v>
      </c>
      <c r="B496" s="39">
        <v>5.5</v>
      </c>
      <c r="C496" s="61" t="s">
        <v>32</v>
      </c>
      <c r="D496" s="87"/>
      <c r="E496" s="1"/>
      <c r="F496" s="1"/>
    </row>
    <row r="497" spans="1:6" ht="15" hidden="1" customHeight="1">
      <c r="A497" s="12" t="s">
        <v>393</v>
      </c>
      <c r="B497" s="49">
        <v>6</v>
      </c>
      <c r="C497" s="61" t="s">
        <v>193</v>
      </c>
      <c r="D497" s="87"/>
      <c r="E497" s="1"/>
      <c r="F497" s="1"/>
    </row>
    <row r="498" spans="1:6" ht="15" hidden="1" customHeight="1">
      <c r="A498" s="74" t="s">
        <v>344</v>
      </c>
      <c r="B498" s="39">
        <v>6</v>
      </c>
      <c r="C498" s="61" t="s">
        <v>193</v>
      </c>
      <c r="D498" s="87"/>
      <c r="E498" s="1"/>
      <c r="F498" s="1"/>
    </row>
    <row r="499" spans="1:6" ht="15" hidden="1" customHeight="1">
      <c r="A499" s="83" t="s">
        <v>443</v>
      </c>
      <c r="B499" s="78">
        <v>155</v>
      </c>
      <c r="C499" s="79"/>
      <c r="D499" s="87"/>
      <c r="E499" s="78"/>
      <c r="F499" s="78"/>
    </row>
    <row r="500" spans="1:6" ht="15" hidden="1" customHeight="1">
      <c r="A500" s="83" t="s">
        <v>441</v>
      </c>
      <c r="B500" s="78">
        <v>62</v>
      </c>
      <c r="C500" s="79"/>
      <c r="D500" s="87"/>
      <c r="E500" s="78"/>
      <c r="F500" s="78"/>
    </row>
    <row r="501" spans="1:6" ht="15" hidden="1" customHeight="1">
      <c r="A501" s="83" t="s">
        <v>442</v>
      </c>
      <c r="B501" s="78">
        <v>79</v>
      </c>
      <c r="C501" s="79"/>
      <c r="D501" s="87"/>
      <c r="E501" s="78"/>
      <c r="F501" s="78"/>
    </row>
    <row r="502" spans="1:6" ht="15" hidden="1" customHeight="1">
      <c r="A502" s="12" t="s">
        <v>549</v>
      </c>
      <c r="B502" s="1">
        <v>15</v>
      </c>
      <c r="C502" s="61" t="s">
        <v>460</v>
      </c>
      <c r="D502" s="90"/>
      <c r="E502" s="91">
        <f>+B502*D502</f>
        <v>0</v>
      </c>
      <c r="F502" s="1"/>
    </row>
    <row r="503" spans="1:6" ht="15" hidden="1" customHeight="1">
      <c r="A503" s="12" t="s">
        <v>538</v>
      </c>
      <c r="B503" s="1">
        <v>18</v>
      </c>
      <c r="C503" s="79" t="s">
        <v>448</v>
      </c>
      <c r="D503" s="87"/>
      <c r="E503" s="1"/>
      <c r="F503" s="1"/>
    </row>
    <row r="504" spans="1:6" ht="15" hidden="1" customHeight="1">
      <c r="A504" s="12" t="s">
        <v>539</v>
      </c>
      <c r="B504" s="1">
        <v>6</v>
      </c>
      <c r="C504" s="79" t="s">
        <v>448</v>
      </c>
      <c r="D504" s="87"/>
      <c r="E504" s="1"/>
      <c r="F504" s="1"/>
    </row>
    <row r="505" spans="1:6" ht="15" hidden="1" customHeight="1">
      <c r="A505" s="12" t="s">
        <v>537</v>
      </c>
      <c r="B505" s="1">
        <v>5</v>
      </c>
      <c r="C505" s="79" t="s">
        <v>448</v>
      </c>
      <c r="D505" s="87"/>
      <c r="E505" s="1"/>
      <c r="F505" s="1"/>
    </row>
    <row r="506" spans="1:6" ht="15" hidden="1" customHeight="1">
      <c r="A506" s="12" t="s">
        <v>530</v>
      </c>
      <c r="B506" s="1">
        <v>46</v>
      </c>
      <c r="C506" s="61" t="s">
        <v>321</v>
      </c>
      <c r="D506" s="87"/>
      <c r="E506" s="1"/>
      <c r="F506" s="1"/>
    </row>
    <row r="507" spans="1:6" ht="15" hidden="1" customHeight="1">
      <c r="A507" s="12" t="s">
        <v>531</v>
      </c>
      <c r="B507" s="1">
        <v>10</v>
      </c>
      <c r="C507" s="61" t="s">
        <v>321</v>
      </c>
      <c r="D507" s="87"/>
      <c r="E507" s="1"/>
      <c r="F507" s="1"/>
    </row>
    <row r="508" spans="1:6" ht="15" hidden="1" customHeight="1">
      <c r="A508" s="12" t="s">
        <v>181</v>
      </c>
      <c r="B508" s="1">
        <v>6</v>
      </c>
      <c r="C508" s="61" t="s">
        <v>172</v>
      </c>
      <c r="D508" s="87"/>
      <c r="E508" s="1"/>
      <c r="F508" s="1"/>
    </row>
    <row r="509" spans="1:6" ht="15.75" hidden="1" customHeight="1" thickBot="1">
      <c r="A509" s="51" t="s">
        <v>180</v>
      </c>
      <c r="B509" s="9">
        <v>7</v>
      </c>
      <c r="C509" s="62" t="s">
        <v>172</v>
      </c>
      <c r="D509" s="87"/>
      <c r="E509" s="1"/>
      <c r="F509" s="1"/>
    </row>
    <row r="510" spans="1:6" hidden="1">
      <c r="A510" s="50" t="s">
        <v>200</v>
      </c>
      <c r="B510" s="2">
        <v>10</v>
      </c>
      <c r="C510" s="60" t="s">
        <v>172</v>
      </c>
      <c r="D510" s="87"/>
      <c r="E510" s="1"/>
      <c r="F510" s="1"/>
    </row>
    <row r="511" spans="1:6" hidden="1">
      <c r="A511" s="12" t="s">
        <v>199</v>
      </c>
      <c r="B511" s="1">
        <v>7</v>
      </c>
      <c r="C511" s="61" t="s">
        <v>172</v>
      </c>
      <c r="D511" s="87"/>
      <c r="E511" s="1"/>
      <c r="F511" s="1"/>
    </row>
    <row r="512" spans="1:6" hidden="1">
      <c r="A512" s="12" t="s">
        <v>306</v>
      </c>
      <c r="B512" s="1">
        <v>2</v>
      </c>
      <c r="C512" s="61" t="s">
        <v>281</v>
      </c>
      <c r="D512" s="87"/>
      <c r="E512" s="1"/>
      <c r="F512" s="1"/>
    </row>
    <row r="513" spans="1:7" hidden="1">
      <c r="A513" s="12" t="s">
        <v>288</v>
      </c>
      <c r="B513" s="1">
        <v>2</v>
      </c>
      <c r="C513" s="61" t="s">
        <v>283</v>
      </c>
      <c r="D513" s="87"/>
      <c r="E513" s="1"/>
      <c r="F513" s="1"/>
    </row>
    <row r="514" spans="1:7" hidden="1">
      <c r="A514" s="12" t="s">
        <v>305</v>
      </c>
      <c r="B514" s="1">
        <v>15</v>
      </c>
      <c r="C514" s="61" t="s">
        <v>281</v>
      </c>
      <c r="D514" s="87"/>
      <c r="E514" s="1"/>
      <c r="F514" s="1"/>
    </row>
    <row r="515" spans="1:7" hidden="1">
      <c r="A515" s="101" t="s">
        <v>63</v>
      </c>
      <c r="B515" s="1">
        <v>16</v>
      </c>
      <c r="C515" s="61" t="s">
        <v>32</v>
      </c>
      <c r="D515" s="90"/>
      <c r="E515" s="1"/>
      <c r="F515" s="1">
        <v>21</v>
      </c>
    </row>
    <row r="516" spans="1:7" hidden="1">
      <c r="A516" s="101" t="s">
        <v>778</v>
      </c>
      <c r="B516" s="1"/>
      <c r="C516" s="61" t="s">
        <v>32</v>
      </c>
      <c r="D516" s="90"/>
      <c r="E516" s="1"/>
      <c r="F516" s="1">
        <v>2</v>
      </c>
      <c r="G516" t="s">
        <v>776</v>
      </c>
    </row>
    <row r="517" spans="1:7" hidden="1">
      <c r="A517" s="101" t="s">
        <v>74</v>
      </c>
      <c r="B517" s="1">
        <v>11</v>
      </c>
      <c r="C517" s="61" t="s">
        <v>32</v>
      </c>
      <c r="D517" s="90"/>
      <c r="E517" s="1"/>
      <c r="F517" s="1">
        <v>8</v>
      </c>
    </row>
    <row r="518" spans="1:7" hidden="1">
      <c r="A518" s="101" t="s">
        <v>42</v>
      </c>
      <c r="B518" s="1">
        <v>36</v>
      </c>
      <c r="C518" s="61" t="s">
        <v>32</v>
      </c>
      <c r="D518" s="90"/>
      <c r="E518" s="1"/>
      <c r="F518" s="1">
        <v>36</v>
      </c>
    </row>
    <row r="519" spans="1:7" hidden="1">
      <c r="A519" s="101" t="s">
        <v>60</v>
      </c>
      <c r="B519" s="1">
        <v>68</v>
      </c>
      <c r="C519" s="61" t="s">
        <v>32</v>
      </c>
      <c r="D519" s="90"/>
      <c r="E519" s="1"/>
      <c r="F519" s="1">
        <v>63</v>
      </c>
    </row>
    <row r="520" spans="1:7" hidden="1">
      <c r="A520" s="101" t="s">
        <v>216</v>
      </c>
      <c r="B520" s="1">
        <v>4</v>
      </c>
      <c r="C520" s="61" t="s">
        <v>32</v>
      </c>
      <c r="D520" s="90"/>
      <c r="E520" s="1"/>
      <c r="F520" s="1">
        <f>4+12</f>
        <v>16</v>
      </c>
    </row>
    <row r="521" spans="1:7" hidden="1">
      <c r="A521" s="101" t="s">
        <v>217</v>
      </c>
      <c r="B521" s="1">
        <v>3</v>
      </c>
      <c r="C521" s="61" t="s">
        <v>32</v>
      </c>
      <c r="D521" s="90"/>
      <c r="E521" s="1"/>
      <c r="F521" s="1">
        <v>3</v>
      </c>
    </row>
    <row r="522" spans="1:7" hidden="1">
      <c r="A522" s="101" t="s">
        <v>64</v>
      </c>
      <c r="B522" s="1">
        <v>12</v>
      </c>
      <c r="C522" s="61" t="s">
        <v>32</v>
      </c>
      <c r="D522" s="90"/>
      <c r="E522" s="1"/>
      <c r="F522" s="1">
        <v>13</v>
      </c>
    </row>
    <row r="523" spans="1:7" hidden="1">
      <c r="A523" s="101" t="s">
        <v>75</v>
      </c>
      <c r="B523" s="1">
        <v>5</v>
      </c>
      <c r="C523" s="61" t="s">
        <v>32</v>
      </c>
      <c r="D523" s="90"/>
      <c r="E523" s="1"/>
      <c r="F523" s="1">
        <v>4</v>
      </c>
    </row>
    <row r="524" spans="1:7" hidden="1">
      <c r="A524" s="101" t="s">
        <v>207</v>
      </c>
      <c r="B524" s="1">
        <v>1</v>
      </c>
      <c r="C524" s="61" t="s">
        <v>32</v>
      </c>
      <c r="D524" s="90"/>
      <c r="E524" s="1"/>
      <c r="F524" s="1">
        <v>0</v>
      </c>
    </row>
    <row r="525" spans="1:7" hidden="1">
      <c r="A525" s="101" t="s">
        <v>197</v>
      </c>
      <c r="B525" s="1">
        <v>5</v>
      </c>
      <c r="C525" s="61" t="s">
        <v>193</v>
      </c>
      <c r="D525" s="90"/>
      <c r="E525" s="1"/>
      <c r="F525" s="1">
        <v>8</v>
      </c>
    </row>
    <row r="526" spans="1:7" hidden="1">
      <c r="A526" s="101" t="s">
        <v>198</v>
      </c>
      <c r="B526" s="1">
        <v>6</v>
      </c>
      <c r="C526" s="61" t="s">
        <v>193</v>
      </c>
      <c r="D526" s="90"/>
      <c r="E526" s="1"/>
      <c r="F526" s="1">
        <v>6</v>
      </c>
    </row>
    <row r="527" spans="1:7" hidden="1">
      <c r="A527" s="12" t="s">
        <v>553</v>
      </c>
      <c r="B527" s="1">
        <v>1</v>
      </c>
      <c r="C527" s="61" t="s">
        <v>460</v>
      </c>
      <c r="D527" s="90"/>
      <c r="E527" s="91">
        <f>+B527*D527</f>
        <v>0</v>
      </c>
      <c r="F527" s="1"/>
    </row>
    <row r="528" spans="1:7" hidden="1">
      <c r="A528" s="12" t="s">
        <v>394</v>
      </c>
      <c r="B528" s="1">
        <v>2</v>
      </c>
      <c r="C528" s="79" t="s">
        <v>351</v>
      </c>
      <c r="D528" s="89"/>
      <c r="E528" s="1"/>
      <c r="F528" s="1"/>
    </row>
    <row r="529" spans="1:7" hidden="1">
      <c r="A529" s="12" t="s">
        <v>583</v>
      </c>
      <c r="B529" s="1">
        <v>4</v>
      </c>
      <c r="C529" s="61" t="s">
        <v>321</v>
      </c>
      <c r="D529" s="72"/>
      <c r="E529" s="1"/>
      <c r="F529" s="1"/>
    </row>
    <row r="530" spans="1:7" hidden="1">
      <c r="A530" s="12" t="s">
        <v>584</v>
      </c>
      <c r="B530" s="1">
        <v>10</v>
      </c>
      <c r="C530" s="61" t="s">
        <v>321</v>
      </c>
      <c r="D530" s="72"/>
      <c r="E530" s="1"/>
      <c r="F530" s="1"/>
    </row>
    <row r="531" spans="1:7" hidden="1">
      <c r="A531" s="12" t="s">
        <v>581</v>
      </c>
      <c r="B531" s="1">
        <v>7</v>
      </c>
      <c r="C531" s="61" t="s">
        <v>321</v>
      </c>
      <c r="D531" s="72"/>
      <c r="E531" s="1"/>
      <c r="F531" s="1"/>
    </row>
    <row r="532" spans="1:7" hidden="1">
      <c r="A532" s="12" t="s">
        <v>582</v>
      </c>
      <c r="B532" s="1">
        <v>2</v>
      </c>
      <c r="C532" s="61" t="s">
        <v>321</v>
      </c>
      <c r="D532" s="72"/>
      <c r="E532" s="1"/>
      <c r="F532" s="1"/>
    </row>
    <row r="533" spans="1:7" hidden="1">
      <c r="A533" s="12" t="s">
        <v>580</v>
      </c>
      <c r="B533" s="1">
        <v>3</v>
      </c>
      <c r="C533" s="61" t="s">
        <v>321</v>
      </c>
      <c r="D533" s="72"/>
      <c r="E533" s="1"/>
      <c r="F533" s="1"/>
    </row>
    <row r="534" spans="1:7" hidden="1">
      <c r="A534" s="12" t="s">
        <v>579</v>
      </c>
      <c r="B534" s="1">
        <v>4</v>
      </c>
      <c r="C534" s="61" t="s">
        <v>321</v>
      </c>
      <c r="D534" s="72"/>
      <c r="E534" s="1"/>
      <c r="F534" s="1"/>
    </row>
    <row r="535" spans="1:7" hidden="1">
      <c r="A535" s="12" t="s">
        <v>102</v>
      </c>
      <c r="B535" s="1">
        <v>1</v>
      </c>
      <c r="C535" s="61" t="s">
        <v>13</v>
      </c>
      <c r="D535" s="72"/>
      <c r="E535" s="1"/>
      <c r="F535" s="1"/>
    </row>
    <row r="536" spans="1:7" hidden="1">
      <c r="A536" s="12" t="s">
        <v>104</v>
      </c>
      <c r="B536" s="1">
        <v>5</v>
      </c>
      <c r="C536" s="61" t="s">
        <v>13</v>
      </c>
      <c r="D536" s="72"/>
      <c r="E536" s="1"/>
      <c r="F536" s="1"/>
    </row>
    <row r="537" spans="1:7" hidden="1">
      <c r="A537" s="12" t="s">
        <v>103</v>
      </c>
      <c r="B537" s="1">
        <v>1</v>
      </c>
      <c r="C537" s="61" t="s">
        <v>13</v>
      </c>
      <c r="D537" s="72"/>
      <c r="E537" s="1"/>
      <c r="F537" s="1"/>
    </row>
    <row r="538" spans="1:7" hidden="1">
      <c r="A538" s="12" t="s">
        <v>105</v>
      </c>
      <c r="B538" s="1">
        <v>1</v>
      </c>
      <c r="C538" s="61" t="s">
        <v>13</v>
      </c>
      <c r="D538" s="72"/>
      <c r="E538" s="1"/>
      <c r="F538" s="1"/>
    </row>
    <row r="539" spans="1:7" hidden="1">
      <c r="A539" s="12" t="s">
        <v>106</v>
      </c>
      <c r="B539" s="1">
        <v>2</v>
      </c>
      <c r="C539" s="61" t="s">
        <v>13</v>
      </c>
      <c r="D539" s="72"/>
      <c r="E539" s="1"/>
      <c r="F539" s="1"/>
    </row>
    <row r="540" spans="1:7" hidden="1">
      <c r="A540" s="74" t="s">
        <v>712</v>
      </c>
      <c r="B540" s="31">
        <v>5</v>
      </c>
      <c r="C540" s="65" t="s">
        <v>13</v>
      </c>
      <c r="D540" s="72"/>
      <c r="E540" s="1"/>
      <c r="F540" s="1"/>
    </row>
    <row r="541" spans="1:7" hidden="1">
      <c r="A541" s="12" t="s">
        <v>397</v>
      </c>
      <c r="B541" s="1">
        <v>13</v>
      </c>
      <c r="C541" s="61" t="s">
        <v>398</v>
      </c>
      <c r="D541" s="72"/>
      <c r="E541" s="1"/>
      <c r="F541" s="1"/>
    </row>
    <row r="542" spans="1:7" hidden="1">
      <c r="A542" s="12" t="s">
        <v>308</v>
      </c>
      <c r="B542" s="1">
        <v>1</v>
      </c>
      <c r="C542" s="61" t="s">
        <v>281</v>
      </c>
      <c r="D542" s="72"/>
      <c r="E542" s="1"/>
      <c r="F542" s="1"/>
    </row>
    <row r="543" spans="1:7" hidden="1">
      <c r="A543" s="12" t="s">
        <v>307</v>
      </c>
      <c r="B543" s="1">
        <v>7</v>
      </c>
      <c r="C543" s="61" t="s">
        <v>281</v>
      </c>
      <c r="D543" s="72"/>
      <c r="E543" s="1"/>
      <c r="F543" s="1"/>
    </row>
    <row r="544" spans="1:7" hidden="1">
      <c r="A544" s="104" t="s">
        <v>50</v>
      </c>
      <c r="B544" s="1">
        <v>36</v>
      </c>
      <c r="C544" s="61" t="s">
        <v>32</v>
      </c>
      <c r="D544" s="72"/>
      <c r="E544" s="1"/>
      <c r="F544" s="1"/>
      <c r="G544" s="105" t="s">
        <v>779</v>
      </c>
    </row>
    <row r="545" spans="1:7" hidden="1">
      <c r="A545" s="104" t="s">
        <v>68</v>
      </c>
      <c r="B545" s="1">
        <v>15</v>
      </c>
      <c r="C545" s="61" t="s">
        <v>32</v>
      </c>
      <c r="D545" s="72"/>
      <c r="E545" s="1"/>
      <c r="F545" s="1"/>
      <c r="G545" s="105" t="s">
        <v>779</v>
      </c>
    </row>
    <row r="546" spans="1:7" hidden="1">
      <c r="A546" s="104" t="s">
        <v>70</v>
      </c>
      <c r="B546" s="1">
        <v>14</v>
      </c>
      <c r="C546" s="61" t="s">
        <v>32</v>
      </c>
      <c r="D546" s="72"/>
      <c r="E546" s="1"/>
      <c r="F546" s="1"/>
      <c r="G546" s="105" t="s">
        <v>779</v>
      </c>
    </row>
    <row r="547" spans="1:7" hidden="1">
      <c r="A547" s="104" t="s">
        <v>43</v>
      </c>
      <c r="B547" s="1">
        <v>14</v>
      </c>
      <c r="C547" s="61" t="s">
        <v>32</v>
      </c>
      <c r="D547" s="72"/>
      <c r="E547" s="1"/>
      <c r="F547" s="1"/>
      <c r="G547" s="105" t="s">
        <v>779</v>
      </c>
    </row>
    <row r="548" spans="1:7" hidden="1">
      <c r="A548" s="104" t="s">
        <v>130</v>
      </c>
      <c r="B548" s="1">
        <v>10</v>
      </c>
      <c r="C548" s="61" t="s">
        <v>32</v>
      </c>
      <c r="D548" s="72"/>
      <c r="E548" s="1"/>
      <c r="F548" s="1"/>
      <c r="G548" s="105" t="s">
        <v>779</v>
      </c>
    </row>
    <row r="549" spans="1:7" hidden="1">
      <c r="A549" s="104" t="s">
        <v>265</v>
      </c>
      <c r="B549" s="1">
        <v>6</v>
      </c>
      <c r="C549" s="61" t="s">
        <v>32</v>
      </c>
      <c r="D549" s="72"/>
      <c r="E549" s="1"/>
      <c r="F549" s="1"/>
      <c r="G549" s="105" t="s">
        <v>779</v>
      </c>
    </row>
    <row r="550" spans="1:7" hidden="1">
      <c r="A550" s="104" t="s">
        <v>69</v>
      </c>
      <c r="B550" s="1">
        <v>1</v>
      </c>
      <c r="C550" s="61" t="s">
        <v>32</v>
      </c>
      <c r="D550" s="72"/>
      <c r="E550" s="1"/>
      <c r="F550" s="1"/>
      <c r="G550" s="105" t="s">
        <v>779</v>
      </c>
    </row>
    <row r="551" spans="1:7" hidden="1">
      <c r="A551" s="104" t="s">
        <v>71</v>
      </c>
      <c r="B551" s="1">
        <v>1</v>
      </c>
      <c r="C551" s="61" t="s">
        <v>32</v>
      </c>
      <c r="D551" s="72"/>
      <c r="E551" s="1"/>
      <c r="F551" s="1"/>
      <c r="G551" s="105" t="s">
        <v>779</v>
      </c>
    </row>
    <row r="552" spans="1:7" hidden="1">
      <c r="A552" s="104" t="s">
        <v>44</v>
      </c>
      <c r="B552" s="1">
        <v>8</v>
      </c>
      <c r="C552" s="61" t="s">
        <v>32</v>
      </c>
      <c r="D552" s="72"/>
      <c r="E552" s="1"/>
      <c r="F552" s="1"/>
      <c r="G552" s="105" t="s">
        <v>779</v>
      </c>
    </row>
    <row r="553" spans="1:7" hidden="1">
      <c r="A553" s="101" t="s">
        <v>713</v>
      </c>
      <c r="B553" s="1">
        <v>3</v>
      </c>
      <c r="C553" s="61" t="s">
        <v>193</v>
      </c>
      <c r="D553" s="72"/>
      <c r="E553" s="1"/>
      <c r="F553" s="1">
        <v>3</v>
      </c>
    </row>
    <row r="554" spans="1:7" hidden="1">
      <c r="A554" s="101" t="s">
        <v>714</v>
      </c>
      <c r="B554" s="1">
        <v>11</v>
      </c>
      <c r="C554" s="61" t="s">
        <v>193</v>
      </c>
      <c r="D554" s="72"/>
      <c r="E554" s="1"/>
      <c r="F554" s="1">
        <v>12</v>
      </c>
    </row>
    <row r="555" spans="1:7" hidden="1">
      <c r="A555" s="101" t="s">
        <v>780</v>
      </c>
      <c r="B555" s="1">
        <v>2</v>
      </c>
      <c r="C555" s="61" t="s">
        <v>360</v>
      </c>
      <c r="D555" s="72"/>
      <c r="E555" s="1"/>
      <c r="F555" s="1">
        <v>0</v>
      </c>
    </row>
    <row r="556" spans="1:7" hidden="1">
      <c r="A556" s="101" t="s">
        <v>715</v>
      </c>
      <c r="B556" s="1">
        <v>1</v>
      </c>
      <c r="C556" s="61" t="s">
        <v>193</v>
      </c>
      <c r="D556" s="72"/>
      <c r="E556" s="1"/>
      <c r="F556" s="1">
        <v>0</v>
      </c>
    </row>
    <row r="557" spans="1:7">
      <c r="A557" s="106" t="s">
        <v>781</v>
      </c>
      <c r="B557" s="1">
        <v>3</v>
      </c>
      <c r="C557" s="61" t="s">
        <v>32</v>
      </c>
      <c r="D557" s="72"/>
      <c r="E557" s="1"/>
      <c r="F557" s="1"/>
    </row>
    <row r="558" spans="1:7">
      <c r="A558" s="12" t="s">
        <v>577</v>
      </c>
      <c r="B558" s="1">
        <v>8</v>
      </c>
      <c r="C558" s="61" t="s">
        <v>321</v>
      </c>
      <c r="D558" s="72"/>
      <c r="E558" s="1"/>
      <c r="F558" s="1"/>
    </row>
    <row r="559" spans="1:7">
      <c r="A559" s="12" t="s">
        <v>578</v>
      </c>
      <c r="B559" s="1">
        <v>2</v>
      </c>
      <c r="C559" s="61" t="s">
        <v>321</v>
      </c>
      <c r="D559" s="72"/>
      <c r="E559" s="1"/>
      <c r="F559" s="1"/>
    </row>
    <row r="560" spans="1:7">
      <c r="A560" s="12" t="s">
        <v>575</v>
      </c>
      <c r="B560" s="1">
        <v>2</v>
      </c>
      <c r="C560" s="61" t="s">
        <v>321</v>
      </c>
      <c r="D560" s="72"/>
      <c r="E560" s="1"/>
      <c r="F560" s="1"/>
    </row>
    <row r="561" spans="1:6">
      <c r="A561" s="12" t="s">
        <v>576</v>
      </c>
      <c r="B561" s="1">
        <v>1</v>
      </c>
      <c r="C561" s="61" t="s">
        <v>321</v>
      </c>
      <c r="D561" s="72"/>
      <c r="E561" s="1"/>
      <c r="F561" s="1"/>
    </row>
    <row r="562" spans="1:6">
      <c r="A562" s="12" t="s">
        <v>574</v>
      </c>
      <c r="B562" s="1">
        <v>14</v>
      </c>
      <c r="C562" s="61" t="s">
        <v>321</v>
      </c>
      <c r="D562" s="72"/>
      <c r="E562" s="1"/>
      <c r="F562" s="1"/>
    </row>
    <row r="563" spans="1:6">
      <c r="A563" s="12" t="s">
        <v>573</v>
      </c>
      <c r="B563" s="1">
        <v>5</v>
      </c>
      <c r="C563" s="61" t="s">
        <v>321</v>
      </c>
      <c r="D563" s="72"/>
      <c r="E563" s="1"/>
      <c r="F563" s="1"/>
    </row>
    <row r="564" spans="1:6">
      <c r="A564" s="12" t="s">
        <v>115</v>
      </c>
      <c r="B564" s="1">
        <v>5</v>
      </c>
      <c r="C564" s="61" t="s">
        <v>13</v>
      </c>
      <c r="D564" s="72"/>
      <c r="E564" s="1"/>
      <c r="F564" s="1"/>
    </row>
    <row r="565" spans="1:6">
      <c r="A565" s="12" t="s">
        <v>113</v>
      </c>
      <c r="B565" s="1">
        <v>1</v>
      </c>
      <c r="C565" s="61" t="s">
        <v>13</v>
      </c>
      <c r="D565" s="72"/>
      <c r="E565" s="1"/>
      <c r="F565" s="1"/>
    </row>
    <row r="566" spans="1:6">
      <c r="A566" s="12" t="s">
        <v>117</v>
      </c>
      <c r="B566" s="1">
        <v>4</v>
      </c>
      <c r="C566" s="61" t="s">
        <v>13</v>
      </c>
      <c r="D566" s="72"/>
      <c r="E566" s="1"/>
      <c r="F566" s="1"/>
    </row>
    <row r="567" spans="1:6">
      <c r="A567" s="12" t="s">
        <v>116</v>
      </c>
      <c r="B567" s="1">
        <v>3</v>
      </c>
      <c r="C567" s="61" t="s">
        <v>13</v>
      </c>
      <c r="D567" s="72"/>
      <c r="E567" s="1"/>
      <c r="F567" s="1"/>
    </row>
    <row r="568" spans="1:6">
      <c r="A568" s="12" t="s">
        <v>118</v>
      </c>
      <c r="B568" s="1">
        <v>4</v>
      </c>
      <c r="C568" s="61" t="s">
        <v>13</v>
      </c>
      <c r="D568" s="72"/>
      <c r="E568" s="1"/>
      <c r="F568" s="1"/>
    </row>
    <row r="569" spans="1:6">
      <c r="A569" s="12" t="s">
        <v>114</v>
      </c>
      <c r="B569" s="1">
        <v>3</v>
      </c>
      <c r="C569" s="61" t="s">
        <v>13</v>
      </c>
      <c r="D569" s="72"/>
      <c r="E569" s="1"/>
      <c r="F569" s="1"/>
    </row>
    <row r="570" spans="1:6" hidden="1">
      <c r="A570" s="12" t="s">
        <v>482</v>
      </c>
      <c r="B570" s="1">
        <v>1</v>
      </c>
      <c r="C570" s="61" t="s">
        <v>368</v>
      </c>
      <c r="D570" s="72"/>
      <c r="E570" s="1"/>
      <c r="F570" s="1"/>
    </row>
    <row r="571" spans="1:6" hidden="1">
      <c r="A571" s="12" t="s">
        <v>483</v>
      </c>
      <c r="B571" s="1">
        <v>4</v>
      </c>
      <c r="C571" s="61" t="s">
        <v>368</v>
      </c>
      <c r="D571" s="72"/>
      <c r="E571" s="1"/>
      <c r="F571" s="1"/>
    </row>
    <row r="572" spans="1:6" hidden="1">
      <c r="A572" s="12" t="s">
        <v>481</v>
      </c>
      <c r="B572" s="1">
        <v>1</v>
      </c>
      <c r="C572" s="61" t="s">
        <v>368</v>
      </c>
      <c r="D572" s="72"/>
      <c r="E572" s="1"/>
      <c r="F572" s="1"/>
    </row>
    <row r="573" spans="1:6" hidden="1">
      <c r="A573" s="12" t="s">
        <v>469</v>
      </c>
      <c r="B573" s="1">
        <v>10</v>
      </c>
      <c r="C573" s="61" t="s">
        <v>368</v>
      </c>
      <c r="D573" s="72"/>
      <c r="E573" s="1"/>
      <c r="F573" s="1"/>
    </row>
    <row r="574" spans="1:6" hidden="1">
      <c r="A574" s="12" t="s">
        <v>471</v>
      </c>
      <c r="B574" s="1">
        <v>2</v>
      </c>
      <c r="C574" s="61" t="s">
        <v>368</v>
      </c>
      <c r="D574" s="72"/>
      <c r="E574" s="1"/>
      <c r="F574" s="1"/>
    </row>
    <row r="575" spans="1:6" hidden="1">
      <c r="A575" s="12" t="s">
        <v>472</v>
      </c>
      <c r="B575" s="1">
        <v>1</v>
      </c>
      <c r="C575" s="61" t="s">
        <v>368</v>
      </c>
      <c r="D575" s="72"/>
      <c r="E575" s="1"/>
      <c r="F575" s="1"/>
    </row>
    <row r="576" spans="1:6" hidden="1">
      <c r="A576" s="12" t="s">
        <v>399</v>
      </c>
      <c r="B576" s="1">
        <v>3</v>
      </c>
      <c r="C576" s="61" t="s">
        <v>368</v>
      </c>
      <c r="D576" s="72"/>
      <c r="E576" s="1"/>
      <c r="F576" s="1"/>
    </row>
    <row r="577" spans="1:6" hidden="1">
      <c r="A577" s="12" t="s">
        <v>399</v>
      </c>
      <c r="B577" s="1">
        <v>6</v>
      </c>
      <c r="C577" s="61" t="s">
        <v>368</v>
      </c>
      <c r="D577" s="72"/>
      <c r="E577" s="1"/>
      <c r="F577" s="1"/>
    </row>
    <row r="578" spans="1:6" hidden="1">
      <c r="A578" s="12" t="s">
        <v>468</v>
      </c>
      <c r="B578" s="1">
        <v>1</v>
      </c>
      <c r="C578" s="61" t="s">
        <v>368</v>
      </c>
      <c r="D578" s="72"/>
      <c r="E578" s="1"/>
      <c r="F578" s="1"/>
    </row>
    <row r="579" spans="1:6" hidden="1">
      <c r="A579" s="12" t="s">
        <v>400</v>
      </c>
      <c r="B579" s="1">
        <v>3</v>
      </c>
      <c r="C579" s="61" t="s">
        <v>368</v>
      </c>
      <c r="D579" s="72"/>
      <c r="E579" s="1"/>
      <c r="F579" s="1"/>
    </row>
    <row r="580" spans="1:6" hidden="1">
      <c r="A580" s="12" t="s">
        <v>400</v>
      </c>
      <c r="B580" s="1">
        <v>7</v>
      </c>
      <c r="C580" s="61" t="s">
        <v>368</v>
      </c>
      <c r="D580" s="72"/>
      <c r="E580" s="1"/>
      <c r="F580" s="1"/>
    </row>
    <row r="581" spans="1:6" hidden="1">
      <c r="A581" s="12" t="s">
        <v>467</v>
      </c>
      <c r="B581" s="1">
        <v>4</v>
      </c>
      <c r="C581" s="61" t="s">
        <v>368</v>
      </c>
      <c r="D581" s="72"/>
      <c r="E581" s="1"/>
      <c r="F581" s="1"/>
    </row>
    <row r="582" spans="1:6" hidden="1">
      <c r="A582" s="12" t="s">
        <v>466</v>
      </c>
      <c r="B582" s="1">
        <v>1</v>
      </c>
      <c r="C582" s="61" t="s">
        <v>368</v>
      </c>
      <c r="D582" s="72"/>
      <c r="E582" s="1"/>
      <c r="F582" s="1"/>
    </row>
    <row r="583" spans="1:6" hidden="1">
      <c r="A583" s="12" t="s">
        <v>470</v>
      </c>
      <c r="B583" s="1">
        <v>10</v>
      </c>
      <c r="C583" s="61" t="s">
        <v>368</v>
      </c>
      <c r="D583" s="72"/>
      <c r="E583" s="1"/>
      <c r="F583" s="1"/>
    </row>
    <row r="584" spans="1:6" hidden="1">
      <c r="A584" s="12" t="s">
        <v>474</v>
      </c>
      <c r="B584" s="1">
        <v>1</v>
      </c>
      <c r="C584" s="61" t="s">
        <v>368</v>
      </c>
      <c r="D584" s="72"/>
      <c r="E584" s="1"/>
      <c r="F584" s="1"/>
    </row>
    <row r="585" spans="1:6" hidden="1">
      <c r="A585" s="12" t="s">
        <v>473</v>
      </c>
      <c r="B585" s="1">
        <v>6</v>
      </c>
      <c r="C585" s="61" t="s">
        <v>368</v>
      </c>
      <c r="D585" s="72"/>
      <c r="E585" s="1"/>
      <c r="F585" s="1"/>
    </row>
    <row r="586" spans="1:6" hidden="1">
      <c r="A586" s="12" t="s">
        <v>475</v>
      </c>
      <c r="B586" s="1">
        <v>1</v>
      </c>
      <c r="C586" s="61" t="s">
        <v>368</v>
      </c>
      <c r="D586" s="72"/>
      <c r="E586" s="1"/>
      <c r="F586" s="1"/>
    </row>
    <row r="587" spans="1:6" hidden="1">
      <c r="A587" s="12" t="s">
        <v>490</v>
      </c>
      <c r="B587" s="1">
        <v>1</v>
      </c>
      <c r="C587" s="79" t="s">
        <v>448</v>
      </c>
      <c r="D587" s="72"/>
      <c r="E587" s="1"/>
      <c r="F587" s="1"/>
    </row>
    <row r="588" spans="1:6" hidden="1">
      <c r="A588" s="12" t="s">
        <v>491</v>
      </c>
      <c r="B588" s="1">
        <v>3</v>
      </c>
      <c r="C588" s="79" t="s">
        <v>448</v>
      </c>
      <c r="D588" s="72"/>
      <c r="E588" s="1"/>
      <c r="F588" s="1"/>
    </row>
    <row r="589" spans="1:6" hidden="1">
      <c r="A589" s="12" t="s">
        <v>295</v>
      </c>
      <c r="B589" s="1">
        <v>13</v>
      </c>
      <c r="C589" s="61" t="s">
        <v>283</v>
      </c>
      <c r="D589" s="72"/>
      <c r="E589" s="1"/>
      <c r="F589" s="1"/>
    </row>
    <row r="590" spans="1:6" hidden="1">
      <c r="A590" s="12" t="s">
        <v>242</v>
      </c>
      <c r="B590" s="1">
        <v>21</v>
      </c>
      <c r="C590" s="61" t="s">
        <v>32</v>
      </c>
      <c r="D590" s="72"/>
      <c r="E590" s="1"/>
      <c r="F590" s="1"/>
    </row>
    <row r="591" spans="1:6" hidden="1">
      <c r="A591" s="12" t="s">
        <v>239</v>
      </c>
      <c r="B591" s="1">
        <v>6</v>
      </c>
      <c r="C591" s="61" t="s">
        <v>32</v>
      </c>
      <c r="D591" s="72"/>
      <c r="E591" s="1"/>
      <c r="F591" s="1"/>
    </row>
    <row r="592" spans="1:6" hidden="1">
      <c r="A592" s="12" t="s">
        <v>245</v>
      </c>
      <c r="B592" s="1">
        <v>1</v>
      </c>
      <c r="C592" s="61" t="s">
        <v>32</v>
      </c>
      <c r="D592" s="72"/>
      <c r="E592" s="1"/>
      <c r="F592" s="1"/>
    </row>
    <row r="593" spans="1:6" hidden="1">
      <c r="A593" s="12" t="s">
        <v>243</v>
      </c>
      <c r="B593" s="1">
        <v>4</v>
      </c>
      <c r="C593" s="61" t="s">
        <v>32</v>
      </c>
      <c r="D593" s="72"/>
      <c r="E593" s="1"/>
      <c r="F593" s="1"/>
    </row>
    <row r="594" spans="1:6" hidden="1">
      <c r="A594" s="12" t="s">
        <v>247</v>
      </c>
      <c r="B594" s="1">
        <v>2</v>
      </c>
      <c r="C594" s="61" t="s">
        <v>32</v>
      </c>
      <c r="D594" s="72"/>
      <c r="E594" s="1"/>
      <c r="F594" s="1"/>
    </row>
    <row r="595" spans="1:6" hidden="1">
      <c r="A595" s="12" t="s">
        <v>241</v>
      </c>
      <c r="B595" s="1">
        <v>13</v>
      </c>
      <c r="C595" s="61" t="s">
        <v>32</v>
      </c>
      <c r="D595" s="72"/>
      <c r="E595" s="1"/>
      <c r="F595" s="1"/>
    </row>
    <row r="596" spans="1:6" hidden="1">
      <c r="A596" s="12" t="s">
        <v>299</v>
      </c>
      <c r="B596" s="1">
        <v>24</v>
      </c>
      <c r="C596" s="61" t="s">
        <v>281</v>
      </c>
      <c r="D596" s="72"/>
      <c r="E596" s="1"/>
      <c r="F596" s="1"/>
    </row>
    <row r="597" spans="1:6" hidden="1">
      <c r="A597" s="12" t="s">
        <v>300</v>
      </c>
      <c r="B597" s="1">
        <v>3</v>
      </c>
      <c r="C597" s="61" t="s">
        <v>281</v>
      </c>
      <c r="D597" s="72"/>
      <c r="E597" s="1"/>
      <c r="F597" s="1"/>
    </row>
    <row r="598" spans="1:6" hidden="1">
      <c r="A598" s="12" t="s">
        <v>244</v>
      </c>
      <c r="B598" s="1">
        <v>1</v>
      </c>
      <c r="C598" s="61" t="s">
        <v>32</v>
      </c>
      <c r="D598" s="72"/>
      <c r="E598" s="1"/>
      <c r="F598" s="1"/>
    </row>
    <row r="599" spans="1:6" hidden="1">
      <c r="A599" s="12" t="s">
        <v>240</v>
      </c>
      <c r="B599" s="1">
        <v>9</v>
      </c>
      <c r="C599" s="61" t="s">
        <v>32</v>
      </c>
      <c r="D599" s="72"/>
      <c r="E599" s="1"/>
      <c r="F599" s="1"/>
    </row>
    <row r="600" spans="1:6" hidden="1">
      <c r="A600" s="12" t="s">
        <v>246</v>
      </c>
      <c r="B600" s="1">
        <v>1</v>
      </c>
      <c r="C600" s="61" t="s">
        <v>32</v>
      </c>
      <c r="D600" s="72"/>
      <c r="E600" s="1"/>
      <c r="F600" s="1"/>
    </row>
    <row r="601" spans="1:6" hidden="1">
      <c r="A601" s="12" t="s">
        <v>248</v>
      </c>
      <c r="B601" s="1">
        <v>2</v>
      </c>
      <c r="C601" s="61" t="s">
        <v>32</v>
      </c>
      <c r="D601" s="72"/>
      <c r="E601" s="1"/>
      <c r="F601" s="1"/>
    </row>
    <row r="602" spans="1:6">
      <c r="A602" s="12" t="s">
        <v>235</v>
      </c>
      <c r="B602" s="1">
        <v>10</v>
      </c>
      <c r="C602" s="61" t="s">
        <v>32</v>
      </c>
      <c r="D602" s="72"/>
      <c r="E602" s="1"/>
      <c r="F602" s="1"/>
    </row>
    <row r="603" spans="1:6">
      <c r="A603" s="12" t="s">
        <v>231</v>
      </c>
      <c r="B603" s="1">
        <v>31</v>
      </c>
      <c r="C603" s="61" t="s">
        <v>32</v>
      </c>
      <c r="D603" s="72"/>
      <c r="E603" s="1"/>
      <c r="F603" s="1"/>
    </row>
    <row r="604" spans="1:6">
      <c r="A604" s="12" t="s">
        <v>238</v>
      </c>
      <c r="B604" s="1">
        <v>8</v>
      </c>
      <c r="C604" s="61" t="s">
        <v>32</v>
      </c>
      <c r="D604" s="72"/>
      <c r="E604" s="1"/>
      <c r="F604" s="1"/>
    </row>
    <row r="605" spans="1:6">
      <c r="A605" s="12" t="s">
        <v>236</v>
      </c>
      <c r="B605" s="1">
        <v>1</v>
      </c>
      <c r="C605" s="61" t="s">
        <v>32</v>
      </c>
      <c r="D605" s="72"/>
      <c r="E605" s="1"/>
      <c r="F605" s="1"/>
    </row>
    <row r="606" spans="1:6">
      <c r="A606" s="12" t="s">
        <v>237</v>
      </c>
      <c r="B606" s="1">
        <v>1</v>
      </c>
      <c r="C606" s="61" t="s">
        <v>32</v>
      </c>
      <c r="D606" s="72"/>
      <c r="E606" s="1"/>
      <c r="F606" s="1"/>
    </row>
    <row r="607" spans="1:6">
      <c r="A607" s="12" t="s">
        <v>232</v>
      </c>
      <c r="B607" s="1">
        <v>14</v>
      </c>
      <c r="C607" s="61" t="s">
        <v>32</v>
      </c>
      <c r="D607" s="72"/>
      <c r="E607" s="1"/>
      <c r="F607" s="1"/>
    </row>
    <row r="608" spans="1:6" hidden="1">
      <c r="A608" s="12" t="s">
        <v>494</v>
      </c>
      <c r="B608" s="1">
        <v>1</v>
      </c>
      <c r="C608" s="79" t="s">
        <v>448</v>
      </c>
      <c r="D608" s="72"/>
      <c r="E608" s="1"/>
      <c r="F608" s="1"/>
    </row>
    <row r="609" spans="1:6" hidden="1">
      <c r="A609" s="12" t="s">
        <v>312</v>
      </c>
      <c r="B609" s="1">
        <v>21</v>
      </c>
      <c r="C609" s="61" t="s">
        <v>123</v>
      </c>
      <c r="D609" s="72"/>
      <c r="E609" s="1"/>
      <c r="F609" s="1"/>
    </row>
    <row r="610" spans="1:6" hidden="1">
      <c r="A610" s="12" t="s">
        <v>316</v>
      </c>
      <c r="B610" s="1">
        <v>13</v>
      </c>
      <c r="C610" s="61" t="s">
        <v>311</v>
      </c>
      <c r="D610" s="72"/>
      <c r="E610" s="1"/>
      <c r="F610" s="1"/>
    </row>
    <row r="611" spans="1:6" hidden="1">
      <c r="A611" s="12" t="s">
        <v>318</v>
      </c>
      <c r="B611" s="1">
        <v>4</v>
      </c>
      <c r="C611" s="61" t="s">
        <v>311</v>
      </c>
      <c r="D611" s="72"/>
      <c r="E611" s="1"/>
      <c r="F611" s="1"/>
    </row>
    <row r="612" spans="1:6" hidden="1">
      <c r="A612" s="12" t="s">
        <v>309</v>
      </c>
      <c r="B612" s="1">
        <v>7</v>
      </c>
      <c r="C612" s="61" t="s">
        <v>123</v>
      </c>
      <c r="D612" s="72"/>
      <c r="E612" s="1"/>
      <c r="F612" s="1"/>
    </row>
    <row r="613" spans="1:6" hidden="1">
      <c r="A613" s="12" t="s">
        <v>314</v>
      </c>
      <c r="B613" s="1">
        <v>5</v>
      </c>
      <c r="C613" s="61" t="s">
        <v>311</v>
      </c>
      <c r="D613" s="72"/>
      <c r="E613" s="1"/>
      <c r="F613" s="1"/>
    </row>
    <row r="614" spans="1:6" hidden="1">
      <c r="A614" s="12" t="s">
        <v>315</v>
      </c>
      <c r="B614" s="1">
        <v>5</v>
      </c>
      <c r="C614" s="61" t="s">
        <v>311</v>
      </c>
      <c r="D614" s="72"/>
      <c r="E614" s="1"/>
      <c r="F614" s="1"/>
    </row>
    <row r="615" spans="1:6" hidden="1">
      <c r="A615" s="12" t="s">
        <v>498</v>
      </c>
      <c r="B615" s="1">
        <v>7</v>
      </c>
      <c r="C615" s="79" t="s">
        <v>497</v>
      </c>
      <c r="D615" s="72"/>
      <c r="E615" s="1"/>
      <c r="F615" s="1"/>
    </row>
    <row r="616" spans="1:6" hidden="1">
      <c r="A616" s="12" t="s">
        <v>499</v>
      </c>
      <c r="B616" s="1">
        <v>8</v>
      </c>
      <c r="C616" s="79" t="s">
        <v>497</v>
      </c>
      <c r="D616" s="72"/>
      <c r="E616" s="1"/>
      <c r="F616" s="1"/>
    </row>
    <row r="617" spans="1:6" hidden="1">
      <c r="A617" s="12" t="s">
        <v>500</v>
      </c>
      <c r="B617" s="1">
        <v>2</v>
      </c>
      <c r="C617" s="79" t="s">
        <v>497</v>
      </c>
      <c r="D617" s="72"/>
      <c r="E617" s="1"/>
      <c r="F617" s="1"/>
    </row>
    <row r="618" spans="1:6" hidden="1">
      <c r="A618" s="12" t="s">
        <v>496</v>
      </c>
      <c r="B618" s="1">
        <v>2</v>
      </c>
      <c r="C618" s="79" t="s">
        <v>497</v>
      </c>
      <c r="D618" s="72"/>
      <c r="E618" s="1"/>
      <c r="F618" s="1"/>
    </row>
    <row r="619" spans="1:6" hidden="1">
      <c r="A619" s="12" t="s">
        <v>501</v>
      </c>
      <c r="B619" s="1">
        <v>1</v>
      </c>
      <c r="C619" s="79" t="s">
        <v>497</v>
      </c>
      <c r="D619" s="72"/>
      <c r="E619" s="1"/>
      <c r="F619" s="1"/>
    </row>
    <row r="620" spans="1:6" hidden="1">
      <c r="A620" s="12" t="s">
        <v>492</v>
      </c>
      <c r="B620" s="1">
        <v>3</v>
      </c>
      <c r="C620" s="79" t="s">
        <v>448</v>
      </c>
      <c r="D620" s="72"/>
      <c r="E620" s="1"/>
      <c r="F620" s="1"/>
    </row>
    <row r="621" spans="1:6" hidden="1">
      <c r="A621" s="12" t="s">
        <v>234</v>
      </c>
      <c r="B621" s="1">
        <v>1</v>
      </c>
      <c r="C621" s="61" t="s">
        <v>32</v>
      </c>
      <c r="D621" s="72"/>
      <c r="E621" s="1"/>
      <c r="F621" s="1"/>
    </row>
    <row r="622" spans="1:6" hidden="1">
      <c r="A622" s="12" t="s">
        <v>313</v>
      </c>
      <c r="B622" s="1">
        <v>29</v>
      </c>
      <c r="C622" s="61" t="s">
        <v>311</v>
      </c>
      <c r="D622" s="72"/>
      <c r="E622" s="1"/>
      <c r="F622" s="1"/>
    </row>
    <row r="623" spans="1:6" hidden="1">
      <c r="A623" s="12" t="s">
        <v>317</v>
      </c>
      <c r="B623" s="1">
        <v>64</v>
      </c>
      <c r="C623" s="61" t="s">
        <v>311</v>
      </c>
      <c r="D623" s="72"/>
      <c r="E623" s="1"/>
      <c r="F623" s="1"/>
    </row>
    <row r="624" spans="1:6" hidden="1">
      <c r="A624" s="12" t="s">
        <v>310</v>
      </c>
      <c r="B624" s="1">
        <v>9</v>
      </c>
      <c r="C624" s="61" t="s">
        <v>311</v>
      </c>
      <c r="D624" s="72"/>
      <c r="E624" s="1"/>
      <c r="F624" s="1"/>
    </row>
    <row r="625" spans="1:7" hidden="1">
      <c r="A625" s="12" t="s">
        <v>319</v>
      </c>
      <c r="B625" s="1">
        <v>3</v>
      </c>
      <c r="C625" s="61" t="s">
        <v>311</v>
      </c>
      <c r="D625" s="72"/>
      <c r="E625" s="1"/>
      <c r="F625" s="1"/>
    </row>
    <row r="626" spans="1:7" hidden="1">
      <c r="A626" s="12" t="s">
        <v>495</v>
      </c>
      <c r="B626" s="1">
        <v>2</v>
      </c>
      <c r="C626" s="79" t="s">
        <v>448</v>
      </c>
      <c r="D626" s="72"/>
      <c r="E626" s="1"/>
      <c r="F626" s="1"/>
    </row>
    <row r="627" spans="1:7" hidden="1">
      <c r="A627" s="51" t="s">
        <v>401</v>
      </c>
      <c r="B627" s="9">
        <v>1</v>
      </c>
      <c r="C627" s="62"/>
      <c r="D627" s="88"/>
      <c r="E627" s="9"/>
      <c r="F627" s="9"/>
    </row>
    <row r="628" spans="1:7" hidden="1">
      <c r="A628" s="96" t="s">
        <v>782</v>
      </c>
      <c r="B628" s="1"/>
      <c r="C628" s="1" t="s">
        <v>360</v>
      </c>
      <c r="D628" s="72"/>
      <c r="E628" s="1"/>
      <c r="F628" s="1">
        <v>1</v>
      </c>
      <c r="G628" t="s">
        <v>739</v>
      </c>
    </row>
    <row r="629" spans="1:7" hidden="1">
      <c r="A629" s="96" t="s">
        <v>783</v>
      </c>
      <c r="B629" s="1"/>
      <c r="C629" s="1" t="s">
        <v>360</v>
      </c>
      <c r="D629" s="72"/>
      <c r="E629" s="1"/>
      <c r="F629" s="1">
        <v>2</v>
      </c>
      <c r="G629" t="s">
        <v>739</v>
      </c>
    </row>
  </sheetData>
  <autoFilter ref="A1:F629" xr:uid="{42653EC1-DD50-47D4-BD37-786391F723A3}">
    <filterColumn colId="0">
      <filters>
        <filter val="Cheque PVC doble universal presion SCH-40 1&quot;"/>
        <filter val="Universal galvanizada 1&quot;"/>
        <filter val="Universal galvanizada 1/2&quot;"/>
        <filter val="Universal galvanizada 1-1/2&quot;"/>
        <filter val="Universal galvanizada 1-1/4&quot;"/>
        <filter val="Universal galvanizada 2&quot;"/>
        <filter val="Universal galvanizada 2-1/2&quot;"/>
        <filter val="Universal inox 304 1&quot;"/>
        <filter val="Universal inox 304 1/2&quot;"/>
        <filter val="Universal inox 304 1-1/2&quot;"/>
        <filter val="Universal inox 304 1-1/4&quot;"/>
        <filter val="Universal inox 304 2&quot;"/>
        <filter val="Universal inox 304 3/4&quot;"/>
        <filter val="Valvula de bola doble Universal PVC presion SCH-40 1&quot;"/>
        <filter val="Valvula de bola doble Universal PVC presion SCH-40 1/2&quot;"/>
        <filter val="Valvula de bola doble Universal PVC presion SCH-40 1-1/2&quot;"/>
        <filter val="Valvula de bola doble Universal PVC presion SCH-40 1-1/4&quot;"/>
        <filter val="Valvula de bola doble Universal PVC presion SCH-40 2&quot;"/>
        <filter val="Valvula de bola doble Universal PVC presion SCH-40 3/4&quot;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35265-17C7-4A56-9B3C-878158F93BB1}">
  <sheetPr codeName="shInicial"/>
  <dimension ref="A1:J912"/>
  <sheetViews>
    <sheetView tabSelected="1" zoomScale="112" zoomScaleNormal="112" workbookViewId="0">
      <pane xSplit="1" ySplit="1" topLeftCell="B667" activePane="bottomRight" state="frozen"/>
      <selection pane="bottomRight" activeCell="B921" sqref="B921"/>
      <selection pane="bottomLeft" activeCell="A2" sqref="A2"/>
      <selection pane="topRight" activeCell="C1" sqref="C1"/>
    </sheetView>
  </sheetViews>
  <sheetFormatPr defaultColWidth="11.42578125" defaultRowHeight="15"/>
  <cols>
    <col min="1" max="1" width="78.140625" style="118" customWidth="1"/>
    <col min="2" max="2" width="35.7109375" style="118" customWidth="1"/>
    <col min="3" max="3" width="14.140625" style="118" customWidth="1"/>
    <col min="4" max="4" width="10.85546875" style="118" customWidth="1"/>
    <col min="5" max="5" width="11.42578125" style="118" customWidth="1"/>
    <col min="6" max="6" width="19" style="154" customWidth="1"/>
    <col min="7" max="7" width="14.28515625" style="118" customWidth="1"/>
    <col min="8" max="8" width="13.7109375" style="118" customWidth="1"/>
    <col min="9" max="9" width="27" style="118" customWidth="1"/>
    <col min="10" max="10" width="57.42578125" style="118" bestFit="1" customWidth="1"/>
    <col min="11" max="16384" width="11.42578125" style="118"/>
  </cols>
  <sheetData>
    <row r="1" spans="1:10">
      <c r="A1" s="156" t="s">
        <v>784</v>
      </c>
      <c r="B1" s="156" t="s">
        <v>785</v>
      </c>
      <c r="C1" s="156" t="s">
        <v>665</v>
      </c>
      <c r="D1" s="156" t="s">
        <v>786</v>
      </c>
      <c r="E1" s="156" t="s">
        <v>787</v>
      </c>
      <c r="F1" s="214" t="s">
        <v>9</v>
      </c>
      <c r="G1" s="156" t="s">
        <v>10</v>
      </c>
      <c r="H1" s="156" t="s">
        <v>788</v>
      </c>
      <c r="I1" s="156" t="s">
        <v>11</v>
      </c>
      <c r="J1" s="156" t="s">
        <v>789</v>
      </c>
    </row>
    <row r="2" spans="1:10" hidden="1">
      <c r="A2" s="157" t="s">
        <v>790</v>
      </c>
      <c r="B2" s="119" t="s">
        <v>13</v>
      </c>
      <c r="C2" s="119"/>
      <c r="D2" s="157">
        <v>7</v>
      </c>
      <c r="E2" s="1" t="s">
        <v>791</v>
      </c>
      <c r="F2" s="122">
        <v>4300</v>
      </c>
      <c r="G2" s="90">
        <f>+D2*F2</f>
        <v>30100</v>
      </c>
      <c r="H2" s="158">
        <v>46142</v>
      </c>
      <c r="I2" s="119" t="s">
        <v>792</v>
      </c>
      <c r="J2" s="119"/>
    </row>
    <row r="3" spans="1:10" hidden="1">
      <c r="A3" s="157" t="s">
        <v>793</v>
      </c>
      <c r="B3" s="119" t="s">
        <v>13</v>
      </c>
      <c r="C3" s="119"/>
      <c r="D3" s="157">
        <v>1</v>
      </c>
      <c r="E3" s="1" t="s">
        <v>791</v>
      </c>
      <c r="F3" s="122">
        <v>4300</v>
      </c>
      <c r="G3" s="90">
        <f>+D3*F3</f>
        <v>4300</v>
      </c>
      <c r="H3" s="158">
        <v>46142</v>
      </c>
      <c r="I3" s="119" t="s">
        <v>792</v>
      </c>
      <c r="J3" s="119"/>
    </row>
    <row r="4" spans="1:10" hidden="1">
      <c r="A4" s="157" t="s">
        <v>794</v>
      </c>
      <c r="B4" s="119" t="s">
        <v>13</v>
      </c>
      <c r="C4" s="119"/>
      <c r="D4" s="157">
        <v>1</v>
      </c>
      <c r="E4" s="1" t="s">
        <v>791</v>
      </c>
      <c r="F4" s="122">
        <v>4750</v>
      </c>
      <c r="G4" s="90">
        <f t="shared" ref="G4:G65" si="0">+D4*F4</f>
        <v>4750</v>
      </c>
      <c r="H4" s="158">
        <v>46142</v>
      </c>
      <c r="I4" s="119" t="s">
        <v>795</v>
      </c>
      <c r="J4" s="119"/>
    </row>
    <row r="5" spans="1:10" hidden="1">
      <c r="A5" s="157" t="s">
        <v>796</v>
      </c>
      <c r="B5" s="119" t="s">
        <v>13</v>
      </c>
      <c r="C5" s="119"/>
      <c r="D5" s="157">
        <v>11</v>
      </c>
      <c r="E5" s="1" t="s">
        <v>791</v>
      </c>
      <c r="F5" s="122">
        <v>1800</v>
      </c>
      <c r="G5" s="90">
        <f>+D5*F5</f>
        <v>19800</v>
      </c>
      <c r="H5" s="158">
        <v>46142</v>
      </c>
      <c r="I5" s="119" t="s">
        <v>797</v>
      </c>
      <c r="J5" s="119"/>
    </row>
    <row r="6" spans="1:10" hidden="1">
      <c r="A6" s="157" t="s">
        <v>798</v>
      </c>
      <c r="B6" s="119" t="s">
        <v>13</v>
      </c>
      <c r="C6" s="119"/>
      <c r="D6" s="157">
        <v>1</v>
      </c>
      <c r="E6" s="1" t="s">
        <v>791</v>
      </c>
      <c r="F6" s="122">
        <v>1800</v>
      </c>
      <c r="G6" s="90">
        <f>+D6*F6</f>
        <v>1800</v>
      </c>
      <c r="H6" s="158">
        <v>46142</v>
      </c>
      <c r="I6" s="119" t="s">
        <v>797</v>
      </c>
      <c r="J6" s="119"/>
    </row>
    <row r="7" spans="1:10" hidden="1">
      <c r="A7" s="157" t="s">
        <v>799</v>
      </c>
      <c r="B7" s="119" t="s">
        <v>13</v>
      </c>
      <c r="C7" s="119"/>
      <c r="D7" s="157">
        <v>2</v>
      </c>
      <c r="E7" s="1" t="s">
        <v>791</v>
      </c>
      <c r="F7" s="122">
        <v>12100</v>
      </c>
      <c r="G7" s="90">
        <f t="shared" si="0"/>
        <v>24200</v>
      </c>
      <c r="H7" s="158">
        <v>46142</v>
      </c>
      <c r="I7" s="119" t="s">
        <v>800</v>
      </c>
      <c r="J7" s="119"/>
    </row>
    <row r="8" spans="1:10" hidden="1">
      <c r="A8" s="157" t="s">
        <v>801</v>
      </c>
      <c r="B8" s="119" t="s">
        <v>13</v>
      </c>
      <c r="C8" s="119"/>
      <c r="D8" s="157">
        <v>17</v>
      </c>
      <c r="E8" s="1" t="s">
        <v>791</v>
      </c>
      <c r="F8" s="122">
        <v>2380</v>
      </c>
      <c r="G8" s="90">
        <f t="shared" si="0"/>
        <v>40460</v>
      </c>
      <c r="H8" s="158">
        <v>46142</v>
      </c>
      <c r="I8" s="119" t="s">
        <v>802</v>
      </c>
      <c r="J8" s="119"/>
    </row>
    <row r="9" spans="1:10" hidden="1">
      <c r="A9" s="157" t="s">
        <v>803</v>
      </c>
      <c r="B9" s="119" t="s">
        <v>13</v>
      </c>
      <c r="C9" s="119"/>
      <c r="D9" s="157">
        <v>1</v>
      </c>
      <c r="E9" s="1" t="s">
        <v>791</v>
      </c>
      <c r="F9" s="122">
        <f>3800*0.9</f>
        <v>3420</v>
      </c>
      <c r="G9" s="90">
        <f t="shared" si="0"/>
        <v>3420</v>
      </c>
      <c r="H9" s="158">
        <v>46142</v>
      </c>
      <c r="I9" s="119" t="s">
        <v>804</v>
      </c>
      <c r="J9" s="119"/>
    </row>
    <row r="10" spans="1:10" hidden="1">
      <c r="A10" s="157" t="s">
        <v>805</v>
      </c>
      <c r="B10" s="119" t="s">
        <v>13</v>
      </c>
      <c r="C10" s="119"/>
      <c r="D10" s="157">
        <v>6</v>
      </c>
      <c r="E10" s="1" t="s">
        <v>791</v>
      </c>
      <c r="F10" s="122">
        <v>4300</v>
      </c>
      <c r="G10" s="90">
        <f t="shared" si="0"/>
        <v>25800</v>
      </c>
      <c r="H10" s="158">
        <v>46142</v>
      </c>
      <c r="I10" s="119" t="s">
        <v>792</v>
      </c>
      <c r="J10" s="119"/>
    </row>
    <row r="11" spans="1:10" hidden="1">
      <c r="A11" s="157" t="s">
        <v>806</v>
      </c>
      <c r="B11" s="119" t="s">
        <v>13</v>
      </c>
      <c r="C11" s="119"/>
      <c r="D11" s="157">
        <v>1</v>
      </c>
      <c r="E11" s="1" t="s">
        <v>791</v>
      </c>
      <c r="F11" s="122">
        <f>3800*0.9</f>
        <v>3420</v>
      </c>
      <c r="G11" s="90">
        <f t="shared" si="0"/>
        <v>3420</v>
      </c>
      <c r="H11" s="158">
        <v>46142</v>
      </c>
      <c r="I11" s="119" t="s">
        <v>804</v>
      </c>
      <c r="J11" s="119"/>
    </row>
    <row r="12" spans="1:10" hidden="1">
      <c r="A12" s="157" t="s">
        <v>807</v>
      </c>
      <c r="B12" s="119" t="s">
        <v>13</v>
      </c>
      <c r="C12" s="119"/>
      <c r="D12" s="157">
        <v>1</v>
      </c>
      <c r="E12" s="1" t="s">
        <v>791</v>
      </c>
      <c r="F12" s="122">
        <v>3420</v>
      </c>
      <c r="G12" s="90">
        <f>+D12*F12</f>
        <v>3420</v>
      </c>
      <c r="H12" s="158">
        <v>46142</v>
      </c>
      <c r="I12" s="119" t="s">
        <v>804</v>
      </c>
      <c r="J12" s="119"/>
    </row>
    <row r="13" spans="1:10" hidden="1">
      <c r="A13" s="157" t="s">
        <v>808</v>
      </c>
      <c r="B13" s="119" t="s">
        <v>13</v>
      </c>
      <c r="C13" s="119"/>
      <c r="D13" s="157">
        <v>24</v>
      </c>
      <c r="E13" s="1" t="s">
        <v>791</v>
      </c>
      <c r="F13" s="122">
        <f>2050*0.85</f>
        <v>1742.5</v>
      </c>
      <c r="G13" s="90">
        <f t="shared" si="0"/>
        <v>41820</v>
      </c>
      <c r="H13" s="158">
        <v>46142</v>
      </c>
      <c r="I13" s="119" t="s">
        <v>809</v>
      </c>
      <c r="J13" s="119"/>
    </row>
    <row r="14" spans="1:10" hidden="1">
      <c r="A14" s="157" t="s">
        <v>810</v>
      </c>
      <c r="B14" s="119" t="s">
        <v>13</v>
      </c>
      <c r="C14" s="119"/>
      <c r="D14" s="157">
        <v>2</v>
      </c>
      <c r="E14" s="1" t="s">
        <v>791</v>
      </c>
      <c r="F14" s="122">
        <v>4300</v>
      </c>
      <c r="G14" s="90">
        <f>+D14*F14</f>
        <v>8600</v>
      </c>
      <c r="H14" s="158">
        <v>46142</v>
      </c>
      <c r="I14" s="119" t="s">
        <v>792</v>
      </c>
      <c r="J14" s="119"/>
    </row>
    <row r="15" spans="1:10" hidden="1">
      <c r="A15" s="157" t="s">
        <v>811</v>
      </c>
      <c r="B15" s="119" t="s">
        <v>13</v>
      </c>
      <c r="C15" s="119"/>
      <c r="D15" s="157">
        <v>4</v>
      </c>
      <c r="E15" s="1" t="s">
        <v>791</v>
      </c>
      <c r="F15" s="122">
        <v>1800</v>
      </c>
      <c r="G15" s="90">
        <f t="shared" si="0"/>
        <v>7200</v>
      </c>
      <c r="H15" s="158">
        <v>46142</v>
      </c>
      <c r="I15" s="119" t="s">
        <v>797</v>
      </c>
      <c r="J15" s="119"/>
    </row>
    <row r="16" spans="1:10" hidden="1">
      <c r="A16" s="157" t="s">
        <v>812</v>
      </c>
      <c r="B16" s="119" t="s">
        <v>13</v>
      </c>
      <c r="C16" s="119"/>
      <c r="D16" s="157">
        <v>5</v>
      </c>
      <c r="E16" s="1" t="s">
        <v>791</v>
      </c>
      <c r="F16" s="122">
        <v>1800</v>
      </c>
      <c r="G16" s="90">
        <f t="shared" si="0"/>
        <v>9000</v>
      </c>
      <c r="H16" s="158">
        <v>46142</v>
      </c>
      <c r="I16" s="119" t="s">
        <v>797</v>
      </c>
      <c r="J16" s="119"/>
    </row>
    <row r="17" spans="1:10" hidden="1">
      <c r="A17" s="157" t="s">
        <v>813</v>
      </c>
      <c r="B17" s="119" t="s">
        <v>13</v>
      </c>
      <c r="C17" s="119"/>
      <c r="D17" s="157">
        <v>3</v>
      </c>
      <c r="E17" s="1" t="s">
        <v>791</v>
      </c>
      <c r="F17" s="122">
        <f>2550*0.85</f>
        <v>2167.5</v>
      </c>
      <c r="G17" s="90">
        <f t="shared" si="0"/>
        <v>6502.5</v>
      </c>
      <c r="H17" s="158">
        <v>46142</v>
      </c>
      <c r="I17" s="119" t="s">
        <v>814</v>
      </c>
      <c r="J17" s="119"/>
    </row>
    <row r="18" spans="1:10" hidden="1">
      <c r="A18" s="157" t="s">
        <v>815</v>
      </c>
      <c r="B18" s="119" t="s">
        <v>13</v>
      </c>
      <c r="C18" s="119"/>
      <c r="D18" s="157">
        <v>2</v>
      </c>
      <c r="E18" s="1" t="s">
        <v>791</v>
      </c>
      <c r="F18" s="122">
        <v>2167</v>
      </c>
      <c r="G18" s="90">
        <f t="shared" si="0"/>
        <v>4334</v>
      </c>
      <c r="H18" s="158">
        <v>46142</v>
      </c>
      <c r="I18" s="119" t="s">
        <v>814</v>
      </c>
      <c r="J18" s="119"/>
    </row>
    <row r="19" spans="1:10" hidden="1">
      <c r="A19" s="157" t="s">
        <v>816</v>
      </c>
      <c r="B19" s="119" t="s">
        <v>13</v>
      </c>
      <c r="C19" s="119"/>
      <c r="D19" s="157">
        <v>11</v>
      </c>
      <c r="E19" s="1" t="s">
        <v>791</v>
      </c>
      <c r="F19" s="122">
        <v>11600</v>
      </c>
      <c r="G19" s="90">
        <f t="shared" si="0"/>
        <v>127600</v>
      </c>
      <c r="H19" s="158">
        <v>46142</v>
      </c>
      <c r="I19" s="119" t="s">
        <v>817</v>
      </c>
      <c r="J19" s="119"/>
    </row>
    <row r="20" spans="1:10" hidden="1">
      <c r="A20" s="157" t="s">
        <v>818</v>
      </c>
      <c r="B20" s="119" t="s">
        <v>13</v>
      </c>
      <c r="C20" s="119" t="s">
        <v>819</v>
      </c>
      <c r="D20" s="157">
        <v>1</v>
      </c>
      <c r="E20" s="1" t="s">
        <v>791</v>
      </c>
      <c r="F20" s="122">
        <f>8500*0.8</f>
        <v>6800</v>
      </c>
      <c r="G20" s="90">
        <f t="shared" si="0"/>
        <v>6800</v>
      </c>
      <c r="H20" s="158">
        <v>46134</v>
      </c>
      <c r="I20" s="119" t="s">
        <v>820</v>
      </c>
      <c r="J20" s="119"/>
    </row>
    <row r="21" spans="1:10" hidden="1">
      <c r="A21" s="157" t="s">
        <v>821</v>
      </c>
      <c r="B21" s="119" t="s">
        <v>13</v>
      </c>
      <c r="C21" s="119" t="s">
        <v>819</v>
      </c>
      <c r="D21" s="157">
        <v>6</v>
      </c>
      <c r="E21" s="1" t="s">
        <v>791</v>
      </c>
      <c r="F21" s="122">
        <f>4680*0.8</f>
        <v>3744</v>
      </c>
      <c r="G21" s="90">
        <f t="shared" si="0"/>
        <v>22464</v>
      </c>
      <c r="H21" s="158">
        <v>46134</v>
      </c>
      <c r="I21" s="119" t="s">
        <v>822</v>
      </c>
      <c r="J21" s="119"/>
    </row>
    <row r="22" spans="1:10" customFormat="1" hidden="1">
      <c r="A22" s="96" t="s">
        <v>823</v>
      </c>
      <c r="B22" s="1" t="s">
        <v>123</v>
      </c>
      <c r="C22" s="1"/>
      <c r="D22" s="96">
        <v>2</v>
      </c>
      <c r="E22" s="1" t="s">
        <v>791</v>
      </c>
      <c r="F22" s="117">
        <f>30100*0.8</f>
        <v>24080</v>
      </c>
      <c r="G22" s="90">
        <f t="shared" si="0"/>
        <v>48160</v>
      </c>
      <c r="H22" s="125">
        <v>46162</v>
      </c>
      <c r="I22" s="1" t="s">
        <v>824</v>
      </c>
      <c r="J22" s="1"/>
    </row>
    <row r="23" spans="1:10" customFormat="1" hidden="1">
      <c r="A23" s="120" t="s">
        <v>825</v>
      </c>
      <c r="B23" s="1" t="s">
        <v>123</v>
      </c>
      <c r="C23" s="1"/>
      <c r="D23" s="96">
        <v>2</v>
      </c>
      <c r="E23" s="1" t="s">
        <v>791</v>
      </c>
      <c r="F23" s="117">
        <f>58750*0.8</f>
        <v>47000</v>
      </c>
      <c r="G23" s="90">
        <f t="shared" si="0"/>
        <v>94000</v>
      </c>
      <c r="H23" s="125">
        <v>46162</v>
      </c>
      <c r="I23" s="1" t="s">
        <v>826</v>
      </c>
      <c r="J23" s="1"/>
    </row>
    <row r="24" spans="1:10" customFormat="1" hidden="1">
      <c r="A24" s="120" t="s">
        <v>827</v>
      </c>
      <c r="B24" s="1" t="s">
        <v>123</v>
      </c>
      <c r="C24" s="1"/>
      <c r="D24" s="96">
        <v>1</v>
      </c>
      <c r="E24" s="1" t="s">
        <v>791</v>
      </c>
      <c r="F24" s="117">
        <f>113500*0.8</f>
        <v>90800</v>
      </c>
      <c r="G24" s="90">
        <f t="shared" si="0"/>
        <v>90800</v>
      </c>
      <c r="H24" s="125">
        <v>46162</v>
      </c>
      <c r="I24" s="1" t="s">
        <v>828</v>
      </c>
      <c r="J24" s="1"/>
    </row>
    <row r="25" spans="1:10" customFormat="1" hidden="1">
      <c r="A25" s="120" t="s">
        <v>829</v>
      </c>
      <c r="B25" s="1" t="s">
        <v>830</v>
      </c>
      <c r="C25" s="1" t="s">
        <v>831</v>
      </c>
      <c r="D25" s="96">
        <v>6</v>
      </c>
      <c r="E25" s="1" t="s">
        <v>791</v>
      </c>
      <c r="F25" s="117">
        <v>4872</v>
      </c>
      <c r="G25" s="90">
        <f t="shared" si="0"/>
        <v>29232</v>
      </c>
      <c r="H25" s="125">
        <v>46162</v>
      </c>
      <c r="I25" s="1" t="s">
        <v>832</v>
      </c>
      <c r="J25" s="1"/>
    </row>
    <row r="26" spans="1:10" customFormat="1" hidden="1">
      <c r="A26" s="120" t="s">
        <v>833</v>
      </c>
      <c r="B26" s="1" t="s">
        <v>830</v>
      </c>
      <c r="C26" s="1" t="s">
        <v>831</v>
      </c>
      <c r="D26" s="96">
        <v>3</v>
      </c>
      <c r="E26" s="1" t="s">
        <v>791</v>
      </c>
      <c r="F26" s="117">
        <f>4500*0.8</f>
        <v>3600</v>
      </c>
      <c r="G26" s="90">
        <f t="shared" si="0"/>
        <v>10800</v>
      </c>
      <c r="H26" s="125">
        <v>46162</v>
      </c>
      <c r="I26" s="1" t="s">
        <v>834</v>
      </c>
      <c r="J26" s="1"/>
    </row>
    <row r="27" spans="1:10" customFormat="1" hidden="1">
      <c r="A27" s="120" t="s">
        <v>835</v>
      </c>
      <c r="B27" s="1" t="s">
        <v>830</v>
      </c>
      <c r="C27" s="1" t="s">
        <v>831</v>
      </c>
      <c r="D27" s="96">
        <v>3</v>
      </c>
      <c r="E27" s="1" t="s">
        <v>791</v>
      </c>
      <c r="F27" s="117">
        <f>6500*0.8</f>
        <v>5200</v>
      </c>
      <c r="G27" s="90">
        <f t="shared" si="0"/>
        <v>15600</v>
      </c>
      <c r="H27" s="125">
        <v>46162</v>
      </c>
      <c r="I27" s="1" t="s">
        <v>834</v>
      </c>
      <c r="J27" s="1"/>
    </row>
    <row r="28" spans="1:10" customFormat="1" hidden="1">
      <c r="A28" s="120" t="s">
        <v>836</v>
      </c>
      <c r="B28" s="1" t="s">
        <v>123</v>
      </c>
      <c r="C28" s="1"/>
      <c r="D28" s="96">
        <v>1</v>
      </c>
      <c r="E28" s="1" t="s">
        <v>791</v>
      </c>
      <c r="F28" s="117">
        <f>59500*0.8</f>
        <v>47600</v>
      </c>
      <c r="G28" s="90">
        <f t="shared" si="0"/>
        <v>47600</v>
      </c>
      <c r="H28" s="125">
        <v>46162</v>
      </c>
      <c r="I28" s="1" t="s">
        <v>837</v>
      </c>
      <c r="J28" s="1"/>
    </row>
    <row r="29" spans="1:10" customFormat="1" hidden="1">
      <c r="A29" s="120" t="s">
        <v>838</v>
      </c>
      <c r="B29" s="1" t="s">
        <v>123</v>
      </c>
      <c r="C29" s="1"/>
      <c r="D29" s="96">
        <v>2</v>
      </c>
      <c r="E29" s="1" t="s">
        <v>791</v>
      </c>
      <c r="F29" s="117">
        <f>144937*0.8</f>
        <v>115949.6</v>
      </c>
      <c r="G29" s="90">
        <f t="shared" si="0"/>
        <v>231899.2</v>
      </c>
      <c r="H29" s="125">
        <v>46162</v>
      </c>
      <c r="I29" s="1" t="s">
        <v>14</v>
      </c>
      <c r="J29" s="1"/>
    </row>
    <row r="30" spans="1:10" customFormat="1" hidden="1">
      <c r="A30" s="120" t="s">
        <v>839</v>
      </c>
      <c r="B30" s="1" t="s">
        <v>830</v>
      </c>
      <c r="C30" s="1" t="s">
        <v>831</v>
      </c>
      <c r="D30" s="96">
        <v>16</v>
      </c>
      <c r="E30" s="1" t="s">
        <v>791</v>
      </c>
      <c r="F30" s="117">
        <f>18190*0.8</f>
        <v>14552</v>
      </c>
      <c r="G30" s="90">
        <f t="shared" si="0"/>
        <v>232832</v>
      </c>
      <c r="H30" s="125">
        <v>46162</v>
      </c>
      <c r="I30" s="1" t="s">
        <v>840</v>
      </c>
      <c r="J30" s="1"/>
    </row>
    <row r="31" spans="1:10" customFormat="1" hidden="1">
      <c r="A31" s="120" t="s">
        <v>841</v>
      </c>
      <c r="B31" s="1" t="s">
        <v>830</v>
      </c>
      <c r="C31" s="1" t="s">
        <v>831</v>
      </c>
      <c r="D31" s="96">
        <v>2</v>
      </c>
      <c r="E31" s="1" t="s">
        <v>791</v>
      </c>
      <c r="F31" s="117">
        <f>28500*0.8</f>
        <v>22800</v>
      </c>
      <c r="G31" s="90">
        <f t="shared" si="0"/>
        <v>45600</v>
      </c>
      <c r="H31" s="125">
        <v>46162</v>
      </c>
      <c r="I31" s="1" t="s">
        <v>842</v>
      </c>
      <c r="J31" s="1"/>
    </row>
    <row r="32" spans="1:10" customFormat="1" hidden="1">
      <c r="A32" s="120" t="s">
        <v>843</v>
      </c>
      <c r="B32" s="1" t="s">
        <v>830</v>
      </c>
      <c r="C32" s="1" t="s">
        <v>831</v>
      </c>
      <c r="D32" s="96">
        <v>2</v>
      </c>
      <c r="E32" s="1" t="s">
        <v>791</v>
      </c>
      <c r="F32" s="117">
        <f>24750*0.8</f>
        <v>19800</v>
      </c>
      <c r="G32" s="90">
        <f t="shared" si="0"/>
        <v>39600</v>
      </c>
      <c r="H32" s="125">
        <v>46162</v>
      </c>
      <c r="I32" s="119" t="s">
        <v>820</v>
      </c>
      <c r="J32" s="1"/>
    </row>
    <row r="33" spans="1:10" customFormat="1" hidden="1">
      <c r="A33" s="120" t="s">
        <v>844</v>
      </c>
      <c r="B33" s="1" t="s">
        <v>830</v>
      </c>
      <c r="C33" s="1" t="s">
        <v>831</v>
      </c>
      <c r="D33" s="96">
        <v>16</v>
      </c>
      <c r="E33" s="1" t="s">
        <v>791</v>
      </c>
      <c r="F33" s="117">
        <f>25100*0.8</f>
        <v>20080</v>
      </c>
      <c r="G33" s="90">
        <f t="shared" si="0"/>
        <v>321280</v>
      </c>
      <c r="H33" s="125">
        <v>46162</v>
      </c>
      <c r="I33" s="1" t="s">
        <v>845</v>
      </c>
      <c r="J33" s="1"/>
    </row>
    <row r="34" spans="1:10" customFormat="1" hidden="1">
      <c r="A34" s="120" t="s">
        <v>846</v>
      </c>
      <c r="B34" s="1" t="s">
        <v>123</v>
      </c>
      <c r="C34" s="1"/>
      <c r="D34" s="96">
        <v>1</v>
      </c>
      <c r="E34" s="1" t="s">
        <v>791</v>
      </c>
      <c r="F34" s="117">
        <f>190000*0.8</f>
        <v>152000</v>
      </c>
      <c r="G34" s="90">
        <f t="shared" si="0"/>
        <v>152000</v>
      </c>
      <c r="H34" s="125">
        <v>46162</v>
      </c>
      <c r="I34" s="119" t="s">
        <v>820</v>
      </c>
      <c r="J34" s="1"/>
    </row>
    <row r="35" spans="1:10" customFormat="1" hidden="1">
      <c r="A35" s="120" t="s">
        <v>847</v>
      </c>
      <c r="B35" s="1" t="s">
        <v>830</v>
      </c>
      <c r="C35" s="1" t="s">
        <v>831</v>
      </c>
      <c r="D35" s="96">
        <v>6</v>
      </c>
      <c r="E35" s="1" t="s">
        <v>791</v>
      </c>
      <c r="F35" s="117">
        <f>4500*0.8</f>
        <v>3600</v>
      </c>
      <c r="G35" s="90">
        <f t="shared" si="0"/>
        <v>21600</v>
      </c>
      <c r="H35" s="125">
        <v>46162</v>
      </c>
      <c r="I35" s="1" t="s">
        <v>822</v>
      </c>
      <c r="J35" s="1"/>
    </row>
    <row r="36" spans="1:10" customFormat="1" hidden="1">
      <c r="A36" s="120" t="s">
        <v>848</v>
      </c>
      <c r="B36" s="1" t="s">
        <v>830</v>
      </c>
      <c r="C36" s="1" t="s">
        <v>831</v>
      </c>
      <c r="D36" s="96">
        <v>1</v>
      </c>
      <c r="E36" s="1" t="s">
        <v>791</v>
      </c>
      <c r="F36" s="117">
        <f>18100*0.8</f>
        <v>14480</v>
      </c>
      <c r="G36" s="90">
        <f t="shared" si="0"/>
        <v>14480</v>
      </c>
      <c r="H36" s="125">
        <v>46162</v>
      </c>
      <c r="I36" s="1" t="s">
        <v>842</v>
      </c>
      <c r="J36" s="1"/>
    </row>
    <row r="37" spans="1:10" customFormat="1" hidden="1">
      <c r="A37" s="120" t="s">
        <v>849</v>
      </c>
      <c r="B37" s="1" t="s">
        <v>123</v>
      </c>
      <c r="C37" s="1"/>
      <c r="D37" s="96">
        <v>1</v>
      </c>
      <c r="E37" s="1" t="s">
        <v>791</v>
      </c>
      <c r="F37" s="117">
        <f>25000*0.8</f>
        <v>20000</v>
      </c>
      <c r="G37" s="90">
        <f t="shared" si="0"/>
        <v>20000</v>
      </c>
      <c r="H37" s="125">
        <v>46162</v>
      </c>
      <c r="I37" s="119" t="s">
        <v>820</v>
      </c>
      <c r="J37" s="1"/>
    </row>
    <row r="38" spans="1:10" customFormat="1" hidden="1">
      <c r="A38" s="120" t="s">
        <v>850</v>
      </c>
      <c r="B38" s="1" t="s">
        <v>123</v>
      </c>
      <c r="C38" s="119"/>
      <c r="D38" s="157">
        <v>3</v>
      </c>
      <c r="E38" s="1" t="s">
        <v>791</v>
      </c>
      <c r="F38" s="122">
        <f>62875*0.8</f>
        <v>50300</v>
      </c>
      <c r="G38" s="90">
        <f t="shared" si="0"/>
        <v>150900</v>
      </c>
      <c r="H38" s="125">
        <v>46162</v>
      </c>
      <c r="I38" s="119" t="s">
        <v>851</v>
      </c>
      <c r="J38" s="1"/>
    </row>
    <row r="39" spans="1:10" customFormat="1" hidden="1">
      <c r="A39" s="120" t="s">
        <v>852</v>
      </c>
      <c r="B39" s="1" t="s">
        <v>123</v>
      </c>
      <c r="C39" s="1"/>
      <c r="D39" s="96">
        <v>2</v>
      </c>
      <c r="E39" s="1" t="s">
        <v>791</v>
      </c>
      <c r="F39" s="115">
        <f>131250*0.8</f>
        <v>105000</v>
      </c>
      <c r="G39" s="90">
        <f t="shared" si="0"/>
        <v>210000</v>
      </c>
      <c r="H39" s="125">
        <v>46162</v>
      </c>
      <c r="I39" s="1" t="s">
        <v>853</v>
      </c>
      <c r="J39" s="1"/>
    </row>
    <row r="40" spans="1:10" hidden="1">
      <c r="A40" s="120" t="s">
        <v>854</v>
      </c>
      <c r="B40" s="119" t="s">
        <v>13</v>
      </c>
      <c r="C40" s="119"/>
      <c r="D40" s="157">
        <v>1</v>
      </c>
      <c r="E40" s="1" t="s">
        <v>791</v>
      </c>
      <c r="F40" s="122">
        <f>28250*0.8</f>
        <v>22600</v>
      </c>
      <c r="G40" s="90">
        <f t="shared" si="0"/>
        <v>22600</v>
      </c>
      <c r="H40" s="158">
        <v>46162</v>
      </c>
      <c r="I40" s="119" t="s">
        <v>820</v>
      </c>
      <c r="J40" s="119"/>
    </row>
    <row r="41" spans="1:10" customFormat="1" hidden="1">
      <c r="A41" s="120" t="s">
        <v>855</v>
      </c>
      <c r="B41" s="1" t="s">
        <v>830</v>
      </c>
      <c r="C41" s="1" t="s">
        <v>831</v>
      </c>
      <c r="D41" s="96">
        <v>9</v>
      </c>
      <c r="E41" s="1" t="s">
        <v>791</v>
      </c>
      <c r="F41" s="117">
        <f>5500*0.8</f>
        <v>4400</v>
      </c>
      <c r="G41" s="90">
        <f t="shared" si="0"/>
        <v>39600</v>
      </c>
      <c r="H41" s="125">
        <v>46162</v>
      </c>
      <c r="I41" s="1" t="s">
        <v>856</v>
      </c>
      <c r="J41" s="1"/>
    </row>
    <row r="42" spans="1:10" customFormat="1" hidden="1">
      <c r="A42" s="120" t="s">
        <v>857</v>
      </c>
      <c r="B42" s="1" t="s">
        <v>830</v>
      </c>
      <c r="C42" s="1" t="s">
        <v>831</v>
      </c>
      <c r="D42" s="96">
        <v>1</v>
      </c>
      <c r="E42" s="1" t="s">
        <v>791</v>
      </c>
      <c r="F42" s="117">
        <f>6500*0.8</f>
        <v>5200</v>
      </c>
      <c r="G42" s="90">
        <f t="shared" si="0"/>
        <v>5200</v>
      </c>
      <c r="H42" s="125">
        <v>46162</v>
      </c>
      <c r="I42" s="1" t="s">
        <v>842</v>
      </c>
      <c r="J42" s="1"/>
    </row>
    <row r="43" spans="1:10" customFormat="1" hidden="1">
      <c r="A43" s="120" t="s">
        <v>858</v>
      </c>
      <c r="B43" s="1" t="s">
        <v>830</v>
      </c>
      <c r="C43" s="1" t="s">
        <v>831</v>
      </c>
      <c r="D43" s="96">
        <v>10</v>
      </c>
      <c r="E43" s="1" t="s">
        <v>791</v>
      </c>
      <c r="F43" s="117">
        <f>4000*0.8</f>
        <v>3200</v>
      </c>
      <c r="G43" s="90">
        <f t="shared" si="0"/>
        <v>32000</v>
      </c>
      <c r="H43" s="125">
        <v>46162</v>
      </c>
      <c r="I43" s="119" t="s">
        <v>820</v>
      </c>
      <c r="J43" s="1"/>
    </row>
    <row r="44" spans="1:10" customFormat="1" hidden="1">
      <c r="A44" s="1" t="s">
        <v>859</v>
      </c>
      <c r="B44" s="1" t="s">
        <v>172</v>
      </c>
      <c r="C44" s="1" t="s">
        <v>860</v>
      </c>
      <c r="D44" s="1">
        <v>2</v>
      </c>
      <c r="E44" s="1" t="s">
        <v>791</v>
      </c>
      <c r="F44" s="138"/>
      <c r="G44" s="111">
        <f t="shared" si="0"/>
        <v>0</v>
      </c>
      <c r="H44" s="125">
        <v>46148</v>
      </c>
      <c r="I44" s="1"/>
      <c r="J44" s="1" t="s">
        <v>861</v>
      </c>
    </row>
    <row r="45" spans="1:10" customFormat="1" hidden="1">
      <c r="A45" s="96" t="s">
        <v>862</v>
      </c>
      <c r="B45" s="1" t="s">
        <v>172</v>
      </c>
      <c r="C45" s="1" t="s">
        <v>860</v>
      </c>
      <c r="D45" s="96">
        <v>2</v>
      </c>
      <c r="E45" s="1" t="s">
        <v>791</v>
      </c>
      <c r="F45" s="115">
        <v>37032</v>
      </c>
      <c r="G45" s="90">
        <f t="shared" si="0"/>
        <v>74064</v>
      </c>
      <c r="H45" s="125">
        <v>46148</v>
      </c>
      <c r="I45" s="1" t="s">
        <v>863</v>
      </c>
      <c r="J45" s="1"/>
    </row>
    <row r="46" spans="1:10" customFormat="1" hidden="1">
      <c r="A46" s="96" t="s">
        <v>864</v>
      </c>
      <c r="B46" s="1" t="s">
        <v>830</v>
      </c>
      <c r="C46" s="1" t="s">
        <v>831</v>
      </c>
      <c r="D46" s="96">
        <v>76</v>
      </c>
      <c r="E46" s="1" t="s">
        <v>791</v>
      </c>
      <c r="F46" s="115">
        <f>23540*0.8</f>
        <v>18832</v>
      </c>
      <c r="G46" s="90">
        <f t="shared" si="0"/>
        <v>1431232</v>
      </c>
      <c r="H46" s="125">
        <v>46146</v>
      </c>
      <c r="I46" s="1" t="s">
        <v>865</v>
      </c>
      <c r="J46" s="1"/>
    </row>
    <row r="47" spans="1:10" customFormat="1" hidden="1">
      <c r="A47" s="96" t="s">
        <v>866</v>
      </c>
      <c r="B47" s="1" t="s">
        <v>830</v>
      </c>
      <c r="C47" s="1" t="s">
        <v>831</v>
      </c>
      <c r="D47" s="96">
        <v>8</v>
      </c>
      <c r="E47" s="1" t="s">
        <v>791</v>
      </c>
      <c r="F47" s="117">
        <f>2770*0.8</f>
        <v>2216</v>
      </c>
      <c r="G47" s="90">
        <f t="shared" si="0"/>
        <v>17728</v>
      </c>
      <c r="H47" s="125">
        <v>46146</v>
      </c>
      <c r="I47" s="119" t="s">
        <v>820</v>
      </c>
      <c r="J47" s="1"/>
    </row>
    <row r="48" spans="1:10" customFormat="1" hidden="1">
      <c r="A48" s="96" t="s">
        <v>867</v>
      </c>
      <c r="B48" s="1" t="s">
        <v>830</v>
      </c>
      <c r="C48" s="1" t="s">
        <v>831</v>
      </c>
      <c r="D48" s="96">
        <v>25</v>
      </c>
      <c r="E48" s="1" t="s">
        <v>791</v>
      </c>
      <c r="F48" s="115">
        <f>54070*0.8</f>
        <v>43256</v>
      </c>
      <c r="G48" s="90">
        <f t="shared" si="0"/>
        <v>1081400</v>
      </c>
      <c r="H48" s="125">
        <v>46146</v>
      </c>
      <c r="I48" s="1" t="s">
        <v>868</v>
      </c>
      <c r="J48" s="1"/>
    </row>
    <row r="49" spans="1:10" customFormat="1" hidden="1">
      <c r="A49" s="96" t="s">
        <v>869</v>
      </c>
      <c r="B49" s="1" t="s">
        <v>830</v>
      </c>
      <c r="C49" s="1" t="s">
        <v>831</v>
      </c>
      <c r="D49" s="96">
        <v>3</v>
      </c>
      <c r="E49" s="1" t="s">
        <v>791</v>
      </c>
      <c r="F49" s="117">
        <v>18832</v>
      </c>
      <c r="G49" s="90">
        <f t="shared" si="0"/>
        <v>56496</v>
      </c>
      <c r="H49" s="125">
        <v>46146</v>
      </c>
      <c r="I49" s="1" t="s">
        <v>870</v>
      </c>
      <c r="J49" s="1"/>
    </row>
    <row r="50" spans="1:10" customFormat="1" hidden="1">
      <c r="A50" s="96" t="s">
        <v>871</v>
      </c>
      <c r="B50" s="1" t="s">
        <v>830</v>
      </c>
      <c r="C50" s="1" t="s">
        <v>831</v>
      </c>
      <c r="D50" s="96">
        <v>4</v>
      </c>
      <c r="E50" s="1" t="s">
        <v>791</v>
      </c>
      <c r="F50" s="117">
        <v>43256</v>
      </c>
      <c r="G50" s="90">
        <f t="shared" si="0"/>
        <v>173024</v>
      </c>
      <c r="H50" s="125">
        <v>46146</v>
      </c>
      <c r="I50" s="1" t="s">
        <v>870</v>
      </c>
      <c r="J50" s="1"/>
    </row>
    <row r="51" spans="1:10" customFormat="1" hidden="1">
      <c r="A51" s="96" t="s">
        <v>872</v>
      </c>
      <c r="B51" s="1" t="s">
        <v>32</v>
      </c>
      <c r="C51" s="1" t="s">
        <v>860</v>
      </c>
      <c r="D51" s="96">
        <v>55</v>
      </c>
      <c r="E51" s="1" t="s">
        <v>791</v>
      </c>
      <c r="F51" s="115">
        <f>2489*0.48</f>
        <v>1194.72</v>
      </c>
      <c r="G51" s="90">
        <f t="shared" si="0"/>
        <v>65709.600000000006</v>
      </c>
      <c r="H51" s="125">
        <v>46133</v>
      </c>
      <c r="I51" s="1" t="s">
        <v>873</v>
      </c>
      <c r="J51" s="1"/>
    </row>
    <row r="52" spans="1:10" customFormat="1" hidden="1">
      <c r="A52" s="96" t="s">
        <v>874</v>
      </c>
      <c r="B52" s="1" t="s">
        <v>32</v>
      </c>
      <c r="C52" s="1" t="s">
        <v>860</v>
      </c>
      <c r="D52" s="96">
        <v>58</v>
      </c>
      <c r="E52" s="1" t="s">
        <v>791</v>
      </c>
      <c r="F52" s="115">
        <f>621*0.48</f>
        <v>298.08</v>
      </c>
      <c r="G52" s="90">
        <f t="shared" si="0"/>
        <v>17288.64</v>
      </c>
      <c r="H52" s="125">
        <v>46133</v>
      </c>
      <c r="I52" s="1" t="s">
        <v>875</v>
      </c>
      <c r="J52" s="1"/>
    </row>
    <row r="53" spans="1:10" customFormat="1" hidden="1">
      <c r="A53" s="96" t="s">
        <v>876</v>
      </c>
      <c r="B53" s="1" t="s">
        <v>32</v>
      </c>
      <c r="C53" s="1" t="s">
        <v>860</v>
      </c>
      <c r="D53" s="96">
        <v>24</v>
      </c>
      <c r="E53" s="1" t="s">
        <v>791</v>
      </c>
      <c r="F53" s="115">
        <f>6881*0.48</f>
        <v>3302.8799999999997</v>
      </c>
      <c r="G53" s="90">
        <f t="shared" si="0"/>
        <v>79269.119999999995</v>
      </c>
      <c r="H53" s="125">
        <v>46133</v>
      </c>
      <c r="I53" s="1" t="s">
        <v>877</v>
      </c>
      <c r="J53" s="1"/>
    </row>
    <row r="54" spans="1:10" customFormat="1" hidden="1">
      <c r="A54" s="96" t="s">
        <v>878</v>
      </c>
      <c r="B54" s="1" t="s">
        <v>32</v>
      </c>
      <c r="C54" s="1" t="s">
        <v>860</v>
      </c>
      <c r="D54" s="96">
        <v>21</v>
      </c>
      <c r="E54" s="1" t="s">
        <v>791</v>
      </c>
      <c r="F54" s="115">
        <f>4069*0.48</f>
        <v>1953.12</v>
      </c>
      <c r="G54" s="90">
        <f t="shared" si="0"/>
        <v>41015.519999999997</v>
      </c>
      <c r="H54" s="125">
        <v>46133</v>
      </c>
      <c r="I54" s="1" t="s">
        <v>873</v>
      </c>
      <c r="J54" s="1" t="s">
        <v>759</v>
      </c>
    </row>
    <row r="55" spans="1:10" customFormat="1" hidden="1">
      <c r="A55" s="96" t="s">
        <v>879</v>
      </c>
      <c r="B55" s="1" t="s">
        <v>32</v>
      </c>
      <c r="C55" s="1" t="s">
        <v>860</v>
      </c>
      <c r="D55" s="96">
        <v>1</v>
      </c>
      <c r="E55" s="1" t="s">
        <v>791</v>
      </c>
      <c r="F55" s="115">
        <f>12250*0.48</f>
        <v>5880</v>
      </c>
      <c r="G55" s="90">
        <f t="shared" si="0"/>
        <v>5880</v>
      </c>
      <c r="H55" s="125">
        <v>46133</v>
      </c>
      <c r="I55" s="1" t="s">
        <v>873</v>
      </c>
      <c r="J55" s="1" t="s">
        <v>759</v>
      </c>
    </row>
    <row r="56" spans="1:10" customFormat="1" hidden="1">
      <c r="A56" s="96" t="s">
        <v>880</v>
      </c>
      <c r="B56" s="1" t="s">
        <v>32</v>
      </c>
      <c r="C56" s="1" t="s">
        <v>860</v>
      </c>
      <c r="D56" s="96">
        <v>9</v>
      </c>
      <c r="E56" s="1" t="s">
        <v>791</v>
      </c>
      <c r="F56" s="115">
        <f>22794*0.48</f>
        <v>10941.119999999999</v>
      </c>
      <c r="G56" s="90">
        <f t="shared" si="0"/>
        <v>98470.079999999987</v>
      </c>
      <c r="H56" s="125">
        <v>46133</v>
      </c>
      <c r="I56" s="1" t="s">
        <v>881</v>
      </c>
      <c r="J56" s="1"/>
    </row>
    <row r="57" spans="1:10" customFormat="1" hidden="1">
      <c r="A57" s="96" t="s">
        <v>882</v>
      </c>
      <c r="B57" s="1" t="s">
        <v>32</v>
      </c>
      <c r="C57" s="1" t="s">
        <v>860</v>
      </c>
      <c r="D57" s="96">
        <v>12</v>
      </c>
      <c r="E57" s="1" t="s">
        <v>791</v>
      </c>
      <c r="F57" s="115">
        <f>35989*0.48</f>
        <v>17274.72</v>
      </c>
      <c r="G57" s="90">
        <f t="shared" si="0"/>
        <v>207296.64000000001</v>
      </c>
      <c r="H57" s="125">
        <v>46133</v>
      </c>
      <c r="I57" s="1" t="s">
        <v>883</v>
      </c>
      <c r="J57" s="1"/>
    </row>
    <row r="58" spans="1:10" customFormat="1" hidden="1">
      <c r="A58" s="96" t="s">
        <v>884</v>
      </c>
      <c r="B58" s="1" t="s">
        <v>32</v>
      </c>
      <c r="C58" s="1" t="s">
        <v>860</v>
      </c>
      <c r="D58" s="96">
        <v>12</v>
      </c>
      <c r="E58" s="1" t="s">
        <v>791</v>
      </c>
      <c r="F58" s="115">
        <f>1117*0.48</f>
        <v>536.16</v>
      </c>
      <c r="G58" s="90">
        <f t="shared" si="0"/>
        <v>6433.92</v>
      </c>
      <c r="H58" s="125">
        <v>46133</v>
      </c>
      <c r="I58" s="1" t="s">
        <v>873</v>
      </c>
      <c r="J58" s="1"/>
    </row>
    <row r="59" spans="1:10" customFormat="1" hidden="1">
      <c r="A59" s="96" t="s">
        <v>885</v>
      </c>
      <c r="B59" s="1" t="s">
        <v>32</v>
      </c>
      <c r="C59" s="1" t="s">
        <v>860</v>
      </c>
      <c r="D59" s="96">
        <v>12</v>
      </c>
      <c r="E59" s="1" t="s">
        <v>791</v>
      </c>
      <c r="F59" s="115">
        <f>68988*0.48</f>
        <v>33114.239999999998</v>
      </c>
      <c r="G59" s="90">
        <f t="shared" si="0"/>
        <v>397370.88</v>
      </c>
      <c r="H59" s="125">
        <v>46133</v>
      </c>
      <c r="I59" s="1" t="s">
        <v>873</v>
      </c>
      <c r="J59" s="1"/>
    </row>
    <row r="60" spans="1:10" customFormat="1" hidden="1">
      <c r="A60" s="96" t="s">
        <v>886</v>
      </c>
      <c r="B60" s="1" t="s">
        <v>32</v>
      </c>
      <c r="C60" s="1" t="s">
        <v>887</v>
      </c>
      <c r="D60" s="96">
        <v>3</v>
      </c>
      <c r="E60" s="1" t="s">
        <v>791</v>
      </c>
      <c r="F60" s="116">
        <f>4064*0.48</f>
        <v>1950.72</v>
      </c>
      <c r="G60" s="90">
        <f t="shared" si="0"/>
        <v>5852.16</v>
      </c>
      <c r="H60" s="125">
        <v>46133</v>
      </c>
      <c r="I60" s="1" t="s">
        <v>873</v>
      </c>
      <c r="J60" s="1"/>
    </row>
    <row r="61" spans="1:10" customFormat="1" hidden="1">
      <c r="A61" s="96" t="s">
        <v>888</v>
      </c>
      <c r="B61" s="1" t="s">
        <v>172</v>
      </c>
      <c r="C61" s="1" t="s">
        <v>860</v>
      </c>
      <c r="D61" s="96">
        <v>8</v>
      </c>
      <c r="E61" s="1" t="s">
        <v>791</v>
      </c>
      <c r="F61" s="115">
        <v>7085</v>
      </c>
      <c r="G61" s="90">
        <f t="shared" si="0"/>
        <v>56680</v>
      </c>
      <c r="H61" s="125">
        <v>46148</v>
      </c>
      <c r="I61" s="1" t="s">
        <v>863</v>
      </c>
      <c r="J61" s="1"/>
    </row>
    <row r="62" spans="1:10" customFormat="1" hidden="1">
      <c r="A62" s="96" t="s">
        <v>889</v>
      </c>
      <c r="B62" s="1" t="s">
        <v>172</v>
      </c>
      <c r="C62" s="1" t="s">
        <v>860</v>
      </c>
      <c r="D62" s="96">
        <v>2</v>
      </c>
      <c r="E62" s="1" t="s">
        <v>791</v>
      </c>
      <c r="F62" s="115">
        <v>29655</v>
      </c>
      <c r="G62" s="90">
        <f t="shared" si="0"/>
        <v>59310</v>
      </c>
      <c r="H62" s="125">
        <v>46148</v>
      </c>
      <c r="I62" s="1" t="s">
        <v>890</v>
      </c>
      <c r="J62" s="1"/>
    </row>
    <row r="63" spans="1:10" customFormat="1" hidden="1">
      <c r="A63" s="96" t="s">
        <v>891</v>
      </c>
      <c r="B63" s="1" t="s">
        <v>830</v>
      </c>
      <c r="C63" s="1" t="s">
        <v>831</v>
      </c>
      <c r="D63" s="96">
        <v>62</v>
      </c>
      <c r="E63" s="1" t="s">
        <v>791</v>
      </c>
      <c r="F63" s="115">
        <f>15740*0.8</f>
        <v>12592</v>
      </c>
      <c r="G63" s="90">
        <f t="shared" si="0"/>
        <v>780704</v>
      </c>
      <c r="H63" s="125">
        <v>46146</v>
      </c>
      <c r="I63" s="1" t="s">
        <v>868</v>
      </c>
      <c r="J63" s="1"/>
    </row>
    <row r="64" spans="1:10" customFormat="1" hidden="1">
      <c r="A64" s="96" t="s">
        <v>892</v>
      </c>
      <c r="B64" s="1" t="s">
        <v>830</v>
      </c>
      <c r="C64" s="1" t="s">
        <v>831</v>
      </c>
      <c r="D64" s="96">
        <v>25</v>
      </c>
      <c r="E64" s="1" t="s">
        <v>791</v>
      </c>
      <c r="F64" s="115">
        <f>54070*0.8</f>
        <v>43256</v>
      </c>
      <c r="G64" s="90">
        <f t="shared" si="0"/>
        <v>1081400</v>
      </c>
      <c r="H64" s="125">
        <v>46146</v>
      </c>
      <c r="I64" s="1" t="s">
        <v>868</v>
      </c>
      <c r="J64" s="1"/>
    </row>
    <row r="65" spans="1:10" customFormat="1" hidden="1">
      <c r="A65" s="96" t="s">
        <v>893</v>
      </c>
      <c r="B65" s="1" t="s">
        <v>830</v>
      </c>
      <c r="C65" s="1" t="s">
        <v>831</v>
      </c>
      <c r="D65" s="96">
        <v>12</v>
      </c>
      <c r="E65" s="1" t="s">
        <v>791</v>
      </c>
      <c r="F65" s="117">
        <f>4950*0.8</f>
        <v>3960</v>
      </c>
      <c r="G65" s="90">
        <f t="shared" si="0"/>
        <v>47520</v>
      </c>
      <c r="H65" s="125">
        <v>46146</v>
      </c>
      <c r="I65" s="119" t="s">
        <v>820</v>
      </c>
      <c r="J65" s="1"/>
    </row>
    <row r="66" spans="1:10" customFormat="1" hidden="1">
      <c r="A66" s="1" t="s">
        <v>894</v>
      </c>
      <c r="B66" s="1" t="s">
        <v>830</v>
      </c>
      <c r="C66" s="1"/>
      <c r="D66" s="1"/>
      <c r="E66" s="1" t="s">
        <v>791</v>
      </c>
      <c r="F66" s="90"/>
      <c r="G66" s="90">
        <f t="shared" ref="G66:G128" si="1">+D66*F66</f>
        <v>0</v>
      </c>
      <c r="H66" s="125"/>
      <c r="I66" s="1"/>
      <c r="J66" s="1"/>
    </row>
    <row r="67" spans="1:10" customFormat="1" hidden="1">
      <c r="A67" s="1" t="s">
        <v>895</v>
      </c>
      <c r="B67" s="1" t="s">
        <v>830</v>
      </c>
      <c r="C67" s="1"/>
      <c r="D67" s="123"/>
      <c r="E67" s="1" t="s">
        <v>791</v>
      </c>
      <c r="F67" s="144"/>
      <c r="G67" s="90">
        <f t="shared" si="1"/>
        <v>0</v>
      </c>
      <c r="H67" s="125"/>
      <c r="I67" s="1"/>
      <c r="J67" s="1"/>
    </row>
    <row r="68" spans="1:10" customFormat="1" hidden="1">
      <c r="A68" s="96" t="s">
        <v>896</v>
      </c>
      <c r="B68" s="1" t="s">
        <v>830</v>
      </c>
      <c r="C68" s="1" t="s">
        <v>831</v>
      </c>
      <c r="D68" s="96">
        <v>1</v>
      </c>
      <c r="E68" s="1" t="s">
        <v>791</v>
      </c>
      <c r="F68" s="117">
        <v>12592</v>
      </c>
      <c r="G68" s="90">
        <f t="shared" si="1"/>
        <v>12592</v>
      </c>
      <c r="H68" s="125">
        <v>46146</v>
      </c>
      <c r="I68" s="1" t="s">
        <v>870</v>
      </c>
      <c r="J68" s="1"/>
    </row>
    <row r="69" spans="1:10" customFormat="1" hidden="1">
      <c r="A69" s="96" t="s">
        <v>897</v>
      </c>
      <c r="B69" s="1" t="s">
        <v>830</v>
      </c>
      <c r="C69" s="1" t="s">
        <v>831</v>
      </c>
      <c r="D69" s="96">
        <v>2</v>
      </c>
      <c r="E69" s="1" t="s">
        <v>791</v>
      </c>
      <c r="F69" s="117">
        <v>43256</v>
      </c>
      <c r="G69" s="90">
        <f t="shared" si="1"/>
        <v>86512</v>
      </c>
      <c r="H69" s="125">
        <v>46146</v>
      </c>
      <c r="I69" s="1" t="s">
        <v>870</v>
      </c>
      <c r="J69" s="1"/>
    </row>
    <row r="70" spans="1:10" customFormat="1" hidden="1">
      <c r="A70" s="96" t="s">
        <v>898</v>
      </c>
      <c r="B70" s="1" t="s">
        <v>32</v>
      </c>
      <c r="C70" s="1" t="s">
        <v>860</v>
      </c>
      <c r="D70" s="96">
        <v>13</v>
      </c>
      <c r="E70" s="1" t="s">
        <v>791</v>
      </c>
      <c r="F70" s="115">
        <f>2079*0.48</f>
        <v>997.92</v>
      </c>
      <c r="G70" s="90">
        <f t="shared" si="1"/>
        <v>12972.96</v>
      </c>
      <c r="H70" s="125">
        <v>46133</v>
      </c>
      <c r="I70" s="1" t="s">
        <v>873</v>
      </c>
      <c r="J70" s="1"/>
    </row>
    <row r="71" spans="1:10" customFormat="1" hidden="1">
      <c r="A71" s="96" t="s">
        <v>899</v>
      </c>
      <c r="B71" s="1" t="s">
        <v>32</v>
      </c>
      <c r="C71" s="1" t="s">
        <v>860</v>
      </c>
      <c r="D71" s="96">
        <v>26</v>
      </c>
      <c r="E71" s="1" t="s">
        <v>791</v>
      </c>
      <c r="F71" s="115">
        <f>549*0.48</f>
        <v>263.52</v>
      </c>
      <c r="G71" s="90">
        <f t="shared" si="1"/>
        <v>6851.5199999999995</v>
      </c>
      <c r="H71" s="125">
        <v>46133</v>
      </c>
      <c r="I71" s="1" t="s">
        <v>873</v>
      </c>
      <c r="J71" s="1"/>
    </row>
    <row r="72" spans="1:10" customFormat="1" hidden="1">
      <c r="A72" s="96" t="s">
        <v>900</v>
      </c>
      <c r="B72" s="1" t="s">
        <v>32</v>
      </c>
      <c r="C72" s="1" t="s">
        <v>860</v>
      </c>
      <c r="D72" s="96">
        <v>20</v>
      </c>
      <c r="E72" s="1" t="s">
        <v>791</v>
      </c>
      <c r="F72" s="115">
        <f>5127*0.48</f>
        <v>2460.96</v>
      </c>
      <c r="G72" s="90">
        <f t="shared" si="1"/>
        <v>49219.199999999997</v>
      </c>
      <c r="H72" s="125">
        <v>46133</v>
      </c>
      <c r="I72" s="1" t="s">
        <v>873</v>
      </c>
      <c r="J72" s="1"/>
    </row>
    <row r="73" spans="1:10" customFormat="1" hidden="1">
      <c r="A73" s="96" t="s">
        <v>901</v>
      </c>
      <c r="B73" s="1" t="s">
        <v>32</v>
      </c>
      <c r="C73" s="1" t="s">
        <v>860</v>
      </c>
      <c r="D73" s="96">
        <v>11</v>
      </c>
      <c r="E73" s="1" t="s">
        <v>791</v>
      </c>
      <c r="F73" s="115">
        <f>4375*0.48</f>
        <v>2100</v>
      </c>
      <c r="G73" s="90">
        <f t="shared" si="1"/>
        <v>23100</v>
      </c>
      <c r="H73" s="125">
        <v>46133</v>
      </c>
      <c r="I73" s="1" t="s">
        <v>873</v>
      </c>
      <c r="J73" s="1"/>
    </row>
    <row r="74" spans="1:10" customFormat="1" hidden="1">
      <c r="A74" s="96" t="s">
        <v>902</v>
      </c>
      <c r="B74" s="1" t="s">
        <v>32</v>
      </c>
      <c r="C74" s="1" t="s">
        <v>860</v>
      </c>
      <c r="D74" s="96">
        <v>6</v>
      </c>
      <c r="E74" s="1" t="s">
        <v>791</v>
      </c>
      <c r="F74" s="115">
        <f>7324*0.48</f>
        <v>3515.52</v>
      </c>
      <c r="G74" s="90">
        <f t="shared" si="1"/>
        <v>21093.119999999999</v>
      </c>
      <c r="H74" s="125">
        <v>46133</v>
      </c>
      <c r="I74" s="1" t="s">
        <v>873</v>
      </c>
      <c r="J74" s="1"/>
    </row>
    <row r="75" spans="1:10" customFormat="1" hidden="1">
      <c r="A75" s="96" t="s">
        <v>903</v>
      </c>
      <c r="B75" s="1" t="s">
        <v>32</v>
      </c>
      <c r="C75" s="1" t="s">
        <v>860</v>
      </c>
      <c r="D75" s="96">
        <v>15</v>
      </c>
      <c r="E75" s="1" t="s">
        <v>791</v>
      </c>
      <c r="F75" s="115">
        <f>19043*0.48</f>
        <v>9140.64</v>
      </c>
      <c r="G75" s="90">
        <f t="shared" si="1"/>
        <v>137109.59999999998</v>
      </c>
      <c r="H75" s="125">
        <v>46133</v>
      </c>
      <c r="I75" s="1" t="s">
        <v>873</v>
      </c>
      <c r="J75" s="1"/>
    </row>
    <row r="76" spans="1:10" customFormat="1" hidden="1">
      <c r="A76" s="96" t="s">
        <v>904</v>
      </c>
      <c r="B76" s="1" t="s">
        <v>32</v>
      </c>
      <c r="C76" s="1" t="s">
        <v>860</v>
      </c>
      <c r="D76" s="96">
        <v>1</v>
      </c>
      <c r="E76" s="1" t="s">
        <v>791</v>
      </c>
      <c r="F76" s="115">
        <f>28790*0.48</f>
        <v>13819.199999999999</v>
      </c>
      <c r="G76" s="90">
        <f t="shared" si="1"/>
        <v>13819.199999999999</v>
      </c>
      <c r="H76" s="125">
        <v>46133</v>
      </c>
      <c r="I76" s="1" t="s">
        <v>873</v>
      </c>
      <c r="J76" s="1"/>
    </row>
    <row r="77" spans="1:10" customFormat="1" hidden="1">
      <c r="A77" s="96" t="s">
        <v>905</v>
      </c>
      <c r="B77" s="1" t="s">
        <v>32</v>
      </c>
      <c r="C77" s="1" t="s">
        <v>860</v>
      </c>
      <c r="D77" s="96">
        <v>22</v>
      </c>
      <c r="E77" s="1" t="s">
        <v>791</v>
      </c>
      <c r="F77" s="115">
        <f>996*0.48</f>
        <v>478.08</v>
      </c>
      <c r="G77" s="90">
        <f t="shared" si="1"/>
        <v>10517.76</v>
      </c>
      <c r="H77" s="125">
        <v>46133</v>
      </c>
      <c r="I77" s="1" t="s">
        <v>873</v>
      </c>
      <c r="J77" s="1"/>
    </row>
    <row r="78" spans="1:10" customFormat="1" hidden="1">
      <c r="A78" s="96" t="s">
        <v>906</v>
      </c>
      <c r="B78" s="1" t="s">
        <v>32</v>
      </c>
      <c r="C78" s="1" t="s">
        <v>860</v>
      </c>
      <c r="D78" s="96">
        <v>5</v>
      </c>
      <c r="E78" s="1" t="s">
        <v>791</v>
      </c>
      <c r="F78" s="115">
        <f>52959*0.48</f>
        <v>25420.32</v>
      </c>
      <c r="G78" s="90">
        <f t="shared" si="1"/>
        <v>127101.6</v>
      </c>
      <c r="H78" s="125">
        <v>46133</v>
      </c>
      <c r="I78" s="1" t="s">
        <v>873</v>
      </c>
      <c r="J78" s="1"/>
    </row>
    <row r="79" spans="1:10" customFormat="1" hidden="1">
      <c r="A79" s="96" t="s">
        <v>907</v>
      </c>
      <c r="B79" s="1" t="s">
        <v>32</v>
      </c>
      <c r="C79" s="1" t="s">
        <v>887</v>
      </c>
      <c r="D79" s="96">
        <v>20</v>
      </c>
      <c r="E79" s="1" t="s">
        <v>791</v>
      </c>
      <c r="F79" s="115">
        <v>23600</v>
      </c>
      <c r="G79" s="90">
        <f t="shared" si="1"/>
        <v>472000</v>
      </c>
      <c r="H79" s="125">
        <v>46133</v>
      </c>
      <c r="I79" s="1" t="s">
        <v>908</v>
      </c>
      <c r="J79" s="1"/>
    </row>
    <row r="80" spans="1:10" customFormat="1" hidden="1">
      <c r="A80" s="96" t="s">
        <v>909</v>
      </c>
      <c r="B80" s="1" t="s">
        <v>32</v>
      </c>
      <c r="C80" s="1" t="s">
        <v>887</v>
      </c>
      <c r="D80" s="96">
        <v>8</v>
      </c>
      <c r="E80" s="1" t="s">
        <v>791</v>
      </c>
      <c r="F80" s="115">
        <f>21500*0.8</f>
        <v>17200</v>
      </c>
      <c r="G80" s="90">
        <f t="shared" si="1"/>
        <v>137600</v>
      </c>
      <c r="H80" s="125">
        <v>46133</v>
      </c>
      <c r="I80" s="1" t="s">
        <v>910</v>
      </c>
      <c r="J80" s="1"/>
    </row>
    <row r="81" spans="1:10" customFormat="1" hidden="1">
      <c r="A81" s="1" t="s">
        <v>911</v>
      </c>
      <c r="B81" s="1" t="s">
        <v>360</v>
      </c>
      <c r="C81" s="1" t="s">
        <v>887</v>
      </c>
      <c r="D81" s="1"/>
      <c r="E81" s="1" t="s">
        <v>791</v>
      </c>
      <c r="F81" s="90"/>
      <c r="G81" s="90">
        <f t="shared" si="1"/>
        <v>0</v>
      </c>
      <c r="H81" s="125">
        <v>46133</v>
      </c>
      <c r="I81" s="1">
        <v>0</v>
      </c>
      <c r="J81" s="1"/>
    </row>
    <row r="82" spans="1:10" customFormat="1" hidden="1">
      <c r="A82" s="96" t="s">
        <v>912</v>
      </c>
      <c r="B82" s="1" t="s">
        <v>360</v>
      </c>
      <c r="C82" s="1" t="s">
        <v>860</v>
      </c>
      <c r="D82" s="96">
        <v>2</v>
      </c>
      <c r="E82" s="1" t="s">
        <v>791</v>
      </c>
      <c r="F82" s="117">
        <v>3236</v>
      </c>
      <c r="G82" s="90">
        <f t="shared" si="1"/>
        <v>6472</v>
      </c>
      <c r="H82" s="125">
        <v>46134</v>
      </c>
      <c r="I82" s="1" t="s">
        <v>873</v>
      </c>
      <c r="J82" s="1"/>
    </row>
    <row r="83" spans="1:10" customFormat="1" hidden="1">
      <c r="A83" s="96" t="s">
        <v>913</v>
      </c>
      <c r="B83" s="1" t="s">
        <v>360</v>
      </c>
      <c r="C83" s="1" t="s">
        <v>860</v>
      </c>
      <c r="D83" s="96">
        <v>3</v>
      </c>
      <c r="E83" s="1" t="s">
        <v>791</v>
      </c>
      <c r="F83" s="117">
        <v>3170</v>
      </c>
      <c r="G83" s="90">
        <f t="shared" si="1"/>
        <v>9510</v>
      </c>
      <c r="H83" s="125">
        <v>46134</v>
      </c>
      <c r="I83" s="1" t="s">
        <v>873</v>
      </c>
      <c r="J83" s="1"/>
    </row>
    <row r="84" spans="1:10" customFormat="1" hidden="1">
      <c r="A84" s="1" t="s">
        <v>914</v>
      </c>
      <c r="B84" s="1" t="s">
        <v>915</v>
      </c>
      <c r="C84" s="1"/>
      <c r="D84" s="1">
        <v>32</v>
      </c>
      <c r="E84" s="1" t="s">
        <v>791</v>
      </c>
      <c r="F84" s="121">
        <v>347</v>
      </c>
      <c r="G84" s="90">
        <f t="shared" si="1"/>
        <v>11104</v>
      </c>
      <c r="H84" s="61"/>
      <c r="I84" s="1" t="s">
        <v>916</v>
      </c>
      <c r="J84" s="1" t="s">
        <v>917</v>
      </c>
    </row>
    <row r="85" spans="1:10" customFormat="1" ht="18.600000000000001" hidden="1" customHeight="1">
      <c r="A85" s="157" t="s">
        <v>918</v>
      </c>
      <c r="B85" s="96" t="s">
        <v>919</v>
      </c>
      <c r="C85" s="1"/>
      <c r="D85" s="96">
        <v>32</v>
      </c>
      <c r="E85" s="1" t="s">
        <v>791</v>
      </c>
      <c r="F85" s="122">
        <v>1011</v>
      </c>
      <c r="G85" s="90">
        <f t="shared" si="1"/>
        <v>32352</v>
      </c>
      <c r="H85" s="125">
        <v>46212</v>
      </c>
      <c r="I85" s="1" t="s">
        <v>920</v>
      </c>
      <c r="J85" s="1" t="s">
        <v>921</v>
      </c>
    </row>
    <row r="86" spans="1:10" customFormat="1" ht="18.600000000000001" hidden="1" customHeight="1">
      <c r="A86" s="157" t="s">
        <v>922</v>
      </c>
      <c r="B86" s="96" t="s">
        <v>919</v>
      </c>
      <c r="C86" s="1"/>
      <c r="D86" s="96">
        <v>38</v>
      </c>
      <c r="E86" s="1" t="s">
        <v>791</v>
      </c>
      <c r="F86" s="122">
        <v>775.1</v>
      </c>
      <c r="G86" s="90">
        <f t="shared" si="1"/>
        <v>29453.8</v>
      </c>
      <c r="H86" s="125">
        <v>46212</v>
      </c>
      <c r="I86" s="1" t="s">
        <v>923</v>
      </c>
      <c r="J86" s="1"/>
    </row>
    <row r="87" spans="1:10" customFormat="1" ht="18.600000000000001" hidden="1" customHeight="1">
      <c r="A87" s="157" t="s">
        <v>924</v>
      </c>
      <c r="B87" s="96" t="s">
        <v>919</v>
      </c>
      <c r="C87" s="1"/>
      <c r="D87" s="96">
        <f>314+180</f>
        <v>494</v>
      </c>
      <c r="E87" s="1" t="s">
        <v>791</v>
      </c>
      <c r="F87" s="122">
        <v>89</v>
      </c>
      <c r="G87" s="90">
        <f t="shared" si="1"/>
        <v>43966</v>
      </c>
      <c r="H87" s="125">
        <v>46211</v>
      </c>
      <c r="I87" s="1" t="s">
        <v>925</v>
      </c>
      <c r="J87" s="1" t="s">
        <v>643</v>
      </c>
    </row>
    <row r="88" spans="1:10" customFormat="1" ht="18.600000000000001" hidden="1" customHeight="1">
      <c r="A88" s="157" t="s">
        <v>926</v>
      </c>
      <c r="B88" s="96" t="s">
        <v>919</v>
      </c>
      <c r="C88" s="109">
        <v>270</v>
      </c>
      <c r="D88" s="96">
        <v>398</v>
      </c>
      <c r="E88" s="1" t="s">
        <v>791</v>
      </c>
      <c r="F88" s="122">
        <v>271</v>
      </c>
      <c r="G88" s="90">
        <f t="shared" si="1"/>
        <v>107858</v>
      </c>
      <c r="H88" s="126">
        <v>46212</v>
      </c>
      <c r="I88" s="1"/>
      <c r="J88" s="1" t="s">
        <v>927</v>
      </c>
    </row>
    <row r="89" spans="1:10" customFormat="1" ht="18.600000000000001" hidden="1" customHeight="1">
      <c r="A89" s="157" t="s">
        <v>928</v>
      </c>
      <c r="B89" s="96" t="s">
        <v>919</v>
      </c>
      <c r="C89" s="1"/>
      <c r="D89" s="96">
        <v>234</v>
      </c>
      <c r="E89" s="1" t="s">
        <v>791</v>
      </c>
      <c r="F89" s="122">
        <v>221</v>
      </c>
      <c r="G89" s="90">
        <f t="shared" si="1"/>
        <v>51714</v>
      </c>
      <c r="H89" s="126" t="s">
        <v>929</v>
      </c>
      <c r="I89" s="1" t="s">
        <v>930</v>
      </c>
      <c r="J89" s="1"/>
    </row>
    <row r="90" spans="1:10" customFormat="1" ht="18.600000000000001" hidden="1" customHeight="1">
      <c r="A90" s="157" t="s">
        <v>931</v>
      </c>
      <c r="B90" s="96" t="s">
        <v>919</v>
      </c>
      <c r="C90" s="1"/>
      <c r="D90" s="96">
        <v>7</v>
      </c>
      <c r="E90" s="1" t="s">
        <v>791</v>
      </c>
      <c r="F90" s="122">
        <v>609.79999999999995</v>
      </c>
      <c r="G90" s="90">
        <f t="shared" si="1"/>
        <v>4268.5999999999995</v>
      </c>
      <c r="H90" s="126">
        <v>46212</v>
      </c>
      <c r="I90" s="1" t="s">
        <v>923</v>
      </c>
      <c r="J90" s="1"/>
    </row>
    <row r="91" spans="1:10" hidden="1">
      <c r="A91" s="157" t="s">
        <v>932</v>
      </c>
      <c r="B91" s="119" t="s">
        <v>915</v>
      </c>
      <c r="C91" s="119"/>
      <c r="D91" s="157">
        <v>65</v>
      </c>
      <c r="E91" s="1" t="s">
        <v>791</v>
      </c>
      <c r="F91" s="122">
        <v>263</v>
      </c>
      <c r="G91" s="133">
        <f t="shared" si="1"/>
        <v>17095</v>
      </c>
      <c r="H91" s="209">
        <v>46153</v>
      </c>
      <c r="I91" s="119" t="s">
        <v>933</v>
      </c>
      <c r="J91" s="119" t="s">
        <v>722</v>
      </c>
    </row>
    <row r="92" spans="1:10" customFormat="1" hidden="1">
      <c r="A92" s="1" t="s">
        <v>934</v>
      </c>
      <c r="B92" s="1" t="s">
        <v>13</v>
      </c>
      <c r="C92" s="1"/>
      <c r="D92" s="1">
        <v>12</v>
      </c>
      <c r="E92" s="1" t="s">
        <v>791</v>
      </c>
      <c r="F92" s="219"/>
      <c r="G92" s="90">
        <f t="shared" si="1"/>
        <v>0</v>
      </c>
      <c r="H92" s="61"/>
      <c r="I92" s="1"/>
      <c r="J92" s="1"/>
    </row>
    <row r="93" spans="1:10" customFormat="1" hidden="1">
      <c r="A93" s="1" t="s">
        <v>935</v>
      </c>
      <c r="B93" s="1" t="s">
        <v>13</v>
      </c>
      <c r="C93" s="1"/>
      <c r="D93" s="1">
        <v>5</v>
      </c>
      <c r="E93" s="1" t="s">
        <v>791</v>
      </c>
      <c r="F93" s="219"/>
      <c r="G93" s="90">
        <f t="shared" si="1"/>
        <v>0</v>
      </c>
      <c r="H93" s="61"/>
      <c r="I93" s="1"/>
      <c r="J93" s="1"/>
    </row>
    <row r="94" spans="1:10" customFormat="1" hidden="1">
      <c r="A94" s="1" t="s">
        <v>936</v>
      </c>
      <c r="B94" s="1" t="s">
        <v>13</v>
      </c>
      <c r="C94" s="1"/>
      <c r="D94" s="1">
        <v>2</v>
      </c>
      <c r="E94" s="1" t="s">
        <v>791</v>
      </c>
      <c r="F94" s="72">
        <v>198.31</v>
      </c>
      <c r="G94" s="90">
        <f t="shared" si="1"/>
        <v>396.62</v>
      </c>
      <c r="H94" s="61"/>
      <c r="I94" s="1"/>
      <c r="J94" s="1"/>
    </row>
    <row r="95" spans="1:10" customFormat="1" hidden="1">
      <c r="A95" s="96" t="s">
        <v>937</v>
      </c>
      <c r="B95" s="96" t="s">
        <v>13</v>
      </c>
      <c r="C95" s="1"/>
      <c r="D95" s="96">
        <v>147</v>
      </c>
      <c r="E95" s="1" t="s">
        <v>791</v>
      </c>
      <c r="F95" s="254">
        <v>51.34</v>
      </c>
      <c r="G95" s="90">
        <f t="shared" si="1"/>
        <v>7546.9800000000005</v>
      </c>
      <c r="H95" s="125">
        <v>46219</v>
      </c>
      <c r="I95" s="1"/>
      <c r="J95" s="1"/>
    </row>
    <row r="96" spans="1:10" customFormat="1" hidden="1">
      <c r="A96" s="96" t="s">
        <v>938</v>
      </c>
      <c r="B96" s="96" t="s">
        <v>13</v>
      </c>
      <c r="C96" s="1"/>
      <c r="D96" s="96">
        <v>65</v>
      </c>
      <c r="E96" s="1" t="s">
        <v>791</v>
      </c>
      <c r="F96" s="254">
        <v>482.63</v>
      </c>
      <c r="G96" s="90">
        <f t="shared" si="1"/>
        <v>31370.95</v>
      </c>
      <c r="H96" s="125">
        <v>46219</v>
      </c>
      <c r="I96" s="1"/>
      <c r="J96" s="1"/>
    </row>
    <row r="97" spans="1:10" hidden="1">
      <c r="A97" s="157" t="s">
        <v>939</v>
      </c>
      <c r="B97" s="119" t="s">
        <v>13</v>
      </c>
      <c r="C97" s="119"/>
      <c r="D97" s="157">
        <v>62</v>
      </c>
      <c r="E97" s="119" t="s">
        <v>791</v>
      </c>
      <c r="F97" s="255">
        <v>302.60000000000002</v>
      </c>
      <c r="G97" s="133">
        <f t="shared" si="1"/>
        <v>18761.2</v>
      </c>
      <c r="H97" s="125">
        <v>46219</v>
      </c>
      <c r="I97" s="119"/>
      <c r="J97" s="119"/>
    </row>
    <row r="98" spans="1:10" customFormat="1" hidden="1">
      <c r="A98" s="1" t="s">
        <v>940</v>
      </c>
      <c r="B98" s="1" t="s">
        <v>13</v>
      </c>
      <c r="C98" s="1"/>
      <c r="D98" s="1">
        <v>7</v>
      </c>
      <c r="E98" s="1" t="s">
        <v>791</v>
      </c>
      <c r="F98" s="219"/>
      <c r="G98" s="90">
        <f t="shared" si="1"/>
        <v>0</v>
      </c>
      <c r="H98" s="61"/>
      <c r="I98" s="1"/>
      <c r="J98" s="1"/>
    </row>
    <row r="99" spans="1:10" customFormat="1" hidden="1">
      <c r="A99" s="96" t="s">
        <v>941</v>
      </c>
      <c r="B99" s="1" t="s">
        <v>942</v>
      </c>
      <c r="C99" s="1"/>
      <c r="D99" s="96">
        <f>26+1</f>
        <v>27</v>
      </c>
      <c r="E99" s="1" t="s">
        <v>791</v>
      </c>
      <c r="F99" s="117">
        <v>3570</v>
      </c>
      <c r="G99" s="90">
        <f t="shared" si="1"/>
        <v>96390</v>
      </c>
      <c r="H99" s="125">
        <v>46148</v>
      </c>
      <c r="I99" s="1" t="s">
        <v>943</v>
      </c>
      <c r="J99" s="1"/>
    </row>
    <row r="100" spans="1:10" customFormat="1" hidden="1">
      <c r="A100" s="96" t="s">
        <v>944</v>
      </c>
      <c r="B100" s="1" t="s">
        <v>942</v>
      </c>
      <c r="C100" s="1"/>
      <c r="D100" s="96">
        <v>44</v>
      </c>
      <c r="E100" s="1" t="s">
        <v>791</v>
      </c>
      <c r="F100" s="117">
        <v>2630</v>
      </c>
      <c r="G100" s="90">
        <f t="shared" si="1"/>
        <v>115720</v>
      </c>
      <c r="H100" s="125">
        <v>46148</v>
      </c>
      <c r="I100" s="1" t="s">
        <v>943</v>
      </c>
      <c r="J100" s="1"/>
    </row>
    <row r="101" spans="1:10" customFormat="1" hidden="1">
      <c r="A101" s="96" t="s">
        <v>945</v>
      </c>
      <c r="B101" s="1" t="s">
        <v>942</v>
      </c>
      <c r="C101" s="1"/>
      <c r="D101" s="96">
        <v>118</v>
      </c>
      <c r="E101" s="1" t="s">
        <v>791</v>
      </c>
      <c r="F101" s="117">
        <v>4300</v>
      </c>
      <c r="G101" s="90">
        <f t="shared" si="1"/>
        <v>507400</v>
      </c>
      <c r="H101" s="125">
        <v>46148</v>
      </c>
      <c r="I101" s="1" t="s">
        <v>946</v>
      </c>
      <c r="J101" s="1"/>
    </row>
    <row r="102" spans="1:10" customFormat="1" hidden="1">
      <c r="A102" s="96" t="s">
        <v>947</v>
      </c>
      <c r="B102" s="1" t="s">
        <v>942</v>
      </c>
      <c r="C102" s="1"/>
      <c r="D102" s="96">
        <v>14</v>
      </c>
      <c r="E102" s="1" t="s">
        <v>791</v>
      </c>
      <c r="F102" s="117">
        <v>2892</v>
      </c>
      <c r="G102" s="90">
        <f t="shared" si="1"/>
        <v>40488</v>
      </c>
      <c r="H102" s="125">
        <v>46148</v>
      </c>
      <c r="I102" s="1" t="s">
        <v>948</v>
      </c>
      <c r="J102" s="1"/>
    </row>
    <row r="103" spans="1:10" customFormat="1" hidden="1">
      <c r="A103" s="96" t="s">
        <v>949</v>
      </c>
      <c r="B103" s="1" t="s">
        <v>942</v>
      </c>
      <c r="C103" s="1"/>
      <c r="D103" s="96">
        <v>15</v>
      </c>
      <c r="E103" s="1" t="s">
        <v>791</v>
      </c>
      <c r="F103" s="117">
        <v>6130</v>
      </c>
      <c r="G103" s="90">
        <f t="shared" si="1"/>
        <v>91950</v>
      </c>
      <c r="H103" s="125">
        <v>46148</v>
      </c>
      <c r="I103" s="1" t="s">
        <v>948</v>
      </c>
      <c r="J103" s="1"/>
    </row>
    <row r="104" spans="1:10" customFormat="1" hidden="1">
      <c r="A104" s="96" t="s">
        <v>950</v>
      </c>
      <c r="B104" s="1" t="s">
        <v>942</v>
      </c>
      <c r="C104" s="1"/>
      <c r="D104" s="96">
        <f>21+3</f>
        <v>24</v>
      </c>
      <c r="E104" s="1" t="s">
        <v>791</v>
      </c>
      <c r="F104" s="117">
        <v>2910</v>
      </c>
      <c r="G104" s="90">
        <f t="shared" si="1"/>
        <v>69840</v>
      </c>
      <c r="H104" s="125">
        <v>46148</v>
      </c>
      <c r="I104" s="1" t="s">
        <v>943</v>
      </c>
      <c r="J104" s="1"/>
    </row>
    <row r="105" spans="1:10" customFormat="1" hidden="1">
      <c r="A105" s="96" t="s">
        <v>951</v>
      </c>
      <c r="B105" s="1" t="s">
        <v>942</v>
      </c>
      <c r="C105" s="1"/>
      <c r="D105" s="96">
        <v>4</v>
      </c>
      <c r="E105" s="1" t="s">
        <v>791</v>
      </c>
      <c r="F105" s="117">
        <v>6600</v>
      </c>
      <c r="G105" s="90">
        <f t="shared" si="1"/>
        <v>26400</v>
      </c>
      <c r="H105" s="125">
        <v>46148</v>
      </c>
      <c r="I105" s="1" t="s">
        <v>948</v>
      </c>
      <c r="J105" s="1"/>
    </row>
    <row r="106" spans="1:10" customFormat="1" hidden="1">
      <c r="A106" s="96" t="s">
        <v>952</v>
      </c>
      <c r="B106" s="1" t="s">
        <v>942</v>
      </c>
      <c r="C106" s="1"/>
      <c r="D106" s="96">
        <v>4</v>
      </c>
      <c r="E106" s="1" t="s">
        <v>791</v>
      </c>
      <c r="F106" s="117">
        <v>6776</v>
      </c>
      <c r="G106" s="90">
        <f t="shared" si="1"/>
        <v>27104</v>
      </c>
      <c r="H106" s="125">
        <v>46148</v>
      </c>
      <c r="I106" s="1" t="s">
        <v>948</v>
      </c>
      <c r="J106" s="1"/>
    </row>
    <row r="107" spans="1:10" customFormat="1" hidden="1">
      <c r="A107" s="96" t="s">
        <v>953</v>
      </c>
      <c r="B107" s="1" t="s">
        <v>942</v>
      </c>
      <c r="C107" s="1"/>
      <c r="D107" s="96">
        <v>10</v>
      </c>
      <c r="E107" s="1" t="s">
        <v>791</v>
      </c>
      <c r="F107" s="117">
        <v>29645</v>
      </c>
      <c r="G107" s="90">
        <f t="shared" si="1"/>
        <v>296450</v>
      </c>
      <c r="H107" s="125">
        <v>46148</v>
      </c>
      <c r="I107" s="114" t="s">
        <v>954</v>
      </c>
      <c r="J107" s="1"/>
    </row>
    <row r="108" spans="1:10" customFormat="1" hidden="1">
      <c r="A108" s="96" t="s">
        <v>955</v>
      </c>
      <c r="B108" s="1" t="s">
        <v>942</v>
      </c>
      <c r="C108" s="1"/>
      <c r="D108" s="96">
        <v>3</v>
      </c>
      <c r="E108" s="1" t="s">
        <v>791</v>
      </c>
      <c r="F108" s="117">
        <v>26850</v>
      </c>
      <c r="G108" s="90">
        <f t="shared" si="1"/>
        <v>80550</v>
      </c>
      <c r="H108" s="125">
        <v>46148</v>
      </c>
      <c r="I108" s="114" t="s">
        <v>956</v>
      </c>
      <c r="J108" s="1"/>
    </row>
    <row r="109" spans="1:10" customFormat="1" hidden="1">
      <c r="A109" s="112" t="s">
        <v>957</v>
      </c>
      <c r="B109" s="1" t="s">
        <v>942</v>
      </c>
      <c r="C109" s="1"/>
      <c r="D109" s="96">
        <v>1</v>
      </c>
      <c r="E109" s="1" t="s">
        <v>791</v>
      </c>
      <c r="F109" s="117">
        <f>+F108</f>
        <v>26850</v>
      </c>
      <c r="G109" s="90">
        <f t="shared" si="1"/>
        <v>26850</v>
      </c>
      <c r="H109" s="125">
        <v>46148</v>
      </c>
      <c r="I109" s="109" t="s">
        <v>958</v>
      </c>
      <c r="J109" s="1"/>
    </row>
    <row r="110" spans="1:10" customFormat="1" hidden="1">
      <c r="A110" s="113" t="s">
        <v>959</v>
      </c>
      <c r="B110" s="114" t="s">
        <v>460</v>
      </c>
      <c r="C110" s="114" t="s">
        <v>819</v>
      </c>
      <c r="D110" s="96">
        <v>1</v>
      </c>
      <c r="E110" s="1" t="s">
        <v>791</v>
      </c>
      <c r="F110" s="115">
        <f>71410*0.8</f>
        <v>57128</v>
      </c>
      <c r="G110" s="90">
        <f t="shared" si="1"/>
        <v>57128</v>
      </c>
      <c r="H110" s="125">
        <v>46142</v>
      </c>
      <c r="I110" s="1" t="s">
        <v>960</v>
      </c>
      <c r="J110" s="1"/>
    </row>
    <row r="111" spans="1:10" hidden="1">
      <c r="A111" s="157" t="s">
        <v>961</v>
      </c>
      <c r="B111" s="119" t="s">
        <v>13</v>
      </c>
      <c r="C111" s="119" t="s">
        <v>819</v>
      </c>
      <c r="D111" s="157">
        <v>1</v>
      </c>
      <c r="E111" s="1" t="s">
        <v>791</v>
      </c>
      <c r="F111" s="134">
        <f>291660*0.8</f>
        <v>233328</v>
      </c>
      <c r="G111" s="90">
        <f t="shared" si="1"/>
        <v>233328</v>
      </c>
      <c r="H111" s="158">
        <v>46141</v>
      </c>
      <c r="I111" s="119" t="s">
        <v>962</v>
      </c>
      <c r="J111" s="119"/>
    </row>
    <row r="112" spans="1:10" customFormat="1" hidden="1">
      <c r="A112" s="1" t="s">
        <v>963</v>
      </c>
      <c r="B112" s="1" t="s">
        <v>32</v>
      </c>
      <c r="C112" s="1" t="s">
        <v>887</v>
      </c>
      <c r="D112" s="1"/>
      <c r="E112" s="1" t="s">
        <v>791</v>
      </c>
      <c r="F112" s="90"/>
      <c r="G112" s="90">
        <f t="shared" si="1"/>
        <v>0</v>
      </c>
      <c r="H112" s="125">
        <v>46133</v>
      </c>
      <c r="I112" s="1"/>
      <c r="J112" s="1"/>
    </row>
    <row r="113" spans="1:10" customFormat="1" hidden="1">
      <c r="A113" s="96" t="s">
        <v>964</v>
      </c>
      <c r="B113" s="1" t="s">
        <v>32</v>
      </c>
      <c r="C113" s="1" t="s">
        <v>887</v>
      </c>
      <c r="D113" s="96">
        <v>3</v>
      </c>
      <c r="E113" s="1" t="s">
        <v>791</v>
      </c>
      <c r="F113" s="115">
        <f>285400*0.8</f>
        <v>228320</v>
      </c>
      <c r="G113" s="90">
        <f t="shared" si="1"/>
        <v>684960</v>
      </c>
      <c r="H113" s="125">
        <v>46133</v>
      </c>
      <c r="I113" s="1" t="s">
        <v>853</v>
      </c>
      <c r="J113" s="1"/>
    </row>
    <row r="114" spans="1:10" customFormat="1" hidden="1">
      <c r="A114" s="96" t="s">
        <v>965</v>
      </c>
      <c r="B114" s="1" t="s">
        <v>32</v>
      </c>
      <c r="C114" s="1" t="s">
        <v>887</v>
      </c>
      <c r="D114" s="96">
        <v>1</v>
      </c>
      <c r="E114" s="1" t="s">
        <v>791</v>
      </c>
      <c r="F114" s="115">
        <f>425500*0.8</f>
        <v>340400</v>
      </c>
      <c r="G114" s="90">
        <f t="shared" si="1"/>
        <v>340400</v>
      </c>
      <c r="H114" s="125">
        <v>46133</v>
      </c>
      <c r="I114" s="119" t="s">
        <v>820</v>
      </c>
      <c r="J114" s="1"/>
    </row>
    <row r="115" spans="1:10" customFormat="1" hidden="1">
      <c r="A115" s="113" t="s">
        <v>966</v>
      </c>
      <c r="B115" s="114" t="s">
        <v>460</v>
      </c>
      <c r="C115" s="114" t="s">
        <v>819</v>
      </c>
      <c r="D115" s="96">
        <v>1</v>
      </c>
      <c r="E115" s="1" t="s">
        <v>791</v>
      </c>
      <c r="F115" s="115">
        <v>22500</v>
      </c>
      <c r="G115" s="90">
        <f t="shared" si="1"/>
        <v>22500</v>
      </c>
      <c r="H115" s="125">
        <v>46142</v>
      </c>
      <c r="I115" s="1" t="s">
        <v>967</v>
      </c>
      <c r="J115" s="1"/>
    </row>
    <row r="116" spans="1:10" customFormat="1" hidden="1">
      <c r="A116" s="113" t="s">
        <v>968</v>
      </c>
      <c r="B116" s="114" t="s">
        <v>460</v>
      </c>
      <c r="C116" s="114" t="s">
        <v>819</v>
      </c>
      <c r="D116" s="96">
        <v>4</v>
      </c>
      <c r="E116" s="1" t="s">
        <v>791</v>
      </c>
      <c r="F116" s="115">
        <f>59000*0.8</f>
        <v>47200</v>
      </c>
      <c r="G116" s="90">
        <f t="shared" si="1"/>
        <v>188800</v>
      </c>
      <c r="H116" s="125">
        <v>46142</v>
      </c>
      <c r="I116" s="1" t="s">
        <v>969</v>
      </c>
      <c r="J116" s="1"/>
    </row>
    <row r="117" spans="1:10" hidden="1">
      <c r="A117" s="157" t="s">
        <v>970</v>
      </c>
      <c r="B117" s="119" t="s">
        <v>13</v>
      </c>
      <c r="C117" s="119" t="s">
        <v>819</v>
      </c>
      <c r="D117" s="157">
        <v>22</v>
      </c>
      <c r="E117" s="1" t="s">
        <v>791</v>
      </c>
      <c r="F117" s="134">
        <v>25700</v>
      </c>
      <c r="G117" s="90">
        <f t="shared" si="1"/>
        <v>565400</v>
      </c>
      <c r="H117" s="158">
        <v>46141</v>
      </c>
      <c r="I117" s="119" t="s">
        <v>971</v>
      </c>
      <c r="J117" s="119"/>
    </row>
    <row r="118" spans="1:10" hidden="1">
      <c r="A118" s="157" t="s">
        <v>972</v>
      </c>
      <c r="B118" s="119" t="s">
        <v>13</v>
      </c>
      <c r="C118" s="119" t="s">
        <v>819</v>
      </c>
      <c r="D118" s="157">
        <v>4</v>
      </c>
      <c r="E118" s="1" t="s">
        <v>791</v>
      </c>
      <c r="F118" s="134">
        <v>41920</v>
      </c>
      <c r="G118" s="90">
        <f t="shared" si="1"/>
        <v>167680</v>
      </c>
      <c r="H118" s="158">
        <v>46141</v>
      </c>
      <c r="I118" s="119" t="s">
        <v>973</v>
      </c>
      <c r="J118" s="119"/>
    </row>
    <row r="119" spans="1:10" hidden="1">
      <c r="A119" s="157" t="s">
        <v>974</v>
      </c>
      <c r="B119" s="119" t="s">
        <v>13</v>
      </c>
      <c r="C119" s="119" t="s">
        <v>819</v>
      </c>
      <c r="D119" s="157">
        <v>9</v>
      </c>
      <c r="E119" s="1" t="s">
        <v>791</v>
      </c>
      <c r="F119" s="134">
        <v>69900</v>
      </c>
      <c r="G119" s="90">
        <f t="shared" si="1"/>
        <v>629100</v>
      </c>
      <c r="H119" s="158">
        <v>46141</v>
      </c>
      <c r="I119" s="119" t="s">
        <v>971</v>
      </c>
      <c r="J119" s="119"/>
    </row>
    <row r="120" spans="1:10" hidden="1">
      <c r="A120" s="157" t="s">
        <v>975</v>
      </c>
      <c r="B120" s="119" t="s">
        <v>13</v>
      </c>
      <c r="C120" s="119" t="s">
        <v>819</v>
      </c>
      <c r="D120" s="157">
        <v>1</v>
      </c>
      <c r="E120" s="1" t="s">
        <v>791</v>
      </c>
      <c r="F120" s="134">
        <v>99000</v>
      </c>
      <c r="G120" s="90">
        <f t="shared" si="1"/>
        <v>99000</v>
      </c>
      <c r="H120" s="158">
        <v>46141</v>
      </c>
      <c r="I120" s="119" t="s">
        <v>976</v>
      </c>
      <c r="J120" s="119"/>
    </row>
    <row r="121" spans="1:10" hidden="1">
      <c r="A121" s="157" t="s">
        <v>977</v>
      </c>
      <c r="B121" s="119" t="s">
        <v>13</v>
      </c>
      <c r="C121" s="119" t="s">
        <v>819</v>
      </c>
      <c r="D121" s="157">
        <v>2</v>
      </c>
      <c r="E121" s="1" t="s">
        <v>791</v>
      </c>
      <c r="F121" s="134">
        <v>155600</v>
      </c>
      <c r="G121" s="90">
        <f t="shared" si="1"/>
        <v>311200</v>
      </c>
      <c r="H121" s="158">
        <v>46141</v>
      </c>
      <c r="I121" s="119" t="s">
        <v>976</v>
      </c>
      <c r="J121" s="119"/>
    </row>
    <row r="122" spans="1:10" customFormat="1" hidden="1">
      <c r="A122" s="96" t="s">
        <v>978</v>
      </c>
      <c r="B122" s="1" t="s">
        <v>16</v>
      </c>
      <c r="C122" s="1" t="s">
        <v>819</v>
      </c>
      <c r="D122" s="96">
        <v>2</v>
      </c>
      <c r="E122" s="1" t="s">
        <v>791</v>
      </c>
      <c r="F122" s="115">
        <f>23770*0.8</f>
        <v>19016</v>
      </c>
      <c r="G122" s="90">
        <f t="shared" si="1"/>
        <v>38032</v>
      </c>
      <c r="H122" s="125">
        <v>46141</v>
      </c>
      <c r="I122" s="119" t="s">
        <v>820</v>
      </c>
      <c r="J122" s="1"/>
    </row>
    <row r="123" spans="1:10" customFormat="1" hidden="1">
      <c r="A123" s="96" t="s">
        <v>979</v>
      </c>
      <c r="B123" s="1" t="s">
        <v>16</v>
      </c>
      <c r="C123" s="1" t="s">
        <v>819</v>
      </c>
      <c r="D123" s="96">
        <v>6</v>
      </c>
      <c r="E123" s="1" t="s">
        <v>791</v>
      </c>
      <c r="F123" s="115">
        <f>50220*0.8</f>
        <v>40176</v>
      </c>
      <c r="G123" s="90">
        <f t="shared" si="1"/>
        <v>241056</v>
      </c>
      <c r="H123" s="125">
        <v>46141</v>
      </c>
      <c r="I123" s="119" t="s">
        <v>820</v>
      </c>
      <c r="J123" s="1"/>
    </row>
    <row r="124" spans="1:10" customFormat="1" hidden="1">
      <c r="A124" s="96" t="s">
        <v>980</v>
      </c>
      <c r="B124" s="1" t="s">
        <v>16</v>
      </c>
      <c r="C124" s="1" t="s">
        <v>819</v>
      </c>
      <c r="D124" s="96">
        <v>16</v>
      </c>
      <c r="E124" s="1" t="s">
        <v>791</v>
      </c>
      <c r="F124" s="115">
        <f>80590*0.8</f>
        <v>64472</v>
      </c>
      <c r="G124" s="90">
        <f t="shared" si="1"/>
        <v>1031552</v>
      </c>
      <c r="H124" s="125">
        <v>46141</v>
      </c>
      <c r="I124" s="119" t="s">
        <v>820</v>
      </c>
      <c r="J124" s="1"/>
    </row>
    <row r="125" spans="1:10" customFormat="1" hidden="1">
      <c r="A125" s="96" t="s">
        <v>981</v>
      </c>
      <c r="B125" s="1" t="s">
        <v>32</v>
      </c>
      <c r="C125" s="1" t="s">
        <v>860</v>
      </c>
      <c r="D125" s="96">
        <v>1</v>
      </c>
      <c r="E125" s="1" t="s">
        <v>791</v>
      </c>
      <c r="F125" s="115">
        <f>30040*0.8</f>
        <v>24032</v>
      </c>
      <c r="G125" s="90">
        <f t="shared" si="1"/>
        <v>24032</v>
      </c>
      <c r="H125" s="125">
        <v>46133</v>
      </c>
      <c r="I125" s="1" t="s">
        <v>853</v>
      </c>
      <c r="J125" s="1"/>
    </row>
    <row r="126" spans="1:10" customFormat="1" hidden="1">
      <c r="A126" s="96" t="s">
        <v>982</v>
      </c>
      <c r="B126" s="1" t="s">
        <v>32</v>
      </c>
      <c r="C126" s="1" t="s">
        <v>860</v>
      </c>
      <c r="D126" s="96">
        <v>3</v>
      </c>
      <c r="E126" s="1" t="s">
        <v>791</v>
      </c>
      <c r="F126" s="115">
        <f>9050*0.8</f>
        <v>7240</v>
      </c>
      <c r="G126" s="90">
        <f t="shared" si="1"/>
        <v>21720</v>
      </c>
      <c r="H126" s="125">
        <v>46133</v>
      </c>
      <c r="I126" s="1" t="s">
        <v>960</v>
      </c>
      <c r="J126" s="1"/>
    </row>
    <row r="127" spans="1:10" customFormat="1" hidden="1">
      <c r="A127" s="96" t="s">
        <v>983</v>
      </c>
      <c r="B127" s="1" t="s">
        <v>32</v>
      </c>
      <c r="C127" s="1" t="s">
        <v>860</v>
      </c>
      <c r="D127" s="96">
        <v>2</v>
      </c>
      <c r="E127" s="1" t="s">
        <v>791</v>
      </c>
      <c r="F127" s="115">
        <f>13230*0.8</f>
        <v>10584</v>
      </c>
      <c r="G127" s="90">
        <f t="shared" si="1"/>
        <v>21168</v>
      </c>
      <c r="H127" s="125">
        <v>46133</v>
      </c>
      <c r="I127" s="1" t="s">
        <v>960</v>
      </c>
      <c r="J127" s="1"/>
    </row>
    <row r="128" spans="1:10" customFormat="1" hidden="1">
      <c r="A128" s="96" t="s">
        <v>984</v>
      </c>
      <c r="B128" s="1" t="s">
        <v>32</v>
      </c>
      <c r="C128" s="1" t="s">
        <v>860</v>
      </c>
      <c r="D128" s="96">
        <v>4</v>
      </c>
      <c r="E128" s="1" t="s">
        <v>791</v>
      </c>
      <c r="F128" s="115">
        <f>14640*0.8</f>
        <v>11712</v>
      </c>
      <c r="G128" s="90">
        <f t="shared" si="1"/>
        <v>46848</v>
      </c>
      <c r="H128" s="125">
        <v>46133</v>
      </c>
      <c r="I128" s="1" t="s">
        <v>960</v>
      </c>
      <c r="J128" s="1"/>
    </row>
    <row r="129" spans="1:10" customFormat="1" hidden="1">
      <c r="A129" s="96" t="s">
        <v>985</v>
      </c>
      <c r="B129" s="1" t="s">
        <v>32</v>
      </c>
      <c r="C129" s="1" t="s">
        <v>860</v>
      </c>
      <c r="D129" s="96">
        <v>12</v>
      </c>
      <c r="E129" s="1" t="s">
        <v>791</v>
      </c>
      <c r="F129" s="115">
        <f>26000*0.8</f>
        <v>20800</v>
      </c>
      <c r="G129" s="90">
        <f t="shared" ref="G129:G191" si="2">+D129*F129</f>
        <v>249600</v>
      </c>
      <c r="H129" s="125">
        <v>46133</v>
      </c>
      <c r="I129" s="1" t="s">
        <v>986</v>
      </c>
      <c r="J129" s="1"/>
    </row>
    <row r="130" spans="1:10" customFormat="1" hidden="1">
      <c r="A130" s="1" t="s">
        <v>987</v>
      </c>
      <c r="B130" s="1" t="s">
        <v>32</v>
      </c>
      <c r="C130" s="1" t="s">
        <v>860</v>
      </c>
      <c r="D130" s="1"/>
      <c r="E130" s="1" t="s">
        <v>791</v>
      </c>
      <c r="F130" s="115">
        <f>44060*0.8</f>
        <v>35248</v>
      </c>
      <c r="G130" s="90">
        <f t="shared" si="2"/>
        <v>0</v>
      </c>
      <c r="H130" s="125">
        <v>46133</v>
      </c>
      <c r="I130" s="1" t="s">
        <v>960</v>
      </c>
      <c r="J130" s="1"/>
    </row>
    <row r="131" spans="1:10" customFormat="1" hidden="1">
      <c r="A131" s="96" t="s">
        <v>988</v>
      </c>
      <c r="B131" s="1" t="s">
        <v>32</v>
      </c>
      <c r="C131" s="1" t="s">
        <v>860</v>
      </c>
      <c r="D131" s="96">
        <v>3</v>
      </c>
      <c r="E131" s="1" t="s">
        <v>791</v>
      </c>
      <c r="F131" s="115">
        <f>70080*0.8</f>
        <v>56064</v>
      </c>
      <c r="G131" s="90">
        <f t="shared" si="2"/>
        <v>168192</v>
      </c>
      <c r="H131" s="125">
        <v>46133</v>
      </c>
      <c r="I131" s="1" t="s">
        <v>989</v>
      </c>
      <c r="J131" s="1"/>
    </row>
    <row r="132" spans="1:10" customFormat="1" hidden="1">
      <c r="A132" s="96" t="s">
        <v>990</v>
      </c>
      <c r="B132" s="1" t="s">
        <v>32</v>
      </c>
      <c r="C132" s="1" t="s">
        <v>860</v>
      </c>
      <c r="D132" s="96">
        <v>2</v>
      </c>
      <c r="E132" s="1" t="s">
        <v>791</v>
      </c>
      <c r="F132" s="115">
        <f>179950*0.8</f>
        <v>143960</v>
      </c>
      <c r="G132" s="90">
        <f t="shared" si="2"/>
        <v>287920</v>
      </c>
      <c r="H132" s="125">
        <v>46133</v>
      </c>
      <c r="I132" s="1" t="s">
        <v>960</v>
      </c>
      <c r="J132" s="1"/>
    </row>
    <row r="133" spans="1:10" customFormat="1" hidden="1">
      <c r="A133" s="96" t="s">
        <v>991</v>
      </c>
      <c r="B133" s="1" t="s">
        <v>32</v>
      </c>
      <c r="C133" s="1" t="s">
        <v>887</v>
      </c>
      <c r="D133" s="96">
        <v>5</v>
      </c>
      <c r="E133" s="1" t="s">
        <v>791</v>
      </c>
      <c r="F133" s="115">
        <f>42250*0.8</f>
        <v>33800</v>
      </c>
      <c r="G133" s="90">
        <f t="shared" si="2"/>
        <v>169000</v>
      </c>
      <c r="H133" s="125">
        <v>46133</v>
      </c>
      <c r="I133" s="1" t="s">
        <v>856</v>
      </c>
      <c r="J133" s="1"/>
    </row>
    <row r="134" spans="1:10" customFormat="1" hidden="1">
      <c r="A134" s="96" t="s">
        <v>992</v>
      </c>
      <c r="B134" s="1" t="s">
        <v>32</v>
      </c>
      <c r="C134" s="1" t="s">
        <v>887</v>
      </c>
      <c r="D134" s="96">
        <v>2</v>
      </c>
      <c r="E134" s="1" t="s">
        <v>791</v>
      </c>
      <c r="F134" s="115">
        <f>42550*0.8</f>
        <v>34040</v>
      </c>
      <c r="G134" s="90">
        <f t="shared" si="2"/>
        <v>68080</v>
      </c>
      <c r="H134" s="125">
        <v>46133</v>
      </c>
      <c r="I134" s="1" t="s">
        <v>856</v>
      </c>
      <c r="J134" s="1"/>
    </row>
    <row r="135" spans="1:10" customFormat="1" hidden="1">
      <c r="A135" s="96" t="s">
        <v>993</v>
      </c>
      <c r="B135" s="1" t="s">
        <v>32</v>
      </c>
      <c r="C135" s="1" t="s">
        <v>887</v>
      </c>
      <c r="D135" s="96">
        <v>7</v>
      </c>
      <c r="E135" s="1" t="s">
        <v>791</v>
      </c>
      <c r="F135" s="115">
        <v>34880</v>
      </c>
      <c r="G135" s="90">
        <f t="shared" si="2"/>
        <v>244160</v>
      </c>
      <c r="H135" s="125">
        <v>46133</v>
      </c>
      <c r="I135" s="1" t="s">
        <v>994</v>
      </c>
      <c r="J135" s="1"/>
    </row>
    <row r="136" spans="1:10" customFormat="1" hidden="1">
      <c r="A136" s="96" t="s">
        <v>995</v>
      </c>
      <c r="B136" s="1" t="s">
        <v>32</v>
      </c>
      <c r="C136" s="1" t="s">
        <v>887</v>
      </c>
      <c r="D136" s="96">
        <v>1</v>
      </c>
      <c r="E136" s="1" t="s">
        <v>791</v>
      </c>
      <c r="F136" s="115">
        <v>34880</v>
      </c>
      <c r="G136" s="90">
        <f t="shared" si="2"/>
        <v>34880</v>
      </c>
      <c r="H136" s="125">
        <v>46133</v>
      </c>
      <c r="I136" s="1" t="s">
        <v>994</v>
      </c>
      <c r="J136" s="1"/>
    </row>
    <row r="137" spans="1:10" customFormat="1" hidden="1">
      <c r="A137" s="96" t="s">
        <v>996</v>
      </c>
      <c r="B137" s="1" t="s">
        <v>32</v>
      </c>
      <c r="C137" s="1" t="s">
        <v>887</v>
      </c>
      <c r="D137" s="96">
        <v>1</v>
      </c>
      <c r="E137" s="1" t="s">
        <v>791</v>
      </c>
      <c r="F137" s="115">
        <f>61760*0.8</f>
        <v>49408</v>
      </c>
      <c r="G137" s="90">
        <f t="shared" si="2"/>
        <v>49408</v>
      </c>
      <c r="H137" s="125">
        <v>46133</v>
      </c>
      <c r="I137" s="1" t="s">
        <v>997</v>
      </c>
      <c r="J137" s="1"/>
    </row>
    <row r="138" spans="1:10" customFormat="1" hidden="1">
      <c r="A138" s="96" t="s">
        <v>998</v>
      </c>
      <c r="B138" s="1" t="s">
        <v>32</v>
      </c>
      <c r="C138" s="1" t="s">
        <v>887</v>
      </c>
      <c r="D138" s="96">
        <v>9</v>
      </c>
      <c r="E138" s="1" t="s">
        <v>791</v>
      </c>
      <c r="F138" s="115">
        <v>41520</v>
      </c>
      <c r="G138" s="90">
        <f t="shared" si="2"/>
        <v>373680</v>
      </c>
      <c r="H138" s="125">
        <v>46133</v>
      </c>
      <c r="I138" s="1" t="s">
        <v>999</v>
      </c>
      <c r="J138" s="1"/>
    </row>
    <row r="139" spans="1:10" customFormat="1" hidden="1">
      <c r="A139" s="96" t="s">
        <v>1000</v>
      </c>
      <c r="B139" s="1" t="s">
        <v>32</v>
      </c>
      <c r="C139" s="1" t="s">
        <v>887</v>
      </c>
      <c r="D139" s="96">
        <v>4</v>
      </c>
      <c r="E139" s="1" t="s">
        <v>791</v>
      </c>
      <c r="F139" s="115">
        <f>156890*0.8</f>
        <v>125512</v>
      </c>
      <c r="G139" s="90">
        <f t="shared" si="2"/>
        <v>502048</v>
      </c>
      <c r="H139" s="125">
        <v>46133</v>
      </c>
      <c r="I139" s="119" t="s">
        <v>820</v>
      </c>
      <c r="J139" s="1"/>
    </row>
    <row r="140" spans="1:10" customFormat="1" hidden="1">
      <c r="A140" s="113" t="s">
        <v>1001</v>
      </c>
      <c r="B140" s="114" t="s">
        <v>460</v>
      </c>
      <c r="C140" s="114" t="s">
        <v>819</v>
      </c>
      <c r="D140" s="96">
        <v>2</v>
      </c>
      <c r="E140" s="1" t="s">
        <v>791</v>
      </c>
      <c r="F140" s="115">
        <v>7200</v>
      </c>
      <c r="G140" s="90">
        <f t="shared" si="2"/>
        <v>14400</v>
      </c>
      <c r="H140" s="125">
        <v>46142</v>
      </c>
      <c r="I140" s="1" t="s">
        <v>1002</v>
      </c>
      <c r="J140" s="1"/>
    </row>
    <row r="141" spans="1:10" customFormat="1" hidden="1">
      <c r="A141" s="113" t="s">
        <v>1003</v>
      </c>
      <c r="B141" s="114" t="s">
        <v>460</v>
      </c>
      <c r="C141" s="114" t="s">
        <v>819</v>
      </c>
      <c r="D141" s="96">
        <v>4</v>
      </c>
      <c r="E141" s="1" t="s">
        <v>791</v>
      </c>
      <c r="F141" s="115">
        <v>22500</v>
      </c>
      <c r="G141" s="90">
        <f t="shared" si="2"/>
        <v>90000</v>
      </c>
      <c r="H141" s="125">
        <v>46142</v>
      </c>
      <c r="I141" s="1" t="s">
        <v>967</v>
      </c>
      <c r="J141" s="1"/>
    </row>
    <row r="142" spans="1:10" customFormat="1" hidden="1">
      <c r="A142" s="113" t="s">
        <v>1004</v>
      </c>
      <c r="B142" s="114" t="s">
        <v>460</v>
      </c>
      <c r="C142" s="114" t="s">
        <v>819</v>
      </c>
      <c r="D142" s="96">
        <v>1</v>
      </c>
      <c r="E142" s="1" t="s">
        <v>791</v>
      </c>
      <c r="F142" s="115">
        <f>16810*0.8</f>
        <v>13448</v>
      </c>
      <c r="G142" s="90">
        <f t="shared" si="2"/>
        <v>13448</v>
      </c>
      <c r="H142" s="125">
        <v>46142</v>
      </c>
      <c r="I142" s="119" t="s">
        <v>820</v>
      </c>
      <c r="J142" s="1"/>
    </row>
    <row r="143" spans="1:10" customFormat="1" hidden="1">
      <c r="A143" s="113" t="s">
        <v>1005</v>
      </c>
      <c r="B143" s="114" t="s">
        <v>460</v>
      </c>
      <c r="C143" s="114" t="s">
        <v>819</v>
      </c>
      <c r="D143" s="96">
        <v>4</v>
      </c>
      <c r="E143" s="1" t="s">
        <v>791</v>
      </c>
      <c r="F143" s="115">
        <v>33800</v>
      </c>
      <c r="G143" s="90">
        <f t="shared" si="2"/>
        <v>135200</v>
      </c>
      <c r="H143" s="125">
        <v>46142</v>
      </c>
      <c r="I143" s="1" t="s">
        <v>1006</v>
      </c>
      <c r="J143" s="1"/>
    </row>
    <row r="144" spans="1:10" customFormat="1" hidden="1">
      <c r="A144" s="113" t="s">
        <v>1007</v>
      </c>
      <c r="B144" s="114" t="s">
        <v>460</v>
      </c>
      <c r="C144" s="114" t="s">
        <v>819</v>
      </c>
      <c r="D144" s="96">
        <v>2</v>
      </c>
      <c r="E144" s="1" t="s">
        <v>791</v>
      </c>
      <c r="F144" s="115">
        <f>59650*0.8</f>
        <v>47720</v>
      </c>
      <c r="G144" s="90">
        <f t="shared" si="2"/>
        <v>95440</v>
      </c>
      <c r="H144" s="125">
        <v>46142</v>
      </c>
      <c r="I144" s="119" t="s">
        <v>820</v>
      </c>
      <c r="J144" s="1"/>
    </row>
    <row r="145" spans="1:10" hidden="1">
      <c r="A145" s="157" t="s">
        <v>1008</v>
      </c>
      <c r="B145" s="119" t="s">
        <v>13</v>
      </c>
      <c r="C145" s="119" t="s">
        <v>819</v>
      </c>
      <c r="D145" s="157">
        <v>4</v>
      </c>
      <c r="E145" s="1" t="s">
        <v>791</v>
      </c>
      <c r="F145" s="134">
        <f>49020*0.8</f>
        <v>39216</v>
      </c>
      <c r="G145" s="90">
        <f t="shared" si="2"/>
        <v>156864</v>
      </c>
      <c r="H145" s="158">
        <v>46141</v>
      </c>
      <c r="I145" s="119" t="s">
        <v>820</v>
      </c>
      <c r="J145" s="119"/>
    </row>
    <row r="146" spans="1:10" hidden="1">
      <c r="A146" s="157" t="s">
        <v>1009</v>
      </c>
      <c r="B146" s="119" t="s">
        <v>13</v>
      </c>
      <c r="C146" s="119" t="s">
        <v>819</v>
      </c>
      <c r="D146" s="157">
        <v>6</v>
      </c>
      <c r="E146" s="1" t="s">
        <v>791</v>
      </c>
      <c r="F146" s="134">
        <v>111590</v>
      </c>
      <c r="G146" s="90">
        <f t="shared" si="2"/>
        <v>669540</v>
      </c>
      <c r="H146" s="158">
        <v>46141</v>
      </c>
      <c r="I146" s="119" t="s">
        <v>1010</v>
      </c>
      <c r="J146" s="119"/>
    </row>
    <row r="147" spans="1:10" customFormat="1" hidden="1">
      <c r="A147" s="1" t="s">
        <v>1011</v>
      </c>
      <c r="B147" s="1" t="s">
        <v>321</v>
      </c>
      <c r="C147" s="1"/>
      <c r="D147" s="1">
        <v>1</v>
      </c>
      <c r="E147" s="1" t="s">
        <v>791</v>
      </c>
      <c r="F147" s="90"/>
      <c r="G147" s="90">
        <f t="shared" si="2"/>
        <v>0</v>
      </c>
      <c r="H147" s="61"/>
      <c r="I147" s="109" t="s">
        <v>1012</v>
      </c>
      <c r="J147" s="1"/>
    </row>
    <row r="148" spans="1:10" customFormat="1" hidden="1">
      <c r="A148" s="96" t="s">
        <v>1013</v>
      </c>
      <c r="B148" s="1" t="s">
        <v>172</v>
      </c>
      <c r="C148" s="1" t="s">
        <v>860</v>
      </c>
      <c r="D148" s="96">
        <v>4</v>
      </c>
      <c r="E148" s="1" t="s">
        <v>791</v>
      </c>
      <c r="F148" s="115">
        <v>6636.42</v>
      </c>
      <c r="G148" s="90">
        <f t="shared" si="2"/>
        <v>26545.68</v>
      </c>
      <c r="H148" s="125">
        <v>46148</v>
      </c>
      <c r="I148" s="1" t="s">
        <v>890</v>
      </c>
      <c r="J148" s="1"/>
    </row>
    <row r="149" spans="1:10" customFormat="1" hidden="1">
      <c r="A149" s="96" t="s">
        <v>1014</v>
      </c>
      <c r="B149" s="1" t="s">
        <v>172</v>
      </c>
      <c r="C149" s="1" t="s">
        <v>860</v>
      </c>
      <c r="D149" s="96">
        <v>1</v>
      </c>
      <c r="E149" s="1" t="s">
        <v>791</v>
      </c>
      <c r="F149" s="115">
        <f>9265*0.5</f>
        <v>4632.5</v>
      </c>
      <c r="G149" s="90">
        <f t="shared" si="2"/>
        <v>4632.5</v>
      </c>
      <c r="H149" s="125">
        <v>46148</v>
      </c>
      <c r="I149" s="1" t="s">
        <v>873</v>
      </c>
      <c r="J149" s="1" t="s">
        <v>1015</v>
      </c>
    </row>
    <row r="150" spans="1:10" customFormat="1" hidden="1">
      <c r="A150" s="96" t="s">
        <v>1016</v>
      </c>
      <c r="B150" s="1" t="s">
        <v>172</v>
      </c>
      <c r="C150" s="1" t="s">
        <v>860</v>
      </c>
      <c r="D150" s="96">
        <v>4</v>
      </c>
      <c r="E150" s="1" t="s">
        <v>791</v>
      </c>
      <c r="F150" s="115">
        <v>4679.3100000000004</v>
      </c>
      <c r="G150" s="90">
        <f t="shared" si="2"/>
        <v>18717.240000000002</v>
      </c>
      <c r="H150" s="125">
        <v>46148</v>
      </c>
      <c r="I150" s="1" t="s">
        <v>1017</v>
      </c>
      <c r="J150" s="1"/>
    </row>
    <row r="151" spans="1:10" customFormat="1" hidden="1">
      <c r="A151" s="96" t="s">
        <v>1018</v>
      </c>
      <c r="B151" s="1" t="s">
        <v>172</v>
      </c>
      <c r="C151" s="1" t="s">
        <v>860</v>
      </c>
      <c r="D151" s="96">
        <v>4</v>
      </c>
      <c r="E151" s="1" t="s">
        <v>791</v>
      </c>
      <c r="F151" s="115">
        <v>3299.84</v>
      </c>
      <c r="G151" s="90">
        <f t="shared" si="2"/>
        <v>13199.36</v>
      </c>
      <c r="H151" s="125">
        <v>46148</v>
      </c>
      <c r="I151" s="1" t="s">
        <v>1019</v>
      </c>
      <c r="J151" s="1"/>
    </row>
    <row r="152" spans="1:10" customFormat="1" hidden="1">
      <c r="A152" s="96" t="s">
        <v>1020</v>
      </c>
      <c r="B152" s="1" t="s">
        <v>172</v>
      </c>
      <c r="C152" s="1" t="s">
        <v>860</v>
      </c>
      <c r="D152" s="96">
        <v>1</v>
      </c>
      <c r="E152" s="1" t="s">
        <v>791</v>
      </c>
      <c r="F152" s="115">
        <v>49200</v>
      </c>
      <c r="G152" s="90">
        <f t="shared" si="2"/>
        <v>49200</v>
      </c>
      <c r="H152" s="125">
        <v>46148</v>
      </c>
      <c r="I152" s="1" t="s">
        <v>1021</v>
      </c>
      <c r="J152" s="1"/>
    </row>
    <row r="153" spans="1:10" customFormat="1" hidden="1">
      <c r="A153" s="96" t="s">
        <v>1022</v>
      </c>
      <c r="B153" s="1" t="s">
        <v>32</v>
      </c>
      <c r="C153" s="1" t="s">
        <v>860</v>
      </c>
      <c r="D153" s="96">
        <v>5</v>
      </c>
      <c r="E153" s="1" t="s">
        <v>791</v>
      </c>
      <c r="F153" s="115">
        <f>3350*0.8</f>
        <v>2680</v>
      </c>
      <c r="G153" s="90">
        <f t="shared" si="2"/>
        <v>13400</v>
      </c>
      <c r="H153" s="125">
        <v>46133</v>
      </c>
      <c r="I153" s="1" t="s">
        <v>1023</v>
      </c>
      <c r="J153" s="1"/>
    </row>
    <row r="154" spans="1:10" customFormat="1" hidden="1">
      <c r="A154" s="96" t="s">
        <v>1024</v>
      </c>
      <c r="B154" s="1" t="s">
        <v>32</v>
      </c>
      <c r="C154" s="1" t="s">
        <v>860</v>
      </c>
      <c r="D154" s="96">
        <v>5</v>
      </c>
      <c r="E154" s="1" t="s">
        <v>791</v>
      </c>
      <c r="F154" s="115">
        <f>4556*0.5</f>
        <v>2278</v>
      </c>
      <c r="G154" s="90">
        <f t="shared" si="2"/>
        <v>11390</v>
      </c>
      <c r="H154" s="125">
        <v>46133</v>
      </c>
      <c r="I154" s="1" t="s">
        <v>877</v>
      </c>
      <c r="J154" s="1"/>
    </row>
    <row r="155" spans="1:10" customFormat="1" hidden="1">
      <c r="A155" s="96" t="s">
        <v>1025</v>
      </c>
      <c r="B155" s="1" t="s">
        <v>32</v>
      </c>
      <c r="C155" s="1" t="s">
        <v>860</v>
      </c>
      <c r="D155" s="96">
        <v>1</v>
      </c>
      <c r="E155" s="1" t="s">
        <v>791</v>
      </c>
      <c r="F155" s="115">
        <f>2040*0.8</f>
        <v>1632</v>
      </c>
      <c r="G155" s="90">
        <f t="shared" si="2"/>
        <v>1632</v>
      </c>
      <c r="H155" s="125">
        <v>46133</v>
      </c>
      <c r="I155" s="1" t="s">
        <v>1026</v>
      </c>
      <c r="J155" s="1"/>
    </row>
    <row r="156" spans="1:10" customFormat="1" hidden="1">
      <c r="A156" s="96" t="s">
        <v>1027</v>
      </c>
      <c r="B156" s="1" t="s">
        <v>32</v>
      </c>
      <c r="C156" s="1" t="s">
        <v>860</v>
      </c>
      <c r="D156" s="96">
        <v>1</v>
      </c>
      <c r="E156" s="1" t="s">
        <v>791</v>
      </c>
      <c r="F156" s="115">
        <f>2951*0.48</f>
        <v>1416.48</v>
      </c>
      <c r="G156" s="90">
        <f t="shared" si="2"/>
        <v>1416.48</v>
      </c>
      <c r="H156" s="125">
        <v>46133</v>
      </c>
      <c r="I156" s="1" t="s">
        <v>873</v>
      </c>
      <c r="J156" s="1"/>
    </row>
    <row r="157" spans="1:10" customFormat="1" hidden="1">
      <c r="A157" s="96" t="s">
        <v>1028</v>
      </c>
      <c r="B157" s="1" t="s">
        <v>32</v>
      </c>
      <c r="C157" s="1" t="s">
        <v>860</v>
      </c>
      <c r="D157" s="96">
        <v>4</v>
      </c>
      <c r="E157" s="1" t="s">
        <v>791</v>
      </c>
      <c r="F157" s="115">
        <f>2951*0.48</f>
        <v>1416.48</v>
      </c>
      <c r="G157" s="90">
        <f t="shared" si="2"/>
        <v>5665.92</v>
      </c>
      <c r="H157" s="125">
        <v>46133</v>
      </c>
      <c r="I157" s="1" t="s">
        <v>873</v>
      </c>
      <c r="J157" s="1"/>
    </row>
    <row r="158" spans="1:10" customFormat="1" hidden="1">
      <c r="A158" s="1" t="s">
        <v>1029</v>
      </c>
      <c r="B158" s="1" t="s">
        <v>32</v>
      </c>
      <c r="C158" s="1" t="s">
        <v>860</v>
      </c>
      <c r="D158" s="1"/>
      <c r="E158" s="1" t="s">
        <v>791</v>
      </c>
      <c r="F158" s="90"/>
      <c r="G158" s="90">
        <f t="shared" si="2"/>
        <v>0</v>
      </c>
      <c r="H158" s="125">
        <v>46133</v>
      </c>
      <c r="I158" s="1" t="s">
        <v>873</v>
      </c>
      <c r="J158" s="1"/>
    </row>
    <row r="159" spans="1:10" customFormat="1" hidden="1">
      <c r="A159" s="96" t="s">
        <v>1030</v>
      </c>
      <c r="B159" s="1" t="s">
        <v>32</v>
      </c>
      <c r="C159" s="1" t="s">
        <v>860</v>
      </c>
      <c r="D159" s="96">
        <v>4</v>
      </c>
      <c r="E159" s="1" t="s">
        <v>791</v>
      </c>
      <c r="F159" s="115">
        <f>16406*0.5</f>
        <v>8203</v>
      </c>
      <c r="G159" s="90">
        <f t="shared" si="2"/>
        <v>32812</v>
      </c>
      <c r="H159" s="125">
        <v>46133</v>
      </c>
      <c r="I159" s="1" t="s">
        <v>1031</v>
      </c>
      <c r="J159" s="1"/>
    </row>
    <row r="160" spans="1:10" customFormat="1" hidden="1">
      <c r="A160" s="96" t="s">
        <v>1032</v>
      </c>
      <c r="B160" s="1" t="s">
        <v>32</v>
      </c>
      <c r="C160" s="1" t="s">
        <v>860</v>
      </c>
      <c r="D160" s="96">
        <v>10</v>
      </c>
      <c r="E160" s="1" t="s">
        <v>791</v>
      </c>
      <c r="F160" s="115">
        <f>4680*0.8</f>
        <v>3744</v>
      </c>
      <c r="G160" s="90">
        <f t="shared" si="2"/>
        <v>37440</v>
      </c>
      <c r="H160" s="125">
        <v>46133</v>
      </c>
      <c r="I160" s="1" t="s">
        <v>1033</v>
      </c>
      <c r="J160" s="1"/>
    </row>
    <row r="161" spans="1:10" customFormat="1" hidden="1">
      <c r="A161" s="96" t="s">
        <v>1034</v>
      </c>
      <c r="B161" s="1" t="s">
        <v>32</v>
      </c>
      <c r="C161" s="1" t="s">
        <v>860</v>
      </c>
      <c r="D161" s="96">
        <v>13</v>
      </c>
      <c r="E161" s="1" t="s">
        <v>791</v>
      </c>
      <c r="F161" s="115">
        <f>6965*0.5</f>
        <v>3482.5</v>
      </c>
      <c r="G161" s="90">
        <f t="shared" si="2"/>
        <v>45272.5</v>
      </c>
      <c r="H161" s="125">
        <v>46133</v>
      </c>
      <c r="I161" s="1" t="s">
        <v>1035</v>
      </c>
      <c r="J161" s="1"/>
    </row>
    <row r="162" spans="1:10" customFormat="1" hidden="1">
      <c r="A162" s="96" t="s">
        <v>1036</v>
      </c>
      <c r="B162" s="1" t="s">
        <v>32</v>
      </c>
      <c r="C162" s="1" t="s">
        <v>860</v>
      </c>
      <c r="D162" s="96">
        <v>5</v>
      </c>
      <c r="E162" s="1" t="s">
        <v>791</v>
      </c>
      <c r="F162" s="115">
        <f>5250*0.8</f>
        <v>4200</v>
      </c>
      <c r="G162" s="90">
        <f t="shared" si="2"/>
        <v>21000</v>
      </c>
      <c r="H162" s="125">
        <v>46133</v>
      </c>
      <c r="I162" s="1" t="s">
        <v>822</v>
      </c>
      <c r="J162" s="1"/>
    </row>
    <row r="163" spans="1:10" customFormat="1" hidden="1">
      <c r="A163" s="96" t="s">
        <v>1037</v>
      </c>
      <c r="B163" s="1" t="s">
        <v>32</v>
      </c>
      <c r="C163" s="1" t="s">
        <v>860</v>
      </c>
      <c r="D163" s="96">
        <v>6</v>
      </c>
      <c r="E163" s="1" t="s">
        <v>791</v>
      </c>
      <c r="F163" s="115">
        <f>772*0.48</f>
        <v>370.56</v>
      </c>
      <c r="G163" s="90">
        <f t="shared" si="2"/>
        <v>2223.36</v>
      </c>
      <c r="H163" s="125">
        <v>46133</v>
      </c>
      <c r="I163" s="1" t="s">
        <v>873</v>
      </c>
      <c r="J163" s="1"/>
    </row>
    <row r="164" spans="1:10" customFormat="1" hidden="1">
      <c r="A164" s="1" t="s">
        <v>1038</v>
      </c>
      <c r="B164" s="1" t="s">
        <v>32</v>
      </c>
      <c r="C164" s="1" t="s">
        <v>860</v>
      </c>
      <c r="D164" s="1"/>
      <c r="E164" s="1" t="s">
        <v>791</v>
      </c>
      <c r="F164" s="90"/>
      <c r="G164" s="90">
        <f t="shared" si="2"/>
        <v>0</v>
      </c>
      <c r="H164" s="125">
        <v>46133</v>
      </c>
      <c r="I164" s="1">
        <v>0</v>
      </c>
      <c r="J164" s="1"/>
    </row>
    <row r="165" spans="1:10" customFormat="1" hidden="1">
      <c r="A165" s="96" t="s">
        <v>1039</v>
      </c>
      <c r="B165" s="1" t="s">
        <v>32</v>
      </c>
      <c r="C165" s="1" t="s">
        <v>860</v>
      </c>
      <c r="D165" s="96">
        <v>6</v>
      </c>
      <c r="E165" s="1" t="s">
        <v>791</v>
      </c>
      <c r="F165" s="115">
        <f>18420*0.8</f>
        <v>14736</v>
      </c>
      <c r="G165" s="90">
        <f t="shared" si="2"/>
        <v>88416</v>
      </c>
      <c r="H165" s="125">
        <v>46133</v>
      </c>
      <c r="I165" s="1" t="s">
        <v>1040</v>
      </c>
      <c r="J165" s="1"/>
    </row>
    <row r="166" spans="1:10" customFormat="1" hidden="1">
      <c r="A166" s="96" t="s">
        <v>1041</v>
      </c>
      <c r="B166" s="1" t="s">
        <v>32</v>
      </c>
      <c r="C166" s="1" t="s">
        <v>860</v>
      </c>
      <c r="D166" s="96">
        <v>1</v>
      </c>
      <c r="E166" s="1" t="s">
        <v>791</v>
      </c>
      <c r="F166" s="115">
        <f>90000*0.8</f>
        <v>72000</v>
      </c>
      <c r="G166" s="90">
        <f t="shared" si="2"/>
        <v>72000</v>
      </c>
      <c r="H166" s="125">
        <v>46133</v>
      </c>
      <c r="I166" s="1" t="s">
        <v>1006</v>
      </c>
      <c r="J166" s="1"/>
    </row>
    <row r="167" spans="1:10" customFormat="1" hidden="1">
      <c r="A167" s="96" t="s">
        <v>1042</v>
      </c>
      <c r="B167" s="1" t="s">
        <v>32</v>
      </c>
      <c r="C167" s="1" t="s">
        <v>860</v>
      </c>
      <c r="D167" s="96">
        <v>1</v>
      </c>
      <c r="E167" s="1" t="s">
        <v>791</v>
      </c>
      <c r="F167" s="115">
        <f>90000*0.8</f>
        <v>72000</v>
      </c>
      <c r="G167" s="90">
        <f t="shared" si="2"/>
        <v>72000</v>
      </c>
      <c r="H167" s="125">
        <v>46133</v>
      </c>
      <c r="I167" s="1" t="s">
        <v>967</v>
      </c>
      <c r="J167" s="1"/>
    </row>
    <row r="168" spans="1:10" customFormat="1" hidden="1">
      <c r="A168" s="96" t="s">
        <v>1043</v>
      </c>
      <c r="B168" s="1" t="s">
        <v>32</v>
      </c>
      <c r="C168" s="1" t="s">
        <v>887</v>
      </c>
      <c r="D168" s="96">
        <v>1</v>
      </c>
      <c r="E168" s="1" t="s">
        <v>791</v>
      </c>
      <c r="F168" s="115">
        <v>18400</v>
      </c>
      <c r="G168" s="90">
        <f t="shared" si="2"/>
        <v>18400</v>
      </c>
      <c r="H168" s="125">
        <v>46133</v>
      </c>
      <c r="I168" s="1" t="s">
        <v>1044</v>
      </c>
      <c r="J168" s="1"/>
    </row>
    <row r="169" spans="1:10" customFormat="1" hidden="1">
      <c r="A169" s="96" t="s">
        <v>1045</v>
      </c>
      <c r="B169" s="1" t="s">
        <v>32</v>
      </c>
      <c r="C169" s="1" t="s">
        <v>887</v>
      </c>
      <c r="D169" s="96">
        <v>2</v>
      </c>
      <c r="E169" s="1" t="s">
        <v>791</v>
      </c>
      <c r="F169" s="115">
        <v>13440</v>
      </c>
      <c r="G169" s="90">
        <f t="shared" si="2"/>
        <v>26880</v>
      </c>
      <c r="H169" s="125">
        <v>46133</v>
      </c>
      <c r="I169" s="1" t="s">
        <v>908</v>
      </c>
      <c r="J169" s="1"/>
    </row>
    <row r="170" spans="1:10" customFormat="1" hidden="1">
      <c r="A170" s="96" t="s">
        <v>1046</v>
      </c>
      <c r="B170" s="1" t="s">
        <v>32</v>
      </c>
      <c r="C170" s="1" t="s">
        <v>887</v>
      </c>
      <c r="D170" s="96">
        <v>1</v>
      </c>
      <c r="E170" s="1" t="s">
        <v>791</v>
      </c>
      <c r="F170" s="115">
        <f>22670*0.8</f>
        <v>18136</v>
      </c>
      <c r="G170" s="90">
        <f t="shared" si="2"/>
        <v>18136</v>
      </c>
      <c r="H170" s="125">
        <v>46133</v>
      </c>
      <c r="I170" s="1" t="s">
        <v>910</v>
      </c>
      <c r="J170" s="1"/>
    </row>
    <row r="171" spans="1:10" customFormat="1" hidden="1">
      <c r="A171" s="96" t="s">
        <v>1047</v>
      </c>
      <c r="B171" s="1" t="s">
        <v>360</v>
      </c>
      <c r="C171" s="1" t="s">
        <v>860</v>
      </c>
      <c r="D171" s="96">
        <v>4</v>
      </c>
      <c r="E171" s="1" t="s">
        <v>791</v>
      </c>
      <c r="F171" s="115">
        <f>4556*0.5</f>
        <v>2278</v>
      </c>
      <c r="G171" s="90">
        <f t="shared" si="2"/>
        <v>9112</v>
      </c>
      <c r="H171" s="125">
        <v>46133</v>
      </c>
      <c r="I171" s="1" t="s">
        <v>877</v>
      </c>
      <c r="J171" s="1"/>
    </row>
    <row r="172" spans="1:10" customFormat="1" hidden="1">
      <c r="A172" s="96" t="s">
        <v>1048</v>
      </c>
      <c r="B172" s="1" t="s">
        <v>360</v>
      </c>
      <c r="C172" s="1" t="s">
        <v>860</v>
      </c>
      <c r="D172" s="96">
        <v>18</v>
      </c>
      <c r="E172" s="1" t="s">
        <v>791</v>
      </c>
      <c r="F172" s="115">
        <f>3380*0.8</f>
        <v>2704</v>
      </c>
      <c r="G172" s="90">
        <f t="shared" si="2"/>
        <v>48672</v>
      </c>
      <c r="H172" s="125">
        <v>46133</v>
      </c>
      <c r="I172" s="1" t="s">
        <v>1049</v>
      </c>
      <c r="J172" s="1"/>
    </row>
    <row r="173" spans="1:10" customFormat="1" hidden="1">
      <c r="A173" s="96" t="s">
        <v>1050</v>
      </c>
      <c r="B173" s="1" t="s">
        <v>360</v>
      </c>
      <c r="C173" s="1" t="s">
        <v>860</v>
      </c>
      <c r="D173" s="96">
        <v>2</v>
      </c>
      <c r="E173" s="1" t="s">
        <v>791</v>
      </c>
      <c r="F173" s="115">
        <f>12710*0.8</f>
        <v>10168</v>
      </c>
      <c r="G173" s="90">
        <f t="shared" si="2"/>
        <v>20336</v>
      </c>
      <c r="H173" s="125">
        <v>46133</v>
      </c>
      <c r="I173" s="1" t="s">
        <v>1049</v>
      </c>
      <c r="J173" s="1"/>
    </row>
    <row r="174" spans="1:10" customFormat="1" hidden="1">
      <c r="A174" s="96" t="s">
        <v>1051</v>
      </c>
      <c r="B174" s="1" t="s">
        <v>360</v>
      </c>
      <c r="C174" s="1" t="s">
        <v>860</v>
      </c>
      <c r="D174" s="96">
        <v>4</v>
      </c>
      <c r="E174" s="1" t="s">
        <v>791</v>
      </c>
      <c r="F174" s="115">
        <f>4570*0.8</f>
        <v>3656</v>
      </c>
      <c r="G174" s="90">
        <f t="shared" si="2"/>
        <v>14624</v>
      </c>
      <c r="H174" s="125">
        <v>46133</v>
      </c>
      <c r="I174" s="1" t="s">
        <v>1052</v>
      </c>
      <c r="J174" s="1"/>
    </row>
    <row r="175" spans="1:10" customFormat="1" hidden="1">
      <c r="A175" s="96" t="s">
        <v>1053</v>
      </c>
      <c r="B175" s="1" t="s">
        <v>360</v>
      </c>
      <c r="C175" s="1" t="s">
        <v>860</v>
      </c>
      <c r="D175" s="96">
        <v>3</v>
      </c>
      <c r="E175" s="1" t="s">
        <v>791</v>
      </c>
      <c r="F175" s="115">
        <f>6965*0.48</f>
        <v>3343.2</v>
      </c>
      <c r="G175" s="90">
        <f t="shared" si="2"/>
        <v>10029.599999999999</v>
      </c>
      <c r="H175" s="125">
        <v>46133</v>
      </c>
      <c r="I175" s="1" t="s">
        <v>873</v>
      </c>
      <c r="J175" s="1"/>
    </row>
    <row r="176" spans="1:10" customFormat="1" hidden="1">
      <c r="A176" s="96" t="s">
        <v>1054</v>
      </c>
      <c r="B176" s="1" t="s">
        <v>360</v>
      </c>
      <c r="C176" s="1" t="s">
        <v>860</v>
      </c>
      <c r="D176" s="96">
        <v>8</v>
      </c>
      <c r="E176" s="1" t="s">
        <v>791</v>
      </c>
      <c r="F176" s="115">
        <f>29250*0.8</f>
        <v>23400</v>
      </c>
      <c r="G176" s="90">
        <f t="shared" si="2"/>
        <v>187200</v>
      </c>
      <c r="H176" s="125">
        <v>46133</v>
      </c>
      <c r="I176" s="1" t="s">
        <v>1055</v>
      </c>
      <c r="J176" s="1"/>
    </row>
    <row r="177" spans="1:10" customFormat="1" hidden="1">
      <c r="A177" s="96" t="s">
        <v>1056</v>
      </c>
      <c r="B177" s="1" t="s">
        <v>32</v>
      </c>
      <c r="C177" s="1" t="s">
        <v>860</v>
      </c>
      <c r="D177" s="96">
        <v>4</v>
      </c>
      <c r="E177" s="1" t="s">
        <v>791</v>
      </c>
      <c r="F177" s="115">
        <f>39556*0.55</f>
        <v>21755.800000000003</v>
      </c>
      <c r="G177" s="90">
        <f t="shared" si="2"/>
        <v>87023.200000000012</v>
      </c>
      <c r="H177" s="125">
        <v>46133</v>
      </c>
      <c r="I177" s="1" t="s">
        <v>967</v>
      </c>
      <c r="J177" s="1"/>
    </row>
    <row r="178" spans="1:10" customFormat="1" hidden="1">
      <c r="A178" s="96" t="s">
        <v>1057</v>
      </c>
      <c r="B178" s="1" t="s">
        <v>360</v>
      </c>
      <c r="C178" s="1" t="s">
        <v>860</v>
      </c>
      <c r="D178" s="96">
        <v>5</v>
      </c>
      <c r="E178" s="1" t="s">
        <v>791</v>
      </c>
      <c r="F178" s="115">
        <f>29050*0.8</f>
        <v>23240</v>
      </c>
      <c r="G178" s="90">
        <f t="shared" si="2"/>
        <v>116200</v>
      </c>
      <c r="H178" s="125">
        <v>46133</v>
      </c>
      <c r="I178" s="1" t="s">
        <v>1049</v>
      </c>
      <c r="J178" s="1"/>
    </row>
    <row r="179" spans="1:10" customFormat="1" hidden="1">
      <c r="A179" s="96" t="s">
        <v>1058</v>
      </c>
      <c r="B179" s="1" t="s">
        <v>193</v>
      </c>
      <c r="C179" s="1" t="s">
        <v>1059</v>
      </c>
      <c r="D179" s="96">
        <v>2</v>
      </c>
      <c r="E179" s="1" t="s">
        <v>791</v>
      </c>
      <c r="F179" s="115">
        <f>12263*0.48</f>
        <v>5886.24</v>
      </c>
      <c r="G179" s="90">
        <f t="shared" si="2"/>
        <v>11772.48</v>
      </c>
      <c r="H179" s="125">
        <v>46146</v>
      </c>
      <c r="I179" s="1" t="s">
        <v>873</v>
      </c>
      <c r="J179" s="1"/>
    </row>
    <row r="180" spans="1:10" customFormat="1" hidden="1">
      <c r="A180" s="96" t="s">
        <v>1060</v>
      </c>
      <c r="B180" s="1" t="s">
        <v>193</v>
      </c>
      <c r="C180" s="1" t="s">
        <v>1059</v>
      </c>
      <c r="D180" s="96">
        <v>3</v>
      </c>
      <c r="E180" s="1" t="s">
        <v>791</v>
      </c>
      <c r="F180" s="115">
        <f>12263*0.48</f>
        <v>5886.24</v>
      </c>
      <c r="G180" s="90">
        <f t="shared" si="2"/>
        <v>17658.72</v>
      </c>
      <c r="H180" s="125">
        <v>46146</v>
      </c>
      <c r="I180" s="1" t="s">
        <v>873</v>
      </c>
      <c r="J180" s="1"/>
    </row>
    <row r="181" spans="1:10" customFormat="1" hidden="1">
      <c r="A181" s="96" t="s">
        <v>1061</v>
      </c>
      <c r="B181" s="1" t="s">
        <v>193</v>
      </c>
      <c r="C181" s="1" t="s">
        <v>1059</v>
      </c>
      <c r="D181" s="96">
        <v>4</v>
      </c>
      <c r="E181" s="1" t="s">
        <v>791</v>
      </c>
      <c r="F181" s="115">
        <f>46109*0.48</f>
        <v>22132.32</v>
      </c>
      <c r="G181" s="90">
        <f t="shared" si="2"/>
        <v>88529.279999999999</v>
      </c>
      <c r="H181" s="125">
        <v>46146</v>
      </c>
      <c r="I181" s="1" t="s">
        <v>873</v>
      </c>
      <c r="J181" s="1"/>
    </row>
    <row r="182" spans="1:10" customFormat="1" hidden="1">
      <c r="A182" s="96" t="s">
        <v>1062</v>
      </c>
      <c r="B182" s="1" t="s">
        <v>830</v>
      </c>
      <c r="C182" s="1" t="s">
        <v>831</v>
      </c>
      <c r="D182" s="96">
        <v>46</v>
      </c>
      <c r="E182" s="1" t="s">
        <v>791</v>
      </c>
      <c r="F182" s="115">
        <v>1740</v>
      </c>
      <c r="G182" s="90">
        <f t="shared" si="2"/>
        <v>80040</v>
      </c>
      <c r="H182" s="125">
        <v>46146</v>
      </c>
      <c r="I182" s="1" t="s">
        <v>1063</v>
      </c>
      <c r="J182" s="1"/>
    </row>
    <row r="183" spans="1:10" customFormat="1" hidden="1">
      <c r="A183" s="1" t="s">
        <v>1064</v>
      </c>
      <c r="B183" s="1" t="s">
        <v>368</v>
      </c>
      <c r="C183" s="1"/>
      <c r="D183" s="1"/>
      <c r="E183" s="1" t="s">
        <v>791</v>
      </c>
      <c r="F183" s="90"/>
      <c r="G183" s="90">
        <f t="shared" si="2"/>
        <v>0</v>
      </c>
      <c r="H183" s="61"/>
      <c r="I183" s="1"/>
      <c r="J183" s="1"/>
    </row>
    <row r="184" spans="1:10" customFormat="1" hidden="1">
      <c r="A184" s="96" t="s">
        <v>1065</v>
      </c>
      <c r="B184" s="1" t="s">
        <v>32</v>
      </c>
      <c r="C184" s="1" t="s">
        <v>860</v>
      </c>
      <c r="D184" s="96">
        <v>12</v>
      </c>
      <c r="E184" s="1" t="s">
        <v>791</v>
      </c>
      <c r="F184" s="115">
        <f>6265*0.48</f>
        <v>3007.2</v>
      </c>
      <c r="G184" s="90">
        <f t="shared" si="2"/>
        <v>36086.399999999994</v>
      </c>
      <c r="H184" s="125">
        <v>46133</v>
      </c>
      <c r="I184" s="1" t="s">
        <v>873</v>
      </c>
      <c r="J184" s="1"/>
    </row>
    <row r="185" spans="1:10" customFormat="1" hidden="1">
      <c r="A185" s="96" t="s">
        <v>1066</v>
      </c>
      <c r="B185" s="1" t="s">
        <v>32</v>
      </c>
      <c r="C185" s="1" t="s">
        <v>860</v>
      </c>
      <c r="D185" s="96">
        <v>9</v>
      </c>
      <c r="E185" s="1" t="s">
        <v>791</v>
      </c>
      <c r="F185" s="115">
        <f>6265*0.48</f>
        <v>3007.2</v>
      </c>
      <c r="G185" s="90">
        <f t="shared" si="2"/>
        <v>27064.799999999999</v>
      </c>
      <c r="H185" s="125">
        <v>46133</v>
      </c>
      <c r="I185" s="1" t="s">
        <v>873</v>
      </c>
      <c r="J185" s="1"/>
    </row>
    <row r="186" spans="1:10" customFormat="1" hidden="1">
      <c r="A186" s="96" t="s">
        <v>1067</v>
      </c>
      <c r="B186" s="1" t="s">
        <v>32</v>
      </c>
      <c r="C186" s="1" t="s">
        <v>860</v>
      </c>
      <c r="D186" s="96">
        <v>4</v>
      </c>
      <c r="E186" s="1" t="s">
        <v>791</v>
      </c>
      <c r="F186" s="115">
        <f>4680*0.8</f>
        <v>3744</v>
      </c>
      <c r="G186" s="90">
        <f t="shared" si="2"/>
        <v>14976</v>
      </c>
      <c r="H186" s="125">
        <v>46133</v>
      </c>
      <c r="I186" s="1" t="s">
        <v>1049</v>
      </c>
      <c r="J186" s="1"/>
    </row>
    <row r="187" spans="1:10" customFormat="1" hidden="1">
      <c r="A187" s="96" t="s">
        <v>1068</v>
      </c>
      <c r="B187" s="1" t="s">
        <v>32</v>
      </c>
      <c r="C187" s="1" t="s">
        <v>860</v>
      </c>
      <c r="D187" s="96">
        <v>8</v>
      </c>
      <c r="E187" s="1" t="s">
        <v>791</v>
      </c>
      <c r="F187" s="115">
        <f>5259*0.48</f>
        <v>2524.3199999999997</v>
      </c>
      <c r="G187" s="90">
        <f t="shared" si="2"/>
        <v>20194.559999999998</v>
      </c>
      <c r="H187" s="125">
        <v>46133</v>
      </c>
      <c r="I187" s="1" t="s">
        <v>873</v>
      </c>
      <c r="J187" s="1"/>
    </row>
    <row r="188" spans="1:10" customFormat="1" hidden="1">
      <c r="A188" s="96" t="s">
        <v>1069</v>
      </c>
      <c r="B188" s="1" t="s">
        <v>32</v>
      </c>
      <c r="C188" s="1" t="s">
        <v>860</v>
      </c>
      <c r="D188" s="96">
        <v>1</v>
      </c>
      <c r="E188" s="1" t="s">
        <v>791</v>
      </c>
      <c r="F188" s="115">
        <f>5259*0.48</f>
        <v>2524.3199999999997</v>
      </c>
      <c r="G188" s="90">
        <f t="shared" si="2"/>
        <v>2524.3199999999997</v>
      </c>
      <c r="H188" s="125">
        <v>46133</v>
      </c>
      <c r="I188" s="1" t="s">
        <v>873</v>
      </c>
      <c r="J188" s="1"/>
    </row>
    <row r="189" spans="1:10" customFormat="1" hidden="1">
      <c r="A189" s="96" t="s">
        <v>1070</v>
      </c>
      <c r="B189" s="1" t="s">
        <v>32</v>
      </c>
      <c r="C189" s="1" t="s">
        <v>860</v>
      </c>
      <c r="D189" s="96">
        <v>15</v>
      </c>
      <c r="E189" s="1" t="s">
        <v>791</v>
      </c>
      <c r="F189" s="115">
        <f>3134*0.48</f>
        <v>1504.32</v>
      </c>
      <c r="G189" s="90">
        <f t="shared" si="2"/>
        <v>22564.799999999999</v>
      </c>
      <c r="H189" s="125">
        <v>46133</v>
      </c>
      <c r="I189" s="1" t="s">
        <v>873</v>
      </c>
      <c r="J189" s="1"/>
    </row>
    <row r="190" spans="1:10" customFormat="1" hidden="1">
      <c r="A190" s="96" t="s">
        <v>1071</v>
      </c>
      <c r="B190" s="1" t="s">
        <v>32</v>
      </c>
      <c r="C190" s="1" t="s">
        <v>860</v>
      </c>
      <c r="D190" s="96">
        <v>4</v>
      </c>
      <c r="E190" s="1" t="s">
        <v>791</v>
      </c>
      <c r="F190" s="115">
        <f>3134*0.55</f>
        <v>1723.7</v>
      </c>
      <c r="G190" s="90">
        <f t="shared" si="2"/>
        <v>6894.8</v>
      </c>
      <c r="H190" s="125">
        <v>46133</v>
      </c>
      <c r="I190" s="1" t="s">
        <v>1072</v>
      </c>
      <c r="J190" s="1"/>
    </row>
    <row r="191" spans="1:10" customFormat="1" hidden="1">
      <c r="A191" s="96" t="s">
        <v>1073</v>
      </c>
      <c r="B191" s="1" t="s">
        <v>32</v>
      </c>
      <c r="C191" s="1" t="s">
        <v>860</v>
      </c>
      <c r="D191" s="96">
        <v>15</v>
      </c>
      <c r="E191" s="1" t="s">
        <v>791</v>
      </c>
      <c r="F191" s="115">
        <f>10078*0.48</f>
        <v>4837.4399999999996</v>
      </c>
      <c r="G191" s="90">
        <f t="shared" si="2"/>
        <v>72561.599999999991</v>
      </c>
      <c r="H191" s="125">
        <v>46133</v>
      </c>
      <c r="I191" s="1" t="s">
        <v>873</v>
      </c>
      <c r="J191" s="1"/>
    </row>
    <row r="192" spans="1:10" customFormat="1" hidden="1">
      <c r="A192" s="96" t="s">
        <v>1074</v>
      </c>
      <c r="B192" s="1" t="s">
        <v>32</v>
      </c>
      <c r="C192" s="1" t="s">
        <v>860</v>
      </c>
      <c r="D192" s="96">
        <v>15</v>
      </c>
      <c r="E192" s="1" t="s">
        <v>791</v>
      </c>
      <c r="F192" s="115">
        <f>7320*0.8</f>
        <v>5856</v>
      </c>
      <c r="G192" s="90">
        <f t="shared" ref="G192:G258" si="3">+D192*F192</f>
        <v>87840</v>
      </c>
      <c r="H192" s="125">
        <v>46133</v>
      </c>
      <c r="I192" s="1" t="s">
        <v>1075</v>
      </c>
      <c r="J192" s="1"/>
    </row>
    <row r="193" spans="1:10" customFormat="1" hidden="1">
      <c r="A193" s="96" t="s">
        <v>1076</v>
      </c>
      <c r="B193" s="1" t="s">
        <v>32</v>
      </c>
      <c r="C193" s="1" t="s">
        <v>860</v>
      </c>
      <c r="D193" s="96">
        <v>5</v>
      </c>
      <c r="E193" s="1" t="s">
        <v>791</v>
      </c>
      <c r="F193" s="115">
        <f>10078*2.55</f>
        <v>25698.899999999998</v>
      </c>
      <c r="G193" s="90">
        <f t="shared" si="3"/>
        <v>128494.49999999999</v>
      </c>
      <c r="H193" s="125">
        <v>46133</v>
      </c>
      <c r="I193" s="1" t="s">
        <v>1072</v>
      </c>
      <c r="J193" s="1"/>
    </row>
    <row r="194" spans="1:10" customFormat="1" hidden="1">
      <c r="A194" s="96" t="s">
        <v>1077</v>
      </c>
      <c r="B194" s="1" t="s">
        <v>32</v>
      </c>
      <c r="C194" s="1" t="s">
        <v>860</v>
      </c>
      <c r="D194" s="96">
        <v>5</v>
      </c>
      <c r="E194" s="1" t="s">
        <v>791</v>
      </c>
      <c r="F194" s="115">
        <f>7390*0.8</f>
        <v>5912</v>
      </c>
      <c r="G194" s="90">
        <f t="shared" si="3"/>
        <v>29560</v>
      </c>
      <c r="H194" s="125">
        <v>46133</v>
      </c>
      <c r="I194" s="1" t="s">
        <v>1049</v>
      </c>
      <c r="J194" s="1"/>
    </row>
    <row r="195" spans="1:10" customFormat="1" hidden="1">
      <c r="A195" s="96" t="s">
        <v>1078</v>
      </c>
      <c r="B195" s="1" t="s">
        <v>32</v>
      </c>
      <c r="C195" s="1" t="s">
        <v>887</v>
      </c>
      <c r="D195" s="96">
        <v>1</v>
      </c>
      <c r="E195" s="1" t="s">
        <v>791</v>
      </c>
      <c r="F195" s="115">
        <v>13440</v>
      </c>
      <c r="G195" s="90">
        <f t="shared" si="3"/>
        <v>13440</v>
      </c>
      <c r="H195" s="125">
        <v>46133</v>
      </c>
      <c r="I195" s="1" t="s">
        <v>908</v>
      </c>
      <c r="J195" s="1"/>
    </row>
    <row r="196" spans="1:10" customFormat="1" hidden="1">
      <c r="A196" s="96" t="s">
        <v>1079</v>
      </c>
      <c r="B196" s="1" t="s">
        <v>32</v>
      </c>
      <c r="C196" s="1" t="s">
        <v>887</v>
      </c>
      <c r="D196" s="96">
        <v>1</v>
      </c>
      <c r="E196" s="1" t="s">
        <v>791</v>
      </c>
      <c r="F196" s="115">
        <v>18400</v>
      </c>
      <c r="G196" s="90">
        <f t="shared" si="3"/>
        <v>18400</v>
      </c>
      <c r="H196" s="125">
        <v>46133</v>
      </c>
      <c r="I196" s="1" t="s">
        <v>1044</v>
      </c>
      <c r="J196" s="1"/>
    </row>
    <row r="197" spans="1:10" customFormat="1" hidden="1">
      <c r="A197" s="96" t="s">
        <v>1080</v>
      </c>
      <c r="B197" s="1" t="s">
        <v>32</v>
      </c>
      <c r="C197" s="1" t="s">
        <v>860</v>
      </c>
      <c r="D197" s="96">
        <v>16</v>
      </c>
      <c r="E197" s="1" t="s">
        <v>791</v>
      </c>
      <c r="F197" s="115">
        <f>1000*0.8</f>
        <v>800</v>
      </c>
      <c r="G197" s="90">
        <f t="shared" si="3"/>
        <v>12800</v>
      </c>
      <c r="H197" s="125">
        <v>46133</v>
      </c>
      <c r="I197" s="1" t="s">
        <v>1040</v>
      </c>
      <c r="J197" s="1"/>
    </row>
    <row r="198" spans="1:10" customFormat="1" hidden="1">
      <c r="A198" s="96" t="s">
        <v>1081</v>
      </c>
      <c r="B198" s="1" t="s">
        <v>360</v>
      </c>
      <c r="C198" s="1" t="s">
        <v>860</v>
      </c>
      <c r="D198" s="96">
        <v>21</v>
      </c>
      <c r="E198" s="1" t="s">
        <v>791</v>
      </c>
      <c r="F198" s="115">
        <f>1798*0.48</f>
        <v>863.04</v>
      </c>
      <c r="G198" s="90">
        <f t="shared" si="3"/>
        <v>18123.84</v>
      </c>
      <c r="H198" s="125">
        <v>46133</v>
      </c>
      <c r="I198" s="1" t="s">
        <v>873</v>
      </c>
      <c r="J198" s="1"/>
    </row>
    <row r="199" spans="1:10" customFormat="1" hidden="1">
      <c r="A199" s="96" t="s">
        <v>1082</v>
      </c>
      <c r="B199" s="1" t="s">
        <v>32</v>
      </c>
      <c r="C199" s="1" t="s">
        <v>860</v>
      </c>
      <c r="D199" s="96">
        <v>9</v>
      </c>
      <c r="E199" s="1" t="s">
        <v>791</v>
      </c>
      <c r="F199" s="115">
        <f>66217*0.8</f>
        <v>52973.600000000006</v>
      </c>
      <c r="G199" s="90">
        <f t="shared" si="3"/>
        <v>476762.4</v>
      </c>
      <c r="H199" s="125">
        <v>46133</v>
      </c>
      <c r="I199" s="1" t="s">
        <v>1083</v>
      </c>
      <c r="J199" s="1"/>
    </row>
    <row r="200" spans="1:10" customFormat="1" hidden="1">
      <c r="A200" s="96" t="s">
        <v>1084</v>
      </c>
      <c r="B200" s="1" t="s">
        <v>368</v>
      </c>
      <c r="C200" s="1"/>
      <c r="D200" s="96">
        <v>2</v>
      </c>
      <c r="E200" s="1" t="s">
        <v>791</v>
      </c>
      <c r="F200" s="115">
        <v>28978</v>
      </c>
      <c r="G200" s="90">
        <f t="shared" si="3"/>
        <v>57956</v>
      </c>
      <c r="H200" s="125">
        <v>46198</v>
      </c>
      <c r="I200" s="1" t="s">
        <v>1085</v>
      </c>
      <c r="J200" s="1"/>
    </row>
    <row r="201" spans="1:10" customFormat="1" hidden="1">
      <c r="A201" s="96" t="s">
        <v>1086</v>
      </c>
      <c r="B201" s="1" t="s">
        <v>321</v>
      </c>
      <c r="C201" s="1"/>
      <c r="D201" s="96">
        <v>2</v>
      </c>
      <c r="E201" s="1" t="s">
        <v>791</v>
      </c>
      <c r="F201" s="115">
        <v>20724</v>
      </c>
      <c r="G201" s="90">
        <f t="shared" si="3"/>
        <v>41448</v>
      </c>
      <c r="H201" s="125">
        <v>46198</v>
      </c>
      <c r="I201" s="114" t="s">
        <v>1087</v>
      </c>
      <c r="J201" s="1" t="s">
        <v>1088</v>
      </c>
    </row>
    <row r="202" spans="1:10" hidden="1">
      <c r="A202" s="157" t="s">
        <v>1089</v>
      </c>
      <c r="B202" s="119" t="s">
        <v>915</v>
      </c>
      <c r="C202" s="119"/>
      <c r="D202" s="157">
        <v>3</v>
      </c>
      <c r="E202" s="1" t="s">
        <v>791</v>
      </c>
      <c r="F202" s="122">
        <f>2625*0.8</f>
        <v>2100</v>
      </c>
      <c r="G202" s="133">
        <f t="shared" si="3"/>
        <v>6300</v>
      </c>
      <c r="H202" s="160"/>
      <c r="I202" s="119" t="s">
        <v>820</v>
      </c>
      <c r="J202" s="119"/>
    </row>
    <row r="203" spans="1:10" hidden="1">
      <c r="A203" s="157" t="s">
        <v>1090</v>
      </c>
      <c r="B203" s="157" t="s">
        <v>915</v>
      </c>
      <c r="C203" s="119"/>
      <c r="D203" s="157">
        <v>12</v>
      </c>
      <c r="E203" s="1" t="s">
        <v>791</v>
      </c>
      <c r="F203" s="122">
        <v>714</v>
      </c>
      <c r="G203" s="133">
        <f t="shared" si="3"/>
        <v>8568</v>
      </c>
      <c r="H203" s="158">
        <v>46212</v>
      </c>
      <c r="I203" s="119" t="s">
        <v>927</v>
      </c>
      <c r="J203" s="119"/>
    </row>
    <row r="204" spans="1:10">
      <c r="A204" s="157" t="s">
        <v>1091</v>
      </c>
      <c r="B204" s="119" t="s">
        <v>915</v>
      </c>
      <c r="C204" s="119"/>
      <c r="D204" s="207">
        <v>1</v>
      </c>
      <c r="E204" s="1" t="s">
        <v>791</v>
      </c>
      <c r="F204" s="213"/>
      <c r="G204" s="133">
        <f t="shared" si="3"/>
        <v>0</v>
      </c>
      <c r="H204" s="158">
        <v>46212</v>
      </c>
      <c r="I204" s="119"/>
      <c r="J204" s="119"/>
    </row>
    <row r="205" spans="1:10" hidden="1">
      <c r="A205" s="157" t="s">
        <v>1092</v>
      </c>
      <c r="B205" s="119" t="s">
        <v>915</v>
      </c>
      <c r="C205" s="119"/>
      <c r="D205" s="157">
        <f>12+3</f>
        <v>15</v>
      </c>
      <c r="E205" s="1" t="s">
        <v>791</v>
      </c>
      <c r="F205" s="134">
        <v>809</v>
      </c>
      <c r="G205" s="133">
        <f t="shared" si="3"/>
        <v>12135</v>
      </c>
      <c r="H205" s="158">
        <v>46153</v>
      </c>
      <c r="I205" s="208" t="s">
        <v>927</v>
      </c>
      <c r="J205" s="119"/>
    </row>
    <row r="206" spans="1:10">
      <c r="A206" s="157" t="s">
        <v>1093</v>
      </c>
      <c r="B206" s="119" t="s">
        <v>915</v>
      </c>
      <c r="C206" s="119"/>
      <c r="D206" s="207">
        <v>1</v>
      </c>
      <c r="E206" s="1" t="s">
        <v>791</v>
      </c>
      <c r="F206" s="213"/>
      <c r="G206" s="133">
        <f t="shared" si="3"/>
        <v>0</v>
      </c>
      <c r="H206" s="160"/>
      <c r="I206" s="119"/>
      <c r="J206" s="119"/>
    </row>
    <row r="207" spans="1:10">
      <c r="A207" s="157" t="s">
        <v>1094</v>
      </c>
      <c r="B207" s="119" t="s">
        <v>915</v>
      </c>
      <c r="C207" s="119"/>
      <c r="D207" s="207">
        <v>16</v>
      </c>
      <c r="E207" s="1" t="s">
        <v>791</v>
      </c>
      <c r="F207" s="213"/>
      <c r="G207" s="133">
        <f t="shared" si="3"/>
        <v>0</v>
      </c>
      <c r="H207" s="160"/>
      <c r="I207" s="119"/>
      <c r="J207" s="119"/>
    </row>
    <row r="208" spans="1:10">
      <c r="A208" s="157" t="s">
        <v>1095</v>
      </c>
      <c r="B208" s="119" t="s">
        <v>915</v>
      </c>
      <c r="C208" s="119"/>
      <c r="D208" s="207">
        <v>4</v>
      </c>
      <c r="E208" s="1" t="s">
        <v>791</v>
      </c>
      <c r="F208" s="213"/>
      <c r="G208" s="133">
        <f t="shared" si="3"/>
        <v>0</v>
      </c>
      <c r="H208" s="160"/>
      <c r="I208" s="119"/>
      <c r="J208" s="119" t="s">
        <v>740</v>
      </c>
    </row>
    <row r="209" spans="1:10">
      <c r="A209" s="157" t="s">
        <v>1096</v>
      </c>
      <c r="B209" s="119" t="s">
        <v>915</v>
      </c>
      <c r="C209" s="119"/>
      <c r="D209" s="207">
        <v>2</v>
      </c>
      <c r="E209" s="1" t="s">
        <v>791</v>
      </c>
      <c r="F209" s="213"/>
      <c r="G209" s="133">
        <f t="shared" si="3"/>
        <v>0</v>
      </c>
      <c r="H209" s="160"/>
      <c r="I209" s="119"/>
      <c r="J209" s="119"/>
    </row>
    <row r="210" spans="1:10">
      <c r="A210" s="157" t="s">
        <v>1097</v>
      </c>
      <c r="B210" s="157" t="s">
        <v>13</v>
      </c>
      <c r="C210" s="119"/>
      <c r="D210" s="207">
        <v>27</v>
      </c>
      <c r="E210" s="1" t="s">
        <v>791</v>
      </c>
      <c r="F210" s="213"/>
      <c r="G210" s="90">
        <f t="shared" si="3"/>
        <v>0</v>
      </c>
      <c r="H210" s="158">
        <v>46212</v>
      </c>
      <c r="I210" s="119"/>
      <c r="J210" s="119"/>
    </row>
    <row r="211" spans="1:10">
      <c r="A211" s="157" t="s">
        <v>1098</v>
      </c>
      <c r="B211" s="157" t="s">
        <v>915</v>
      </c>
      <c r="C211" s="119"/>
      <c r="D211" s="207">
        <v>24</v>
      </c>
      <c r="E211" s="119" t="s">
        <v>791</v>
      </c>
      <c r="F211" s="213"/>
      <c r="G211" s="90">
        <f>+D211*F211</f>
        <v>0</v>
      </c>
      <c r="H211" s="158">
        <v>46212</v>
      </c>
      <c r="I211" s="119"/>
      <c r="J211" s="119"/>
    </row>
    <row r="212" spans="1:10" hidden="1">
      <c r="A212" s="157" t="s">
        <v>1099</v>
      </c>
      <c r="B212" s="157" t="s">
        <v>915</v>
      </c>
      <c r="C212" s="119"/>
      <c r="D212" s="157">
        <v>34</v>
      </c>
      <c r="E212" s="119" t="s">
        <v>791</v>
      </c>
      <c r="F212" s="255">
        <v>714</v>
      </c>
      <c r="G212" s="90">
        <f>+D212*F212</f>
        <v>24276</v>
      </c>
      <c r="H212" s="158">
        <v>46212</v>
      </c>
      <c r="I212" s="119" t="s">
        <v>927</v>
      </c>
      <c r="J212" s="119"/>
    </row>
    <row r="213" spans="1:10" hidden="1">
      <c r="A213" s="157" t="s">
        <v>1100</v>
      </c>
      <c r="B213" s="119" t="s">
        <v>915</v>
      </c>
      <c r="C213" s="119"/>
      <c r="D213" s="157">
        <f>57+8</f>
        <v>65</v>
      </c>
      <c r="E213" s="1" t="s">
        <v>791</v>
      </c>
      <c r="F213" s="134">
        <v>1018</v>
      </c>
      <c r="G213" s="133">
        <f t="shared" si="3"/>
        <v>66170</v>
      </c>
      <c r="H213" s="158">
        <v>46153</v>
      </c>
      <c r="I213" s="1" t="s">
        <v>920</v>
      </c>
      <c r="J213" s="119"/>
    </row>
    <row r="214" spans="1:10">
      <c r="A214" s="157" t="s">
        <v>1101</v>
      </c>
      <c r="B214" s="157" t="s">
        <v>915</v>
      </c>
      <c r="C214" s="119"/>
      <c r="D214" s="207">
        <v>1</v>
      </c>
      <c r="E214" s="119" t="s">
        <v>791</v>
      </c>
      <c r="F214" s="223"/>
      <c r="G214" s="133">
        <f>+D214*F214</f>
        <v>0</v>
      </c>
      <c r="H214" s="158">
        <v>46212</v>
      </c>
      <c r="I214" s="1"/>
      <c r="J214" s="119"/>
    </row>
    <row r="215" spans="1:10">
      <c r="A215" s="157" t="s">
        <v>1102</v>
      </c>
      <c r="B215" s="157" t="s">
        <v>915</v>
      </c>
      <c r="C215" s="119"/>
      <c r="D215" s="207">
        <v>5</v>
      </c>
      <c r="E215" s="1" t="s">
        <v>791</v>
      </c>
      <c r="F215" s="159"/>
      <c r="G215" s="133">
        <f t="shared" si="3"/>
        <v>0</v>
      </c>
      <c r="H215" s="158">
        <v>46212</v>
      </c>
      <c r="I215" s="210"/>
      <c r="J215" s="119"/>
    </row>
    <row r="216" spans="1:10">
      <c r="A216" s="157" t="s">
        <v>1103</v>
      </c>
      <c r="B216" s="157" t="s">
        <v>915</v>
      </c>
      <c r="C216" s="119"/>
      <c r="D216" s="207">
        <v>70</v>
      </c>
      <c r="E216" s="1" t="s">
        <v>791</v>
      </c>
      <c r="F216" s="223"/>
      <c r="G216" s="133">
        <f>+D216*F216</f>
        <v>0</v>
      </c>
      <c r="H216" s="158">
        <v>46212</v>
      </c>
      <c r="I216" s="210"/>
      <c r="J216" s="119"/>
    </row>
    <row r="217" spans="1:10" customFormat="1" hidden="1">
      <c r="A217" s="96" t="s">
        <v>1104</v>
      </c>
      <c r="B217" s="1" t="s">
        <v>368</v>
      </c>
      <c r="C217" s="1"/>
      <c r="D217" s="96">
        <v>8</v>
      </c>
      <c r="E217" s="1" t="s">
        <v>791</v>
      </c>
      <c r="F217" s="115">
        <f>466870*0.8</f>
        <v>373496</v>
      </c>
      <c r="G217" s="90">
        <f t="shared" si="3"/>
        <v>2987968</v>
      </c>
      <c r="H217" s="125">
        <v>46198</v>
      </c>
      <c r="I217" s="1" t="s">
        <v>1055</v>
      </c>
      <c r="J217" s="1" t="s">
        <v>739</v>
      </c>
    </row>
    <row r="218" spans="1:10" customFormat="1" hidden="1">
      <c r="A218" s="96" t="s">
        <v>1105</v>
      </c>
      <c r="B218" s="1" t="s">
        <v>13</v>
      </c>
      <c r="C218" s="1" t="s">
        <v>1106</v>
      </c>
      <c r="D218" s="96">
        <v>1</v>
      </c>
      <c r="E218" s="1" t="s">
        <v>791</v>
      </c>
      <c r="F218" s="115">
        <f>1062500*0.8</f>
        <v>850000</v>
      </c>
      <c r="G218" s="90">
        <f t="shared" si="3"/>
        <v>850000</v>
      </c>
      <c r="H218" s="125">
        <v>46198</v>
      </c>
      <c r="I218" s="1" t="s">
        <v>1107</v>
      </c>
      <c r="J218" s="1"/>
    </row>
    <row r="219" spans="1:10" customFormat="1" hidden="1">
      <c r="A219" s="96" t="s">
        <v>1108</v>
      </c>
      <c r="B219" s="1" t="s">
        <v>123</v>
      </c>
      <c r="C219" s="1"/>
      <c r="D219" s="96">
        <v>1</v>
      </c>
      <c r="E219" s="1" t="s">
        <v>791</v>
      </c>
      <c r="F219" s="117">
        <v>204000</v>
      </c>
      <c r="G219" s="90">
        <f t="shared" si="3"/>
        <v>204000</v>
      </c>
      <c r="H219" s="125">
        <v>46141</v>
      </c>
      <c r="I219" s="1" t="s">
        <v>1109</v>
      </c>
      <c r="J219" s="1"/>
    </row>
    <row r="220" spans="1:10" customFormat="1" hidden="1">
      <c r="A220" s="96" t="s">
        <v>1110</v>
      </c>
      <c r="B220" s="1" t="s">
        <v>368</v>
      </c>
      <c r="C220" s="1"/>
      <c r="D220" s="96">
        <v>4</v>
      </c>
      <c r="E220" s="1" t="s">
        <v>791</v>
      </c>
      <c r="F220" s="115">
        <v>154110</v>
      </c>
      <c r="G220" s="111">
        <f t="shared" si="3"/>
        <v>616440</v>
      </c>
      <c r="H220" s="125">
        <v>46198</v>
      </c>
      <c r="I220" s="1" t="s">
        <v>1111</v>
      </c>
      <c r="J220" s="1" t="s">
        <v>1112</v>
      </c>
    </row>
    <row r="221" spans="1:10" customFormat="1" hidden="1">
      <c r="A221" s="96" t="s">
        <v>1113</v>
      </c>
      <c r="B221" s="1" t="s">
        <v>368</v>
      </c>
      <c r="C221" s="1"/>
      <c r="D221" s="96">
        <v>1</v>
      </c>
      <c r="E221" s="1" t="s">
        <v>791</v>
      </c>
      <c r="F221" s="115">
        <f>92450*0.8</f>
        <v>73960</v>
      </c>
      <c r="G221" s="111">
        <f t="shared" si="3"/>
        <v>73960</v>
      </c>
      <c r="H221" s="125">
        <v>46198</v>
      </c>
      <c r="I221" s="1" t="s">
        <v>1114</v>
      </c>
      <c r="J221" s="1"/>
    </row>
    <row r="222" spans="1:10" customFormat="1" hidden="1">
      <c r="A222" s="96" t="s">
        <v>1115</v>
      </c>
      <c r="B222" s="1" t="s">
        <v>32</v>
      </c>
      <c r="C222" s="1" t="s">
        <v>887</v>
      </c>
      <c r="D222" s="96">
        <v>1</v>
      </c>
      <c r="E222" s="1" t="s">
        <v>791</v>
      </c>
      <c r="F222" s="117">
        <f>105900*0.8</f>
        <v>84720</v>
      </c>
      <c r="G222" s="90">
        <f t="shared" si="3"/>
        <v>84720</v>
      </c>
      <c r="H222" s="125">
        <v>46134</v>
      </c>
      <c r="I222" s="1" t="s">
        <v>828</v>
      </c>
      <c r="J222" s="1"/>
    </row>
    <row r="223" spans="1:10" customFormat="1" hidden="1">
      <c r="A223" s="96" t="s">
        <v>1116</v>
      </c>
      <c r="B223" s="1" t="s">
        <v>32</v>
      </c>
      <c r="C223" s="1" t="s">
        <v>860</v>
      </c>
      <c r="D223" s="96">
        <v>1</v>
      </c>
      <c r="E223" s="1" t="s">
        <v>791</v>
      </c>
      <c r="F223" s="117">
        <f>29560*0.8</f>
        <v>23648</v>
      </c>
      <c r="G223" s="90">
        <f t="shared" si="3"/>
        <v>23648</v>
      </c>
      <c r="H223" s="125">
        <v>46134</v>
      </c>
      <c r="I223" s="1" t="s">
        <v>960</v>
      </c>
      <c r="J223" s="1"/>
    </row>
    <row r="224" spans="1:10" customFormat="1" hidden="1">
      <c r="A224" s="96" t="s">
        <v>1117</v>
      </c>
      <c r="B224" s="1" t="s">
        <v>32</v>
      </c>
      <c r="C224" s="1" t="s">
        <v>860</v>
      </c>
      <c r="D224" s="96">
        <v>1</v>
      </c>
      <c r="E224" s="1" t="s">
        <v>791</v>
      </c>
      <c r="F224" s="117">
        <f>29560</f>
        <v>29560</v>
      </c>
      <c r="G224" s="90">
        <f t="shared" si="3"/>
        <v>29560</v>
      </c>
      <c r="H224" s="125">
        <v>46134</v>
      </c>
      <c r="I224" s="119"/>
      <c r="J224" s="1" t="s">
        <v>1118</v>
      </c>
    </row>
    <row r="225" spans="1:10" customFormat="1" hidden="1">
      <c r="A225" s="96" t="s">
        <v>1119</v>
      </c>
      <c r="B225" s="1" t="s">
        <v>32</v>
      </c>
      <c r="C225" s="1" t="s">
        <v>860</v>
      </c>
      <c r="D225" s="96">
        <v>1</v>
      </c>
      <c r="E225" s="1" t="s">
        <v>791</v>
      </c>
      <c r="F225" s="117">
        <f>105900*0.8</f>
        <v>84720</v>
      </c>
      <c r="G225" s="90">
        <f t="shared" si="3"/>
        <v>84720</v>
      </c>
      <c r="H225" s="125">
        <v>46134</v>
      </c>
      <c r="I225" s="1" t="s">
        <v>828</v>
      </c>
      <c r="J225" s="1"/>
    </row>
    <row r="226" spans="1:10" customFormat="1" hidden="1">
      <c r="A226" s="96" t="s">
        <v>1120</v>
      </c>
      <c r="B226" s="1" t="s">
        <v>32</v>
      </c>
      <c r="C226" s="1" t="s">
        <v>860</v>
      </c>
      <c r="D226" s="96">
        <v>1</v>
      </c>
      <c r="E226" s="1" t="s">
        <v>791</v>
      </c>
      <c r="F226" s="117">
        <v>23374</v>
      </c>
      <c r="G226" s="90">
        <f t="shared" si="3"/>
        <v>23374</v>
      </c>
      <c r="H226" s="125">
        <v>46134</v>
      </c>
      <c r="I226" s="1" t="s">
        <v>1121</v>
      </c>
      <c r="J226" s="1"/>
    </row>
    <row r="227" spans="1:10" customFormat="1" hidden="1">
      <c r="A227" s="96" t="s">
        <v>1122</v>
      </c>
      <c r="B227" s="1" t="s">
        <v>32</v>
      </c>
      <c r="C227" s="1" t="s">
        <v>860</v>
      </c>
      <c r="D227" s="96">
        <v>2</v>
      </c>
      <c r="E227" s="1" t="s">
        <v>791</v>
      </c>
      <c r="F227" s="117">
        <f>29560*0.8</f>
        <v>23648</v>
      </c>
      <c r="G227" s="90">
        <f t="shared" si="3"/>
        <v>47296</v>
      </c>
      <c r="H227" s="125">
        <v>46134</v>
      </c>
      <c r="I227" s="1" t="s">
        <v>960</v>
      </c>
      <c r="J227" s="1"/>
    </row>
    <row r="228" spans="1:10" customFormat="1" hidden="1">
      <c r="A228" s="96" t="s">
        <v>1123</v>
      </c>
      <c r="B228" s="1" t="s">
        <v>368</v>
      </c>
      <c r="C228" s="1"/>
      <c r="D228" s="96">
        <v>1</v>
      </c>
      <c r="E228" s="1" t="s">
        <v>791</v>
      </c>
      <c r="F228" s="115">
        <f>26290*0.8</f>
        <v>21032</v>
      </c>
      <c r="G228" s="90">
        <f t="shared" si="3"/>
        <v>21032</v>
      </c>
      <c r="H228" s="125">
        <v>46198</v>
      </c>
      <c r="I228" s="1" t="s">
        <v>856</v>
      </c>
      <c r="J228" s="1" t="s">
        <v>1124</v>
      </c>
    </row>
    <row r="229" spans="1:10" customFormat="1" hidden="1">
      <c r="A229" s="96" t="s">
        <v>1125</v>
      </c>
      <c r="B229" s="1" t="s">
        <v>368</v>
      </c>
      <c r="C229" s="1"/>
      <c r="D229" s="96">
        <v>4</v>
      </c>
      <c r="E229" s="1" t="s">
        <v>791</v>
      </c>
      <c r="F229" s="115">
        <f>65560*0.8</f>
        <v>52448</v>
      </c>
      <c r="G229" s="90">
        <f t="shared" si="3"/>
        <v>209792</v>
      </c>
      <c r="H229" s="125">
        <v>46198</v>
      </c>
      <c r="I229" s="1" t="s">
        <v>856</v>
      </c>
      <c r="J229" s="1" t="s">
        <v>1124</v>
      </c>
    </row>
    <row r="230" spans="1:10" customFormat="1" hidden="1">
      <c r="A230" s="96" t="s">
        <v>1126</v>
      </c>
      <c r="B230" s="1" t="s">
        <v>368</v>
      </c>
      <c r="C230" s="1"/>
      <c r="D230" s="96">
        <v>1</v>
      </c>
      <c r="E230" s="1" t="s">
        <v>791</v>
      </c>
      <c r="F230" s="115">
        <f>37800*0.8</f>
        <v>30240</v>
      </c>
      <c r="G230" s="111">
        <f t="shared" si="3"/>
        <v>30240</v>
      </c>
      <c r="H230" s="125">
        <v>46198</v>
      </c>
      <c r="I230" s="1" t="s">
        <v>1127</v>
      </c>
      <c r="J230" s="1"/>
    </row>
    <row r="231" spans="1:10" customFormat="1" hidden="1">
      <c r="A231" s="96" t="s">
        <v>1128</v>
      </c>
      <c r="B231" s="1" t="s">
        <v>368</v>
      </c>
      <c r="C231" s="1"/>
      <c r="D231" s="96">
        <v>1</v>
      </c>
      <c r="E231" s="1" t="s">
        <v>791</v>
      </c>
      <c r="F231" s="115">
        <f>17100*0.8</f>
        <v>13680</v>
      </c>
      <c r="G231" s="90">
        <f t="shared" si="3"/>
        <v>13680</v>
      </c>
      <c r="H231" s="125">
        <v>46198</v>
      </c>
      <c r="I231" s="119" t="s">
        <v>820</v>
      </c>
      <c r="J231" s="1"/>
    </row>
    <row r="232" spans="1:10" customFormat="1" hidden="1">
      <c r="A232" s="96" t="s">
        <v>1129</v>
      </c>
      <c r="B232" s="1" t="s">
        <v>32</v>
      </c>
      <c r="C232" s="1" t="s">
        <v>860</v>
      </c>
      <c r="D232" s="96">
        <v>3</v>
      </c>
      <c r="E232" s="1" t="s">
        <v>791</v>
      </c>
      <c r="F232" s="115">
        <f>51719*0.48</f>
        <v>24825.119999999999</v>
      </c>
      <c r="G232" s="90">
        <f t="shared" si="3"/>
        <v>74475.360000000001</v>
      </c>
      <c r="H232" s="125">
        <v>46133</v>
      </c>
      <c r="I232" s="1" t="s">
        <v>873</v>
      </c>
      <c r="J232" s="1"/>
    </row>
    <row r="233" spans="1:10" hidden="1">
      <c r="A233" s="157" t="s">
        <v>1130</v>
      </c>
      <c r="B233" s="119" t="s">
        <v>13</v>
      </c>
      <c r="C233" s="119" t="s">
        <v>1131</v>
      </c>
      <c r="D233" s="157">
        <v>2</v>
      </c>
      <c r="E233" s="1" t="s">
        <v>791</v>
      </c>
      <c r="F233" s="134">
        <v>6552</v>
      </c>
      <c r="G233" s="90">
        <f t="shared" si="3"/>
        <v>13104</v>
      </c>
      <c r="H233" s="158">
        <v>46141</v>
      </c>
      <c r="I233" s="119" t="s">
        <v>1132</v>
      </c>
      <c r="J233" s="119"/>
    </row>
    <row r="234" spans="1:10" customFormat="1" hidden="1">
      <c r="A234" s="96" t="s">
        <v>1133</v>
      </c>
      <c r="B234" s="1" t="s">
        <v>32</v>
      </c>
      <c r="C234" s="1" t="s">
        <v>860</v>
      </c>
      <c r="D234" s="96">
        <v>2</v>
      </c>
      <c r="E234" s="1" t="s">
        <v>791</v>
      </c>
      <c r="F234" s="115">
        <f>42225*0.48</f>
        <v>20268</v>
      </c>
      <c r="G234" s="90">
        <f t="shared" si="3"/>
        <v>40536</v>
      </c>
      <c r="H234" s="125">
        <v>46133</v>
      </c>
      <c r="I234" s="1" t="s">
        <v>873</v>
      </c>
      <c r="J234" s="1"/>
    </row>
    <row r="235" spans="1:10" customFormat="1" hidden="1">
      <c r="A235" s="96" t="s">
        <v>1134</v>
      </c>
      <c r="B235" s="1" t="s">
        <v>32</v>
      </c>
      <c r="C235" s="1" t="s">
        <v>860</v>
      </c>
      <c r="D235" s="96">
        <v>13</v>
      </c>
      <c r="E235" s="1" t="s">
        <v>791</v>
      </c>
      <c r="F235" s="115">
        <f>54645*0.48</f>
        <v>26229.599999999999</v>
      </c>
      <c r="G235" s="90">
        <f t="shared" si="3"/>
        <v>340984.8</v>
      </c>
      <c r="H235" s="125">
        <v>46133</v>
      </c>
      <c r="I235" s="1" t="s">
        <v>873</v>
      </c>
      <c r="J235" s="1"/>
    </row>
    <row r="236" spans="1:10" customFormat="1" hidden="1">
      <c r="A236" s="96" t="s">
        <v>1135</v>
      </c>
      <c r="B236" s="1" t="s">
        <v>172</v>
      </c>
      <c r="C236" s="1" t="s">
        <v>860</v>
      </c>
      <c r="D236" s="96">
        <v>4</v>
      </c>
      <c r="E236" s="1" t="s">
        <v>791</v>
      </c>
      <c r="F236" s="115">
        <v>1092</v>
      </c>
      <c r="G236" s="90">
        <f t="shared" si="3"/>
        <v>4368</v>
      </c>
      <c r="H236" s="125">
        <v>46148</v>
      </c>
      <c r="I236" s="1" t="s">
        <v>1136</v>
      </c>
      <c r="J236" s="1"/>
    </row>
    <row r="237" spans="1:10" hidden="1">
      <c r="A237" s="157" t="s">
        <v>1137</v>
      </c>
      <c r="B237" s="119" t="s">
        <v>13</v>
      </c>
      <c r="C237" s="119" t="s">
        <v>1131</v>
      </c>
      <c r="D237" s="157">
        <v>8</v>
      </c>
      <c r="E237" s="1" t="s">
        <v>791</v>
      </c>
      <c r="F237" s="134">
        <f>56000*0.8</f>
        <v>44800</v>
      </c>
      <c r="G237" s="90">
        <f t="shared" si="3"/>
        <v>358400</v>
      </c>
      <c r="H237" s="158">
        <v>46141</v>
      </c>
      <c r="I237" s="119" t="s">
        <v>853</v>
      </c>
      <c r="J237" s="119"/>
    </row>
    <row r="238" spans="1:10" customFormat="1" hidden="1">
      <c r="A238" s="96" t="s">
        <v>1138</v>
      </c>
      <c r="B238" s="1" t="s">
        <v>16</v>
      </c>
      <c r="C238" s="1" t="s">
        <v>1131</v>
      </c>
      <c r="D238" s="96">
        <v>5</v>
      </c>
      <c r="E238" s="1" t="s">
        <v>791</v>
      </c>
      <c r="F238" s="115">
        <f>10710*0.8</f>
        <v>8568</v>
      </c>
      <c r="G238" s="90">
        <f t="shared" si="3"/>
        <v>42840</v>
      </c>
      <c r="H238" s="125">
        <v>46141</v>
      </c>
      <c r="I238" s="119" t="s">
        <v>820</v>
      </c>
      <c r="J238" s="1"/>
    </row>
    <row r="239" spans="1:10" hidden="1">
      <c r="A239" s="157" t="s">
        <v>1139</v>
      </c>
      <c r="B239" s="119" t="s">
        <v>13</v>
      </c>
      <c r="C239" s="119" t="s">
        <v>1131</v>
      </c>
      <c r="D239" s="157">
        <f>20+2</f>
        <v>22</v>
      </c>
      <c r="E239" s="1" t="s">
        <v>791</v>
      </c>
      <c r="F239" s="134">
        <f>11520*0.8</f>
        <v>9216</v>
      </c>
      <c r="G239" s="90">
        <f t="shared" si="3"/>
        <v>202752</v>
      </c>
      <c r="H239" s="158">
        <v>46141</v>
      </c>
      <c r="I239" s="119" t="s">
        <v>1140</v>
      </c>
      <c r="J239" s="119"/>
    </row>
    <row r="240" spans="1:10" hidden="1">
      <c r="A240" s="157" t="s">
        <v>1141</v>
      </c>
      <c r="B240" s="119" t="s">
        <v>13</v>
      </c>
      <c r="C240" s="119" t="s">
        <v>1131</v>
      </c>
      <c r="D240" s="157">
        <v>4</v>
      </c>
      <c r="E240" s="1" t="s">
        <v>791</v>
      </c>
      <c r="F240" s="134">
        <v>239000</v>
      </c>
      <c r="G240" s="90">
        <f t="shared" si="3"/>
        <v>956000</v>
      </c>
      <c r="H240" s="158">
        <v>46141</v>
      </c>
      <c r="I240" s="119" t="s">
        <v>1142</v>
      </c>
      <c r="J240" s="119"/>
    </row>
    <row r="241" spans="1:10" hidden="1">
      <c r="A241" s="157" t="s">
        <v>1143</v>
      </c>
      <c r="B241" s="119" t="s">
        <v>13</v>
      </c>
      <c r="C241" s="119" t="s">
        <v>1131</v>
      </c>
      <c r="D241" s="157">
        <v>9</v>
      </c>
      <c r="E241" s="1" t="s">
        <v>791</v>
      </c>
      <c r="F241" s="134">
        <f>15380*0.8</f>
        <v>12304</v>
      </c>
      <c r="G241" s="90">
        <f t="shared" si="3"/>
        <v>110736</v>
      </c>
      <c r="H241" s="158">
        <v>46141</v>
      </c>
      <c r="I241" s="119" t="s">
        <v>1140</v>
      </c>
      <c r="J241" s="119"/>
    </row>
    <row r="242" spans="1:10" hidden="1">
      <c r="A242" s="157" t="s">
        <v>1144</v>
      </c>
      <c r="B242" s="119" t="s">
        <v>13</v>
      </c>
      <c r="C242" s="119" t="s">
        <v>1131</v>
      </c>
      <c r="D242" s="157">
        <v>11</v>
      </c>
      <c r="E242" s="1" t="s">
        <v>791</v>
      </c>
      <c r="F242" s="134">
        <f>118600*0.8</f>
        <v>94880</v>
      </c>
      <c r="G242" s="90">
        <f t="shared" si="3"/>
        <v>1043680</v>
      </c>
      <c r="H242" s="158">
        <v>46141</v>
      </c>
      <c r="I242" s="119" t="s">
        <v>1145</v>
      </c>
      <c r="J242" s="119"/>
    </row>
    <row r="243" spans="1:10" hidden="1">
      <c r="A243" s="157" t="s">
        <v>1146</v>
      </c>
      <c r="B243" s="119" t="s">
        <v>13</v>
      </c>
      <c r="C243" s="119" t="s">
        <v>860</v>
      </c>
      <c r="D243" s="157">
        <v>2</v>
      </c>
      <c r="E243" s="1" t="s">
        <v>791</v>
      </c>
      <c r="F243" s="134">
        <v>23881</v>
      </c>
      <c r="G243" s="90">
        <f t="shared" si="3"/>
        <v>47762</v>
      </c>
      <c r="H243" s="158">
        <v>46141</v>
      </c>
      <c r="I243" s="119" t="s">
        <v>1147</v>
      </c>
      <c r="J243" s="119"/>
    </row>
    <row r="244" spans="1:10" hidden="1">
      <c r="A244" s="157" t="s">
        <v>1148</v>
      </c>
      <c r="B244" s="119" t="s">
        <v>13</v>
      </c>
      <c r="C244" s="119" t="s">
        <v>1131</v>
      </c>
      <c r="D244" s="157">
        <v>2</v>
      </c>
      <c r="E244" s="1" t="s">
        <v>791</v>
      </c>
      <c r="F244" s="134">
        <v>5943</v>
      </c>
      <c r="G244" s="90">
        <f t="shared" si="3"/>
        <v>11886</v>
      </c>
      <c r="H244" s="158">
        <v>46141</v>
      </c>
      <c r="I244" s="119" t="s">
        <v>1132</v>
      </c>
      <c r="J244" s="119"/>
    </row>
    <row r="245" spans="1:10" customFormat="1" hidden="1">
      <c r="A245" s="96" t="s">
        <v>1149</v>
      </c>
      <c r="B245" s="1" t="s">
        <v>830</v>
      </c>
      <c r="C245" s="1" t="s">
        <v>831</v>
      </c>
      <c r="D245" s="96">
        <v>5</v>
      </c>
      <c r="E245" s="1" t="s">
        <v>791</v>
      </c>
      <c r="F245" s="115">
        <v>1507</v>
      </c>
      <c r="G245" s="90">
        <f t="shared" si="3"/>
        <v>7535</v>
      </c>
      <c r="H245" s="125">
        <v>46146</v>
      </c>
      <c r="I245" s="1" t="s">
        <v>1150</v>
      </c>
      <c r="J245" s="1"/>
    </row>
    <row r="246" spans="1:10" customFormat="1" hidden="1">
      <c r="A246" s="96" t="s">
        <v>1151</v>
      </c>
      <c r="B246" s="1" t="s">
        <v>830</v>
      </c>
      <c r="C246" s="1" t="s">
        <v>831</v>
      </c>
      <c r="D246" s="96">
        <v>2</v>
      </c>
      <c r="E246" s="1" t="s">
        <v>791</v>
      </c>
      <c r="F246" s="115">
        <v>1507</v>
      </c>
      <c r="G246" s="90">
        <f t="shared" si="3"/>
        <v>3014</v>
      </c>
      <c r="H246" s="125">
        <v>46146</v>
      </c>
      <c r="I246" s="1" t="s">
        <v>1150</v>
      </c>
      <c r="J246" s="1"/>
    </row>
    <row r="247" spans="1:10" customFormat="1" hidden="1">
      <c r="A247" s="96" t="s">
        <v>1152</v>
      </c>
      <c r="B247" s="1" t="s">
        <v>32</v>
      </c>
      <c r="C247" s="1" t="s">
        <v>860</v>
      </c>
      <c r="D247" s="96">
        <v>107</v>
      </c>
      <c r="E247" s="1" t="s">
        <v>791</v>
      </c>
      <c r="F247" s="115">
        <f>2104*0.48</f>
        <v>1009.92</v>
      </c>
      <c r="G247" s="90">
        <f t="shared" si="3"/>
        <v>108061.44</v>
      </c>
      <c r="H247" s="125">
        <v>46133</v>
      </c>
      <c r="I247" s="1" t="s">
        <v>873</v>
      </c>
      <c r="J247" s="1"/>
    </row>
    <row r="248" spans="1:10" customFormat="1" hidden="1">
      <c r="A248" s="96" t="s">
        <v>1153</v>
      </c>
      <c r="B248" s="1" t="s">
        <v>32</v>
      </c>
      <c r="C248" s="1" t="s">
        <v>860</v>
      </c>
      <c r="D248" s="96">
        <v>35</v>
      </c>
      <c r="E248" s="1" t="s">
        <v>791</v>
      </c>
      <c r="F248" s="115">
        <f>4006*0.48</f>
        <v>1922.8799999999999</v>
      </c>
      <c r="G248" s="90">
        <f t="shared" si="3"/>
        <v>67300.800000000003</v>
      </c>
      <c r="H248" s="125">
        <v>46133</v>
      </c>
      <c r="I248" s="1" t="s">
        <v>873</v>
      </c>
      <c r="J248" s="1"/>
    </row>
    <row r="249" spans="1:10" customFormat="1" hidden="1">
      <c r="A249" s="96" t="s">
        <v>1154</v>
      </c>
      <c r="B249" s="1" t="s">
        <v>32</v>
      </c>
      <c r="C249" s="1" t="s">
        <v>860</v>
      </c>
      <c r="D249" s="96">
        <v>4</v>
      </c>
      <c r="E249" s="1" t="s">
        <v>791</v>
      </c>
      <c r="F249" s="115">
        <f>1316*0.48</f>
        <v>631.67999999999995</v>
      </c>
      <c r="G249" s="90">
        <f t="shared" si="3"/>
        <v>2526.7199999999998</v>
      </c>
      <c r="H249" s="125">
        <v>46133</v>
      </c>
      <c r="I249" s="1" t="s">
        <v>873</v>
      </c>
      <c r="J249" s="1"/>
    </row>
    <row r="250" spans="1:10" customFormat="1" hidden="1">
      <c r="A250" s="96" t="s">
        <v>1155</v>
      </c>
      <c r="B250" s="1" t="s">
        <v>32</v>
      </c>
      <c r="C250" s="1" t="s">
        <v>860</v>
      </c>
      <c r="D250" s="96">
        <v>4</v>
      </c>
      <c r="E250" s="1" t="s">
        <v>791</v>
      </c>
      <c r="F250" s="115">
        <f>45283*0.48</f>
        <v>21735.84</v>
      </c>
      <c r="G250" s="90">
        <f t="shared" si="3"/>
        <v>86943.360000000001</v>
      </c>
      <c r="H250" s="125">
        <v>46133</v>
      </c>
      <c r="I250" s="1" t="s">
        <v>873</v>
      </c>
      <c r="J250" s="1"/>
    </row>
    <row r="251" spans="1:10" customFormat="1" hidden="1">
      <c r="A251" s="96" t="s">
        <v>1156</v>
      </c>
      <c r="B251" s="1" t="s">
        <v>32</v>
      </c>
      <c r="C251" s="1" t="s">
        <v>860</v>
      </c>
      <c r="D251" s="96">
        <v>22</v>
      </c>
      <c r="E251" s="1" t="s">
        <v>791</v>
      </c>
      <c r="F251" s="115">
        <f>92100*0.8</f>
        <v>73680</v>
      </c>
      <c r="G251" s="90">
        <f t="shared" si="3"/>
        <v>1620960</v>
      </c>
      <c r="H251" s="125">
        <v>46133</v>
      </c>
      <c r="I251" s="1" t="s">
        <v>1157</v>
      </c>
      <c r="J251" s="1" t="s">
        <v>739</v>
      </c>
    </row>
    <row r="252" spans="1:10" customFormat="1" hidden="1">
      <c r="A252" s="96" t="s">
        <v>1158</v>
      </c>
      <c r="B252" s="1" t="s">
        <v>32</v>
      </c>
      <c r="C252" s="1" t="s">
        <v>887</v>
      </c>
      <c r="D252" s="96">
        <v>1</v>
      </c>
      <c r="E252" s="1" t="s">
        <v>791</v>
      </c>
      <c r="F252" s="115">
        <f>17460*0.8</f>
        <v>13968</v>
      </c>
      <c r="G252" s="90">
        <f t="shared" si="3"/>
        <v>13968</v>
      </c>
      <c r="H252" s="125">
        <v>46133</v>
      </c>
      <c r="I252" s="1" t="s">
        <v>1159</v>
      </c>
      <c r="J252" s="1"/>
    </row>
    <row r="253" spans="1:10" customFormat="1" hidden="1">
      <c r="A253" s="96" t="s">
        <v>1160</v>
      </c>
      <c r="B253" s="1" t="s">
        <v>193</v>
      </c>
      <c r="C253" s="1" t="s">
        <v>1059</v>
      </c>
      <c r="D253" s="96">
        <v>4</v>
      </c>
      <c r="E253" s="1" t="s">
        <v>791</v>
      </c>
      <c r="F253" s="115">
        <f>4045*0.48</f>
        <v>1941.6</v>
      </c>
      <c r="G253" s="90">
        <f t="shared" si="3"/>
        <v>7766.4</v>
      </c>
      <c r="H253" s="125">
        <v>46146</v>
      </c>
      <c r="I253" s="1" t="s">
        <v>873</v>
      </c>
      <c r="J253" s="1"/>
    </row>
    <row r="254" spans="1:10" customFormat="1" hidden="1">
      <c r="A254" s="96" t="s">
        <v>1161</v>
      </c>
      <c r="B254" s="1" t="s">
        <v>193</v>
      </c>
      <c r="C254" s="1" t="s">
        <v>1059</v>
      </c>
      <c r="D254" s="96">
        <v>4</v>
      </c>
      <c r="E254" s="1" t="s">
        <v>791</v>
      </c>
      <c r="F254" s="115">
        <f>4045*0.48</f>
        <v>1941.6</v>
      </c>
      <c r="G254" s="90">
        <f t="shared" si="3"/>
        <v>7766.4</v>
      </c>
      <c r="H254" s="125">
        <v>46146</v>
      </c>
      <c r="I254" s="1" t="s">
        <v>873</v>
      </c>
      <c r="J254" s="1" t="s">
        <v>739</v>
      </c>
    </row>
    <row r="255" spans="1:10" customFormat="1" hidden="1">
      <c r="A255" s="96" t="s">
        <v>1162</v>
      </c>
      <c r="B255" s="1" t="s">
        <v>193</v>
      </c>
      <c r="C255" s="1" t="s">
        <v>1059</v>
      </c>
      <c r="D255" s="96">
        <v>1</v>
      </c>
      <c r="E255" s="1" t="s">
        <v>791</v>
      </c>
      <c r="F255" s="115">
        <f>10545*0.48</f>
        <v>5061.5999999999995</v>
      </c>
      <c r="G255" s="90">
        <f t="shared" si="3"/>
        <v>5061.5999999999995</v>
      </c>
      <c r="H255" s="125">
        <v>46146</v>
      </c>
      <c r="I255" s="1" t="s">
        <v>873</v>
      </c>
      <c r="J255" s="1"/>
    </row>
    <row r="256" spans="1:10" customFormat="1" hidden="1">
      <c r="A256" s="96" t="s">
        <v>1163</v>
      </c>
      <c r="B256" s="1" t="s">
        <v>193</v>
      </c>
      <c r="C256" s="1" t="s">
        <v>1059</v>
      </c>
      <c r="D256" s="96">
        <v>12</v>
      </c>
      <c r="E256" s="1" t="s">
        <v>791</v>
      </c>
      <c r="F256" s="115">
        <f>16572*0.48</f>
        <v>7954.5599999999995</v>
      </c>
      <c r="G256" s="90">
        <f t="shared" si="3"/>
        <v>95454.720000000001</v>
      </c>
      <c r="H256" s="125">
        <v>46146</v>
      </c>
      <c r="I256" s="1" t="s">
        <v>873</v>
      </c>
      <c r="J256" s="1"/>
    </row>
    <row r="257" spans="1:10" customFormat="1" hidden="1">
      <c r="A257" s="1" t="s">
        <v>1164</v>
      </c>
      <c r="B257" s="1" t="s">
        <v>193</v>
      </c>
      <c r="C257" s="1" t="s">
        <v>1059</v>
      </c>
      <c r="D257" s="1"/>
      <c r="E257" s="1" t="s">
        <v>791</v>
      </c>
      <c r="F257" s="90"/>
      <c r="G257" s="90">
        <f t="shared" si="3"/>
        <v>0</v>
      </c>
      <c r="H257" s="61"/>
      <c r="I257" s="1">
        <v>4</v>
      </c>
      <c r="J257" s="1"/>
    </row>
    <row r="258" spans="1:10" customFormat="1" hidden="1">
      <c r="A258" s="96" t="s">
        <v>1165</v>
      </c>
      <c r="B258" s="1" t="s">
        <v>32</v>
      </c>
      <c r="C258" s="1" t="s">
        <v>860</v>
      </c>
      <c r="D258" s="96">
        <v>20</v>
      </c>
      <c r="E258" s="1" t="s">
        <v>791</v>
      </c>
      <c r="F258" s="115">
        <f>9715*0.48</f>
        <v>4663.2</v>
      </c>
      <c r="G258" s="90">
        <f t="shared" si="3"/>
        <v>93264</v>
      </c>
      <c r="H258" s="125">
        <v>46133</v>
      </c>
      <c r="I258" s="1" t="s">
        <v>873</v>
      </c>
      <c r="J258" s="1"/>
    </row>
    <row r="259" spans="1:10" customFormat="1" hidden="1">
      <c r="A259" s="96" t="s">
        <v>1166</v>
      </c>
      <c r="B259" s="1" t="s">
        <v>32</v>
      </c>
      <c r="C259" s="1" t="s">
        <v>860</v>
      </c>
      <c r="D259" s="96">
        <v>27</v>
      </c>
      <c r="E259" s="1" t="s">
        <v>791</v>
      </c>
      <c r="F259" s="115">
        <f>7245*0.48</f>
        <v>3477.6</v>
      </c>
      <c r="G259" s="90">
        <f t="shared" ref="G259:G321" si="4">+D259*F259</f>
        <v>93895.2</v>
      </c>
      <c r="H259" s="125">
        <v>46133</v>
      </c>
      <c r="I259" s="1" t="s">
        <v>873</v>
      </c>
      <c r="J259" s="1"/>
    </row>
    <row r="260" spans="1:10" customFormat="1" hidden="1">
      <c r="A260" s="96" t="s">
        <v>1167</v>
      </c>
      <c r="B260" s="1" t="s">
        <v>321</v>
      </c>
      <c r="C260" s="1"/>
      <c r="D260" s="96">
        <v>11</v>
      </c>
      <c r="E260" s="1" t="s">
        <v>791</v>
      </c>
      <c r="F260" s="115">
        <f>1620*0.8</f>
        <v>1296</v>
      </c>
      <c r="G260" s="90">
        <f t="shared" si="4"/>
        <v>14256</v>
      </c>
      <c r="H260" s="125">
        <v>46141</v>
      </c>
      <c r="I260" s="119" t="s">
        <v>820</v>
      </c>
      <c r="J260" s="1"/>
    </row>
    <row r="261" spans="1:10" customFormat="1" hidden="1">
      <c r="A261" s="96" t="s">
        <v>1168</v>
      </c>
      <c r="B261" s="1" t="s">
        <v>321</v>
      </c>
      <c r="C261" s="1"/>
      <c r="D261" s="96">
        <v>5</v>
      </c>
      <c r="E261" s="1" t="s">
        <v>791</v>
      </c>
      <c r="F261" s="115">
        <v>7714</v>
      </c>
      <c r="G261" s="90">
        <f t="shared" si="4"/>
        <v>38570</v>
      </c>
      <c r="H261" s="125">
        <v>46141</v>
      </c>
      <c r="I261" s="114" t="s">
        <v>1169</v>
      </c>
      <c r="J261" s="1"/>
    </row>
    <row r="262" spans="1:10" customFormat="1" hidden="1">
      <c r="A262" s="96" t="s">
        <v>1170</v>
      </c>
      <c r="B262" s="1" t="s">
        <v>321</v>
      </c>
      <c r="C262" s="1"/>
      <c r="D262" s="96">
        <v>2</v>
      </c>
      <c r="E262" s="1" t="s">
        <v>791</v>
      </c>
      <c r="F262" s="115">
        <f>6940*0.8</f>
        <v>5552</v>
      </c>
      <c r="G262" s="90">
        <f t="shared" si="4"/>
        <v>11104</v>
      </c>
      <c r="H262" s="125">
        <v>46141</v>
      </c>
      <c r="I262" s="119" t="s">
        <v>820</v>
      </c>
      <c r="J262" s="1"/>
    </row>
    <row r="263" spans="1:10" customFormat="1" hidden="1">
      <c r="A263" s="96" t="s">
        <v>1171</v>
      </c>
      <c r="B263" s="1" t="s">
        <v>321</v>
      </c>
      <c r="C263" s="1"/>
      <c r="D263" s="96">
        <v>1</v>
      </c>
      <c r="E263" s="1" t="s">
        <v>791</v>
      </c>
      <c r="F263" s="115">
        <f>17790*0.8</f>
        <v>14232</v>
      </c>
      <c r="G263" s="90">
        <f t="shared" si="4"/>
        <v>14232</v>
      </c>
      <c r="H263" s="125">
        <v>46141</v>
      </c>
      <c r="I263" s="119" t="s">
        <v>820</v>
      </c>
      <c r="J263" s="1"/>
    </row>
    <row r="264" spans="1:10" customFormat="1" hidden="1">
      <c r="A264" s="96" t="s">
        <v>1172</v>
      </c>
      <c r="B264" s="1" t="s">
        <v>321</v>
      </c>
      <c r="C264" s="1"/>
      <c r="D264" s="96">
        <v>4</v>
      </c>
      <c r="E264" s="1" t="s">
        <v>791</v>
      </c>
      <c r="F264" s="115">
        <f>2880*0.8</f>
        <v>2304</v>
      </c>
      <c r="G264" s="90">
        <f t="shared" si="4"/>
        <v>9216</v>
      </c>
      <c r="H264" s="125">
        <v>46141</v>
      </c>
      <c r="I264" s="119" t="s">
        <v>820</v>
      </c>
      <c r="J264" s="1"/>
    </row>
    <row r="265" spans="1:10" customFormat="1" hidden="1">
      <c r="A265" s="96" t="s">
        <v>1173</v>
      </c>
      <c r="B265" s="1" t="s">
        <v>32</v>
      </c>
      <c r="C265" s="1" t="s">
        <v>860</v>
      </c>
      <c r="D265" s="96">
        <v>11</v>
      </c>
      <c r="E265" s="1" t="s">
        <v>791</v>
      </c>
      <c r="F265" s="115">
        <f>16064*0.48</f>
        <v>7710.7199999999993</v>
      </c>
      <c r="G265" s="90">
        <f t="shared" si="4"/>
        <v>84817.919999999998</v>
      </c>
      <c r="H265" s="125">
        <v>46133</v>
      </c>
      <c r="I265" s="1" t="s">
        <v>873</v>
      </c>
      <c r="J265" s="1"/>
    </row>
    <row r="266" spans="1:10" customFormat="1" hidden="1">
      <c r="A266" s="1" t="s">
        <v>1174</v>
      </c>
      <c r="B266" s="1" t="s">
        <v>193</v>
      </c>
      <c r="C266" s="1" t="s">
        <v>1059</v>
      </c>
      <c r="D266" s="1"/>
      <c r="E266" s="1" t="s">
        <v>791</v>
      </c>
      <c r="F266" s="90"/>
      <c r="G266" s="90">
        <f t="shared" si="4"/>
        <v>0</v>
      </c>
      <c r="H266" s="61"/>
      <c r="I266" s="1">
        <v>1</v>
      </c>
      <c r="J266" s="1"/>
    </row>
    <row r="267" spans="1:10" hidden="1">
      <c r="A267" s="157" t="s">
        <v>1175</v>
      </c>
      <c r="B267" s="119" t="s">
        <v>13</v>
      </c>
      <c r="C267" s="119" t="s">
        <v>1131</v>
      </c>
      <c r="D267" s="157">
        <v>10</v>
      </c>
      <c r="E267" s="1" t="s">
        <v>791</v>
      </c>
      <c r="F267" s="134">
        <f>7040*0.8</f>
        <v>5632</v>
      </c>
      <c r="G267" s="90">
        <f t="shared" si="4"/>
        <v>56320</v>
      </c>
      <c r="H267" s="158">
        <v>46141</v>
      </c>
      <c r="I267" s="119" t="s">
        <v>822</v>
      </c>
      <c r="J267" s="119"/>
    </row>
    <row r="268" spans="1:10" hidden="1">
      <c r="A268" s="157" t="s">
        <v>1176</v>
      </c>
      <c r="B268" s="119" t="s">
        <v>13</v>
      </c>
      <c r="C268" s="119" t="s">
        <v>1131</v>
      </c>
      <c r="D268" s="157">
        <v>2</v>
      </c>
      <c r="E268" s="1" t="s">
        <v>791</v>
      </c>
      <c r="F268" s="134">
        <f>5390*0.8</f>
        <v>4312</v>
      </c>
      <c r="G268" s="90">
        <f t="shared" si="4"/>
        <v>8624</v>
      </c>
      <c r="H268" s="158">
        <v>46141</v>
      </c>
      <c r="I268" s="119" t="s">
        <v>960</v>
      </c>
      <c r="J268" s="119"/>
    </row>
    <row r="269" spans="1:10" customFormat="1" hidden="1">
      <c r="A269" s="157" t="s">
        <v>1177</v>
      </c>
      <c r="B269" s="119" t="s">
        <v>13</v>
      </c>
      <c r="C269" s="119" t="s">
        <v>860</v>
      </c>
      <c r="D269" s="157">
        <f>12+3</f>
        <v>15</v>
      </c>
      <c r="E269" s="1" t="s">
        <v>791</v>
      </c>
      <c r="F269" s="134">
        <f>7650*0.8</f>
        <v>6120</v>
      </c>
      <c r="G269" s="90">
        <f t="shared" si="4"/>
        <v>91800</v>
      </c>
      <c r="H269" s="158">
        <v>46141</v>
      </c>
      <c r="I269" s="119" t="s">
        <v>1178</v>
      </c>
      <c r="J269" s="119"/>
    </row>
    <row r="270" spans="1:10" customFormat="1" hidden="1">
      <c r="A270" s="96" t="s">
        <v>1179</v>
      </c>
      <c r="B270" s="1" t="s">
        <v>172</v>
      </c>
      <c r="C270" s="1" t="s">
        <v>860</v>
      </c>
      <c r="D270" s="96">
        <v>4</v>
      </c>
      <c r="E270" s="1" t="s">
        <v>791</v>
      </c>
      <c r="F270" s="115">
        <v>4658</v>
      </c>
      <c r="G270" s="90">
        <f t="shared" si="4"/>
        <v>18632</v>
      </c>
      <c r="H270" s="125">
        <v>46148</v>
      </c>
      <c r="I270" s="1" t="s">
        <v>863</v>
      </c>
      <c r="J270" s="1"/>
    </row>
    <row r="271" spans="1:10" customFormat="1" hidden="1">
      <c r="A271" s="96" t="s">
        <v>1180</v>
      </c>
      <c r="B271" s="1" t="s">
        <v>172</v>
      </c>
      <c r="C271" s="1" t="s">
        <v>860</v>
      </c>
      <c r="D271" s="96">
        <v>5</v>
      </c>
      <c r="E271" s="1" t="s">
        <v>791</v>
      </c>
      <c r="F271" s="115">
        <v>9012</v>
      </c>
      <c r="G271" s="90">
        <f t="shared" si="4"/>
        <v>45060</v>
      </c>
      <c r="H271" s="125">
        <v>46148</v>
      </c>
      <c r="I271" s="1" t="s">
        <v>1017</v>
      </c>
      <c r="J271" s="1"/>
    </row>
    <row r="272" spans="1:10" customFormat="1" hidden="1">
      <c r="A272" s="96" t="s">
        <v>1181</v>
      </c>
      <c r="B272" s="1" t="s">
        <v>172</v>
      </c>
      <c r="C272" s="1" t="s">
        <v>860</v>
      </c>
      <c r="D272" s="96">
        <v>2</v>
      </c>
      <c r="E272" s="1" t="s">
        <v>791</v>
      </c>
      <c r="F272" s="115">
        <v>37925</v>
      </c>
      <c r="G272" s="90">
        <f t="shared" si="4"/>
        <v>75850</v>
      </c>
      <c r="H272" s="125">
        <v>46148</v>
      </c>
      <c r="I272" s="1" t="s">
        <v>1182</v>
      </c>
      <c r="J272" s="1"/>
    </row>
    <row r="273" spans="1:10" customFormat="1" hidden="1">
      <c r="A273" s="96" t="s">
        <v>1183</v>
      </c>
      <c r="B273" s="1" t="s">
        <v>172</v>
      </c>
      <c r="C273" s="1" t="s">
        <v>860</v>
      </c>
      <c r="D273" s="96">
        <v>10</v>
      </c>
      <c r="E273" s="1" t="s">
        <v>791</v>
      </c>
      <c r="F273" s="115">
        <v>19298</v>
      </c>
      <c r="G273" s="90">
        <f t="shared" si="4"/>
        <v>192980</v>
      </c>
      <c r="H273" s="125">
        <v>46148</v>
      </c>
      <c r="I273" s="1" t="s">
        <v>1182</v>
      </c>
      <c r="J273" s="1"/>
    </row>
    <row r="274" spans="1:10" customFormat="1" hidden="1">
      <c r="A274" s="96" t="s">
        <v>1184</v>
      </c>
      <c r="B274" s="1" t="s">
        <v>16</v>
      </c>
      <c r="C274" s="1" t="s">
        <v>1131</v>
      </c>
      <c r="D274" s="96">
        <v>16</v>
      </c>
      <c r="E274" s="1" t="s">
        <v>791</v>
      </c>
      <c r="F274" s="115">
        <v>11750</v>
      </c>
      <c r="G274" s="90">
        <f t="shared" si="4"/>
        <v>188000</v>
      </c>
      <c r="H274" s="125">
        <v>46141</v>
      </c>
      <c r="I274" s="1" t="s">
        <v>1185</v>
      </c>
      <c r="J274" s="1"/>
    </row>
    <row r="275" spans="1:10" customFormat="1" hidden="1">
      <c r="A275" s="96" t="s">
        <v>1186</v>
      </c>
      <c r="B275" s="1" t="s">
        <v>16</v>
      </c>
      <c r="C275" s="1" t="s">
        <v>1131</v>
      </c>
      <c r="D275" s="96">
        <f>1+5+1</f>
        <v>7</v>
      </c>
      <c r="E275" s="1" t="s">
        <v>791</v>
      </c>
      <c r="F275" s="115">
        <f>33920*0.8</f>
        <v>27136</v>
      </c>
      <c r="G275" s="90">
        <f t="shared" si="4"/>
        <v>189952</v>
      </c>
      <c r="H275" s="125">
        <v>46141</v>
      </c>
      <c r="I275" s="119" t="s">
        <v>820</v>
      </c>
      <c r="J275" s="1"/>
    </row>
    <row r="276" spans="1:10" customFormat="1" hidden="1">
      <c r="A276" s="96" t="s">
        <v>1187</v>
      </c>
      <c r="B276" s="1" t="s">
        <v>16</v>
      </c>
      <c r="C276" s="1" t="s">
        <v>1131</v>
      </c>
      <c r="D276" s="96">
        <v>7</v>
      </c>
      <c r="E276" s="1" t="s">
        <v>791</v>
      </c>
      <c r="F276" s="115">
        <v>36200</v>
      </c>
      <c r="G276" s="90">
        <f t="shared" si="4"/>
        <v>253400</v>
      </c>
      <c r="H276" s="125">
        <v>46141</v>
      </c>
      <c r="I276" s="1" t="s">
        <v>1185</v>
      </c>
      <c r="J276" s="1"/>
    </row>
    <row r="277" spans="1:10" hidden="1">
      <c r="A277" s="96" t="s">
        <v>1188</v>
      </c>
      <c r="B277" s="1" t="s">
        <v>16</v>
      </c>
      <c r="C277" s="1" t="s">
        <v>1131</v>
      </c>
      <c r="D277" s="96">
        <v>2</v>
      </c>
      <c r="E277" s="1" t="s">
        <v>791</v>
      </c>
      <c r="F277" s="115">
        <f>75200*0.8</f>
        <v>60160</v>
      </c>
      <c r="G277" s="90">
        <f t="shared" si="4"/>
        <v>120320</v>
      </c>
      <c r="H277" s="125">
        <v>46141</v>
      </c>
      <c r="I277" s="119" t="s">
        <v>820</v>
      </c>
      <c r="J277" s="1"/>
    </row>
    <row r="278" spans="1:10" hidden="1">
      <c r="A278" s="157" t="s">
        <v>1189</v>
      </c>
      <c r="B278" s="119" t="s">
        <v>13</v>
      </c>
      <c r="C278" s="119" t="s">
        <v>1131</v>
      </c>
      <c r="D278" s="157">
        <v>7</v>
      </c>
      <c r="E278" s="1" t="s">
        <v>791</v>
      </c>
      <c r="F278" s="134">
        <f>13810*0.8</f>
        <v>11048</v>
      </c>
      <c r="G278" s="90">
        <f t="shared" si="4"/>
        <v>77336</v>
      </c>
      <c r="H278" s="158">
        <v>46141</v>
      </c>
      <c r="I278" s="119" t="s">
        <v>822</v>
      </c>
      <c r="J278" s="119"/>
    </row>
    <row r="279" spans="1:10" hidden="1">
      <c r="A279" s="157" t="s">
        <v>1190</v>
      </c>
      <c r="B279" s="119" t="s">
        <v>13</v>
      </c>
      <c r="C279" s="119" t="s">
        <v>1131</v>
      </c>
      <c r="D279" s="157">
        <v>2</v>
      </c>
      <c r="E279" s="1" t="s">
        <v>791</v>
      </c>
      <c r="F279" s="134">
        <v>12500</v>
      </c>
      <c r="G279" s="90">
        <f t="shared" si="4"/>
        <v>25000</v>
      </c>
      <c r="H279" s="158">
        <v>46141</v>
      </c>
      <c r="I279" s="119" t="s">
        <v>1132</v>
      </c>
      <c r="J279" s="119"/>
    </row>
    <row r="280" spans="1:10" hidden="1">
      <c r="A280" s="157" t="s">
        <v>1191</v>
      </c>
      <c r="B280" s="119" t="s">
        <v>13</v>
      </c>
      <c r="C280" s="119" t="s">
        <v>1131</v>
      </c>
      <c r="D280" s="157">
        <v>7</v>
      </c>
      <c r="E280" s="1" t="s">
        <v>791</v>
      </c>
      <c r="F280" s="134">
        <v>24000</v>
      </c>
      <c r="G280" s="90">
        <f t="shared" si="4"/>
        <v>168000</v>
      </c>
      <c r="H280" s="158">
        <v>46141</v>
      </c>
      <c r="I280" s="119" t="s">
        <v>1192</v>
      </c>
      <c r="J280" s="119"/>
    </row>
    <row r="281" spans="1:10" hidden="1">
      <c r="A281" s="157" t="s">
        <v>1193</v>
      </c>
      <c r="B281" s="119" t="s">
        <v>13</v>
      </c>
      <c r="C281" s="119" t="s">
        <v>1131</v>
      </c>
      <c r="D281" s="157">
        <v>5</v>
      </c>
      <c r="E281" s="1" t="s">
        <v>791</v>
      </c>
      <c r="F281" s="134">
        <v>35251</v>
      </c>
      <c r="G281" s="90">
        <f t="shared" si="4"/>
        <v>176255</v>
      </c>
      <c r="H281" s="158">
        <v>46141</v>
      </c>
      <c r="I281" s="119" t="s">
        <v>1132</v>
      </c>
      <c r="J281" s="119"/>
    </row>
    <row r="282" spans="1:10" hidden="1">
      <c r="A282" s="157" t="s">
        <v>1194</v>
      </c>
      <c r="B282" s="119" t="s">
        <v>13</v>
      </c>
      <c r="C282" s="119" t="s">
        <v>1131</v>
      </c>
      <c r="D282" s="157">
        <v>1</v>
      </c>
      <c r="E282" s="1" t="s">
        <v>791</v>
      </c>
      <c r="F282" s="134">
        <f>171950*0.8</f>
        <v>137560</v>
      </c>
      <c r="G282" s="90">
        <f t="shared" si="4"/>
        <v>137560</v>
      </c>
      <c r="H282" s="158">
        <v>46141</v>
      </c>
      <c r="I282" s="119" t="s">
        <v>1195</v>
      </c>
      <c r="J282" s="119"/>
    </row>
    <row r="283" spans="1:10" hidden="1">
      <c r="A283" s="157" t="s">
        <v>1196</v>
      </c>
      <c r="B283" s="119" t="s">
        <v>13</v>
      </c>
      <c r="C283" s="119" t="s">
        <v>1131</v>
      </c>
      <c r="D283" s="157">
        <v>8</v>
      </c>
      <c r="E283" s="1" t="s">
        <v>791</v>
      </c>
      <c r="F283" s="134">
        <f>331780*0.8</f>
        <v>265424</v>
      </c>
      <c r="G283" s="90">
        <f t="shared" si="4"/>
        <v>2123392</v>
      </c>
      <c r="H283" s="158">
        <v>46141</v>
      </c>
      <c r="I283" s="119" t="s">
        <v>1145</v>
      </c>
      <c r="J283" s="119"/>
    </row>
    <row r="284" spans="1:10" customFormat="1" hidden="1">
      <c r="A284" s="157" t="s">
        <v>1197</v>
      </c>
      <c r="B284" s="119" t="s">
        <v>13</v>
      </c>
      <c r="C284" s="119" t="s">
        <v>860</v>
      </c>
      <c r="D284" s="157">
        <v>1</v>
      </c>
      <c r="E284" s="1" t="s">
        <v>791</v>
      </c>
      <c r="F284" s="134">
        <f>6600*0.8</f>
        <v>5280</v>
      </c>
      <c r="G284" s="90">
        <f t="shared" si="4"/>
        <v>5280</v>
      </c>
      <c r="H284" s="158">
        <v>46141</v>
      </c>
      <c r="I284" s="119" t="s">
        <v>1198</v>
      </c>
      <c r="J284" s="119"/>
    </row>
    <row r="285" spans="1:10" customFormat="1" hidden="1">
      <c r="A285" s="96" t="s">
        <v>1199</v>
      </c>
      <c r="B285" s="1" t="s">
        <v>830</v>
      </c>
      <c r="C285" s="1" t="s">
        <v>831</v>
      </c>
      <c r="D285" s="96">
        <v>56</v>
      </c>
      <c r="E285" s="1" t="s">
        <v>791</v>
      </c>
      <c r="F285" s="115">
        <f>1610*0.8</f>
        <v>1288</v>
      </c>
      <c r="G285" s="90">
        <f t="shared" si="4"/>
        <v>72128</v>
      </c>
      <c r="H285" s="125">
        <v>46146</v>
      </c>
      <c r="I285" s="1" t="s">
        <v>1055</v>
      </c>
      <c r="J285" s="1"/>
    </row>
    <row r="286" spans="1:10" customFormat="1" hidden="1">
      <c r="A286" s="96" t="s">
        <v>1200</v>
      </c>
      <c r="B286" s="1" t="s">
        <v>830</v>
      </c>
      <c r="C286" s="1" t="s">
        <v>831</v>
      </c>
      <c r="D286" s="96">
        <v>63</v>
      </c>
      <c r="E286" s="1" t="s">
        <v>791</v>
      </c>
      <c r="F286" s="115">
        <v>6500</v>
      </c>
      <c r="G286" s="90">
        <f t="shared" si="4"/>
        <v>409500</v>
      </c>
      <c r="H286" s="125">
        <v>46146</v>
      </c>
      <c r="I286" s="1" t="s">
        <v>868</v>
      </c>
      <c r="J286" s="1" t="s">
        <v>735</v>
      </c>
    </row>
    <row r="287" spans="1:10" customFormat="1" hidden="1">
      <c r="A287" s="96" t="s">
        <v>1201</v>
      </c>
      <c r="B287" s="1" t="s">
        <v>830</v>
      </c>
      <c r="C287" s="1" t="s">
        <v>831</v>
      </c>
      <c r="D287" s="96">
        <v>1</v>
      </c>
      <c r="E287" s="1" t="s">
        <v>791</v>
      </c>
      <c r="F287" s="115">
        <f>13475*0.8</f>
        <v>10780</v>
      </c>
      <c r="G287" s="90">
        <f t="shared" si="4"/>
        <v>10780</v>
      </c>
      <c r="H287" s="125">
        <v>46146</v>
      </c>
      <c r="I287" s="1" t="s">
        <v>1202</v>
      </c>
      <c r="J287" s="1"/>
    </row>
    <row r="288" spans="1:10" customFormat="1" hidden="1">
      <c r="A288" s="96" t="s">
        <v>1203</v>
      </c>
      <c r="B288" s="1" t="s">
        <v>830</v>
      </c>
      <c r="C288" s="1" t="s">
        <v>831</v>
      </c>
      <c r="D288" s="96">
        <v>7</v>
      </c>
      <c r="E288" s="1" t="s">
        <v>791</v>
      </c>
      <c r="F288" s="115">
        <f>+F286</f>
        <v>6500</v>
      </c>
      <c r="G288" s="90">
        <f t="shared" si="4"/>
        <v>45500</v>
      </c>
      <c r="H288" s="125">
        <v>46146</v>
      </c>
      <c r="I288" s="1" t="s">
        <v>868</v>
      </c>
      <c r="J288" s="1" t="s">
        <v>735</v>
      </c>
    </row>
    <row r="289" spans="1:10" customFormat="1" hidden="1">
      <c r="A289" s="96" t="s">
        <v>1204</v>
      </c>
      <c r="B289" s="1" t="s">
        <v>32</v>
      </c>
      <c r="C289" s="1" t="s">
        <v>860</v>
      </c>
      <c r="D289" s="96">
        <v>5</v>
      </c>
      <c r="E289" s="1" t="s">
        <v>791</v>
      </c>
      <c r="F289" s="115">
        <f>8947*0.48</f>
        <v>4294.5599999999995</v>
      </c>
      <c r="G289" s="90">
        <f t="shared" si="4"/>
        <v>21472.799999999996</v>
      </c>
      <c r="H289" s="125">
        <v>46133</v>
      </c>
      <c r="I289" s="1" t="s">
        <v>873</v>
      </c>
      <c r="J289" s="1"/>
    </row>
    <row r="290" spans="1:10" customFormat="1" hidden="1">
      <c r="A290" s="96" t="s">
        <v>1205</v>
      </c>
      <c r="B290" s="1" t="s">
        <v>32</v>
      </c>
      <c r="C290" s="1" t="s">
        <v>860</v>
      </c>
      <c r="D290" s="96">
        <v>36</v>
      </c>
      <c r="E290" s="1" t="s">
        <v>791</v>
      </c>
      <c r="F290" s="115">
        <f>1277*0.48</f>
        <v>612.95999999999992</v>
      </c>
      <c r="G290" s="90">
        <f t="shared" si="4"/>
        <v>22066.559999999998</v>
      </c>
      <c r="H290" s="125">
        <v>46133</v>
      </c>
      <c r="I290" s="1" t="s">
        <v>873</v>
      </c>
      <c r="J290" s="1"/>
    </row>
    <row r="291" spans="1:10" customFormat="1" hidden="1">
      <c r="A291" s="96" t="s">
        <v>1206</v>
      </c>
      <c r="B291" s="1" t="s">
        <v>32</v>
      </c>
      <c r="C291" s="1" t="s">
        <v>860</v>
      </c>
      <c r="D291" s="96">
        <v>16</v>
      </c>
      <c r="E291" s="1" t="s">
        <v>791</v>
      </c>
      <c r="F291" s="115">
        <f>2495*0.48</f>
        <v>1197.5999999999999</v>
      </c>
      <c r="G291" s="90">
        <f t="shared" si="4"/>
        <v>19161.599999999999</v>
      </c>
      <c r="H291" s="125">
        <v>46133</v>
      </c>
      <c r="I291" s="1" t="s">
        <v>873</v>
      </c>
      <c r="J291" s="1"/>
    </row>
    <row r="292" spans="1:10" customFormat="1" hidden="1">
      <c r="A292" s="96" t="s">
        <v>1207</v>
      </c>
      <c r="B292" s="1" t="s">
        <v>32</v>
      </c>
      <c r="C292" s="1" t="s">
        <v>860</v>
      </c>
      <c r="D292" s="96">
        <v>21</v>
      </c>
      <c r="E292" s="1" t="s">
        <v>791</v>
      </c>
      <c r="F292" s="115">
        <f>14663*0.48</f>
        <v>7038.24</v>
      </c>
      <c r="G292" s="90">
        <f t="shared" si="4"/>
        <v>147803.04</v>
      </c>
      <c r="H292" s="125">
        <v>46133</v>
      </c>
      <c r="I292" s="1" t="s">
        <v>873</v>
      </c>
      <c r="J292" s="1"/>
    </row>
    <row r="293" spans="1:10" customFormat="1" hidden="1">
      <c r="A293" s="96" t="s">
        <v>1208</v>
      </c>
      <c r="B293" s="1" t="s">
        <v>32</v>
      </c>
      <c r="C293" s="1" t="s">
        <v>860</v>
      </c>
      <c r="D293" s="96">
        <v>1</v>
      </c>
      <c r="E293" s="1" t="s">
        <v>791</v>
      </c>
      <c r="F293" s="115">
        <f>86800*0.8</f>
        <v>69440</v>
      </c>
      <c r="G293" s="90">
        <f t="shared" si="4"/>
        <v>69440</v>
      </c>
      <c r="H293" s="125">
        <v>46133</v>
      </c>
      <c r="I293" s="1" t="s">
        <v>1157</v>
      </c>
      <c r="J293" s="1"/>
    </row>
    <row r="294" spans="1:10" customFormat="1" hidden="1">
      <c r="A294" s="96" t="s">
        <v>1209</v>
      </c>
      <c r="B294" s="1" t="s">
        <v>32</v>
      </c>
      <c r="C294" s="1" t="s">
        <v>887</v>
      </c>
      <c r="D294" s="96">
        <v>1</v>
      </c>
      <c r="E294" s="1" t="s">
        <v>791</v>
      </c>
      <c r="F294" s="148">
        <f>5860*0.8</f>
        <v>4688</v>
      </c>
      <c r="G294" s="90">
        <f t="shared" si="4"/>
        <v>4688</v>
      </c>
      <c r="H294" s="150">
        <v>46133</v>
      </c>
      <c r="I294" t="s">
        <v>1210</v>
      </c>
      <c r="J294" s="1"/>
    </row>
    <row r="295" spans="1:10" customFormat="1" hidden="1">
      <c r="A295" s="96" t="s">
        <v>1211</v>
      </c>
      <c r="B295" s="1" t="s">
        <v>32</v>
      </c>
      <c r="C295" s="1" t="s">
        <v>887</v>
      </c>
      <c r="D295" s="96">
        <v>1</v>
      </c>
      <c r="E295" s="1" t="s">
        <v>791</v>
      </c>
      <c r="F295" s="115">
        <f>4170*0.8</f>
        <v>3336</v>
      </c>
      <c r="G295" s="90">
        <f t="shared" si="4"/>
        <v>3336</v>
      </c>
      <c r="H295" s="125">
        <v>46133</v>
      </c>
      <c r="I295" s="119" t="s">
        <v>820</v>
      </c>
      <c r="J295" s="1"/>
    </row>
    <row r="296" spans="1:10" customFormat="1" hidden="1">
      <c r="A296" s="96" t="s">
        <v>1212</v>
      </c>
      <c r="B296" s="1" t="s">
        <v>193</v>
      </c>
      <c r="C296" s="1" t="s">
        <v>1059</v>
      </c>
      <c r="D296" s="96">
        <v>8</v>
      </c>
      <c r="E296" s="1" t="s">
        <v>791</v>
      </c>
      <c r="F296" s="115">
        <f>3497*0.48</f>
        <v>1678.56</v>
      </c>
      <c r="G296" s="90">
        <f t="shared" si="4"/>
        <v>13428.48</v>
      </c>
      <c r="H296" s="125">
        <v>46146</v>
      </c>
      <c r="I296" s="1" t="s">
        <v>873</v>
      </c>
      <c r="J296" s="1"/>
    </row>
    <row r="297" spans="1:10" customFormat="1" hidden="1">
      <c r="A297" s="96" t="s">
        <v>1213</v>
      </c>
      <c r="B297" s="1" t="s">
        <v>193</v>
      </c>
      <c r="C297" s="1" t="s">
        <v>1059</v>
      </c>
      <c r="D297" s="96">
        <v>10</v>
      </c>
      <c r="E297" s="1" t="s">
        <v>791</v>
      </c>
      <c r="F297" s="115">
        <f>4098*0.48</f>
        <v>1967.04</v>
      </c>
      <c r="G297" s="90">
        <f t="shared" si="4"/>
        <v>19670.400000000001</v>
      </c>
      <c r="H297" s="125">
        <v>46146</v>
      </c>
      <c r="I297" s="1" t="s">
        <v>873</v>
      </c>
      <c r="J297" s="1"/>
    </row>
    <row r="298" spans="1:10" customFormat="1" hidden="1">
      <c r="A298" s="96" t="s">
        <v>1214</v>
      </c>
      <c r="B298" s="1" t="s">
        <v>193</v>
      </c>
      <c r="C298" s="1" t="s">
        <v>1059</v>
      </c>
      <c r="D298" s="96">
        <v>4</v>
      </c>
      <c r="E298" s="1" t="s">
        <v>791</v>
      </c>
      <c r="F298" s="115">
        <f>16508*0.48</f>
        <v>7923.84</v>
      </c>
      <c r="G298" s="90">
        <f t="shared" si="4"/>
        <v>31695.360000000001</v>
      </c>
      <c r="H298" s="125">
        <v>46146</v>
      </c>
      <c r="I298" s="1" t="s">
        <v>873</v>
      </c>
      <c r="J298" s="1"/>
    </row>
    <row r="299" spans="1:10" customFormat="1" hidden="1">
      <c r="A299" s="96" t="s">
        <v>1215</v>
      </c>
      <c r="B299" s="1" t="s">
        <v>193</v>
      </c>
      <c r="C299" s="1" t="s">
        <v>1059</v>
      </c>
      <c r="D299" s="96">
        <v>10</v>
      </c>
      <c r="E299" s="1" t="s">
        <v>791</v>
      </c>
      <c r="F299" s="115">
        <f>139734*0.48</f>
        <v>67072.319999999992</v>
      </c>
      <c r="G299" s="90">
        <f t="shared" si="4"/>
        <v>670723.19999999995</v>
      </c>
      <c r="H299" s="125">
        <v>46146</v>
      </c>
      <c r="I299" s="1" t="s">
        <v>873</v>
      </c>
      <c r="J299" s="1"/>
    </row>
    <row r="300" spans="1:10" customFormat="1" hidden="1">
      <c r="A300" s="1" t="s">
        <v>1216</v>
      </c>
      <c r="B300" s="1" t="s">
        <v>193</v>
      </c>
      <c r="C300" s="1" t="s">
        <v>1059</v>
      </c>
      <c r="D300" s="1"/>
      <c r="E300" s="1" t="s">
        <v>791</v>
      </c>
      <c r="F300" s="90"/>
      <c r="G300" s="90">
        <f t="shared" si="4"/>
        <v>0</v>
      </c>
      <c r="H300" s="61"/>
      <c r="I300" s="1">
        <v>0</v>
      </c>
      <c r="J300" s="1"/>
    </row>
    <row r="301" spans="1:10" customFormat="1" hidden="1">
      <c r="A301" s="96" t="s">
        <v>1217</v>
      </c>
      <c r="B301" s="1" t="s">
        <v>32</v>
      </c>
      <c r="C301" s="1" t="s">
        <v>887</v>
      </c>
      <c r="D301" s="96">
        <v>4</v>
      </c>
      <c r="E301" s="1" t="s">
        <v>791</v>
      </c>
      <c r="F301" s="115">
        <f>20540*0.8</f>
        <v>16432</v>
      </c>
      <c r="G301" s="90">
        <f t="shared" si="4"/>
        <v>65728</v>
      </c>
      <c r="H301" s="125">
        <v>46133</v>
      </c>
      <c r="I301" s="1" t="s">
        <v>1218</v>
      </c>
      <c r="J301" s="1"/>
    </row>
    <row r="302" spans="1:10" customFormat="1" hidden="1">
      <c r="A302" s="96" t="s">
        <v>1219</v>
      </c>
      <c r="B302" s="1" t="s">
        <v>32</v>
      </c>
      <c r="C302" s="1" t="s">
        <v>887</v>
      </c>
      <c r="D302" s="96">
        <v>2</v>
      </c>
      <c r="E302" s="1" t="s">
        <v>791</v>
      </c>
      <c r="F302" s="115">
        <v>21757</v>
      </c>
      <c r="G302" s="90">
        <f t="shared" si="4"/>
        <v>43514</v>
      </c>
      <c r="H302" s="125">
        <v>46133</v>
      </c>
      <c r="I302" s="1" t="s">
        <v>1220</v>
      </c>
      <c r="J302" s="1"/>
    </row>
    <row r="303" spans="1:10" customFormat="1" hidden="1">
      <c r="A303" s="96" t="s">
        <v>1221</v>
      </c>
      <c r="B303" s="1" t="s">
        <v>32</v>
      </c>
      <c r="C303" s="1" t="s">
        <v>887</v>
      </c>
      <c r="D303" s="96">
        <v>2</v>
      </c>
      <c r="E303" s="1" t="s">
        <v>791</v>
      </c>
      <c r="F303" s="115">
        <f>8530*0.8</f>
        <v>6824</v>
      </c>
      <c r="G303" s="90">
        <f t="shared" si="4"/>
        <v>13648</v>
      </c>
      <c r="H303" s="125">
        <v>46133</v>
      </c>
      <c r="I303" s="119" t="s">
        <v>820</v>
      </c>
      <c r="J303" s="1"/>
    </row>
    <row r="304" spans="1:10" customFormat="1" hidden="1">
      <c r="A304" s="96" t="s">
        <v>1222</v>
      </c>
      <c r="B304" s="1" t="s">
        <v>321</v>
      </c>
      <c r="C304" s="1"/>
      <c r="D304" s="96">
        <v>2</v>
      </c>
      <c r="E304" s="1" t="s">
        <v>791</v>
      </c>
      <c r="F304" s="115">
        <v>4532</v>
      </c>
      <c r="G304" s="90">
        <f t="shared" si="4"/>
        <v>9064</v>
      </c>
      <c r="H304" s="125">
        <v>46141</v>
      </c>
      <c r="I304" s="114" t="s">
        <v>1223</v>
      </c>
      <c r="J304" s="1"/>
    </row>
    <row r="305" spans="1:10" customFormat="1" hidden="1">
      <c r="A305" s="96" t="s">
        <v>1224</v>
      </c>
      <c r="B305" s="1" t="s">
        <v>321</v>
      </c>
      <c r="C305" s="1"/>
      <c r="D305" s="96">
        <v>12</v>
      </c>
      <c r="E305" s="1" t="s">
        <v>791</v>
      </c>
      <c r="F305" s="115">
        <v>4170</v>
      </c>
      <c r="G305" s="90">
        <f t="shared" si="4"/>
        <v>50040</v>
      </c>
      <c r="H305" s="125">
        <v>46141</v>
      </c>
      <c r="I305" s="114" t="s">
        <v>960</v>
      </c>
      <c r="J305" s="1"/>
    </row>
    <row r="306" spans="1:10" customFormat="1" hidden="1">
      <c r="A306" s="96" t="s">
        <v>1225</v>
      </c>
      <c r="B306" s="1" t="s">
        <v>321</v>
      </c>
      <c r="C306" s="1"/>
      <c r="D306" s="96">
        <v>6</v>
      </c>
      <c r="E306" s="1" t="s">
        <v>791</v>
      </c>
      <c r="F306" s="115">
        <v>1820</v>
      </c>
      <c r="G306" s="90">
        <f t="shared" si="4"/>
        <v>10920</v>
      </c>
      <c r="H306" s="125">
        <v>46141</v>
      </c>
      <c r="I306" s="114" t="s">
        <v>960</v>
      </c>
      <c r="J306" s="1"/>
    </row>
    <row r="307" spans="1:10" customFormat="1" hidden="1">
      <c r="A307" s="96" t="s">
        <v>1226</v>
      </c>
      <c r="B307" s="1" t="s">
        <v>321</v>
      </c>
      <c r="C307" s="1"/>
      <c r="D307" s="96">
        <v>17</v>
      </c>
      <c r="E307" s="1" t="s">
        <v>791</v>
      </c>
      <c r="F307" s="115">
        <v>7040</v>
      </c>
      <c r="G307" s="90">
        <f t="shared" si="4"/>
        <v>119680</v>
      </c>
      <c r="H307" s="125">
        <v>46141</v>
      </c>
      <c r="I307" s="114" t="s">
        <v>973</v>
      </c>
      <c r="J307" s="1"/>
    </row>
    <row r="308" spans="1:10" customFormat="1" hidden="1">
      <c r="A308" s="96" t="s">
        <v>1227</v>
      </c>
      <c r="B308" s="1" t="s">
        <v>321</v>
      </c>
      <c r="C308" s="1"/>
      <c r="D308" s="96">
        <v>17</v>
      </c>
      <c r="E308" s="1" t="s">
        <v>791</v>
      </c>
      <c r="F308" s="115">
        <v>13900</v>
      </c>
      <c r="G308" s="90">
        <f t="shared" si="4"/>
        <v>236300</v>
      </c>
      <c r="H308" s="125">
        <v>46141</v>
      </c>
      <c r="I308" s="114" t="s">
        <v>960</v>
      </c>
      <c r="J308" s="1"/>
    </row>
    <row r="309" spans="1:10" customFormat="1" hidden="1">
      <c r="A309" s="96" t="s">
        <v>1228</v>
      </c>
      <c r="B309" s="1" t="s">
        <v>321</v>
      </c>
      <c r="C309" s="1"/>
      <c r="D309" s="96">
        <v>1</v>
      </c>
      <c r="E309" s="1" t="s">
        <v>791</v>
      </c>
      <c r="F309" s="115">
        <f>2280*0.8</f>
        <v>1824</v>
      </c>
      <c r="G309" s="90">
        <f t="shared" si="4"/>
        <v>1824</v>
      </c>
      <c r="H309" s="125">
        <v>46141</v>
      </c>
      <c r="I309" s="119" t="s">
        <v>820</v>
      </c>
      <c r="J309" s="1"/>
    </row>
    <row r="310" spans="1:10" customFormat="1" hidden="1">
      <c r="A310" s="96" t="s">
        <v>1229</v>
      </c>
      <c r="B310" s="1" t="s">
        <v>460</v>
      </c>
      <c r="C310" s="1" t="s">
        <v>860</v>
      </c>
      <c r="D310" s="96">
        <v>3</v>
      </c>
      <c r="E310" s="1" t="s">
        <v>791</v>
      </c>
      <c r="F310" s="115">
        <f>2550*0.8</f>
        <v>2040</v>
      </c>
      <c r="G310" s="90">
        <f t="shared" si="4"/>
        <v>6120</v>
      </c>
      <c r="H310" s="125">
        <v>46142</v>
      </c>
      <c r="I310" s="1" t="s">
        <v>1230</v>
      </c>
      <c r="J310" s="1"/>
    </row>
    <row r="311" spans="1:10" customFormat="1" hidden="1">
      <c r="A311" s="96" t="s">
        <v>1231</v>
      </c>
      <c r="B311" s="1" t="s">
        <v>460</v>
      </c>
      <c r="C311" s="1" t="s">
        <v>860</v>
      </c>
      <c r="D311" s="96">
        <v>1</v>
      </c>
      <c r="E311" s="1" t="s">
        <v>791</v>
      </c>
      <c r="F311" s="115">
        <f>1430*0.8</f>
        <v>1144</v>
      </c>
      <c r="G311" s="90">
        <f t="shared" si="4"/>
        <v>1144</v>
      </c>
      <c r="H311" s="125">
        <v>46142</v>
      </c>
      <c r="I311" s="1" t="s">
        <v>1052</v>
      </c>
      <c r="J311" s="1"/>
    </row>
    <row r="312" spans="1:10" customFormat="1" hidden="1">
      <c r="A312" s="96" t="s">
        <v>1232</v>
      </c>
      <c r="B312" s="1" t="s">
        <v>460</v>
      </c>
      <c r="C312" s="1" t="s">
        <v>860</v>
      </c>
      <c r="D312" s="96">
        <v>4</v>
      </c>
      <c r="E312" s="1" t="s">
        <v>791</v>
      </c>
      <c r="F312" s="115">
        <f>37000*0.8</f>
        <v>29600</v>
      </c>
      <c r="G312" s="90">
        <f t="shared" si="4"/>
        <v>118400</v>
      </c>
      <c r="H312" s="125">
        <v>46142</v>
      </c>
      <c r="I312" s="1" t="s">
        <v>969</v>
      </c>
      <c r="J312" s="1"/>
    </row>
    <row r="313" spans="1:10" customFormat="1" hidden="1">
      <c r="A313" s="96" t="s">
        <v>1233</v>
      </c>
      <c r="B313" s="1" t="s">
        <v>32</v>
      </c>
      <c r="C313" s="1" t="s">
        <v>860</v>
      </c>
      <c r="D313" s="96">
        <v>7</v>
      </c>
      <c r="E313" s="1" t="s">
        <v>791</v>
      </c>
      <c r="F313" s="115">
        <f>4792*0.48</f>
        <v>2300.16</v>
      </c>
      <c r="G313" s="90">
        <f t="shared" si="4"/>
        <v>16101.119999999999</v>
      </c>
      <c r="H313" s="125">
        <v>46133</v>
      </c>
      <c r="I313" s="1" t="s">
        <v>873</v>
      </c>
      <c r="J313" s="1"/>
    </row>
    <row r="314" spans="1:10" customFormat="1" hidden="1">
      <c r="A314" s="96" t="s">
        <v>1234</v>
      </c>
      <c r="B314" s="1" t="s">
        <v>32</v>
      </c>
      <c r="C314" s="1" t="s">
        <v>860</v>
      </c>
      <c r="D314" s="96">
        <v>20</v>
      </c>
      <c r="E314" s="1" t="s">
        <v>791</v>
      </c>
      <c r="F314" s="115">
        <f>118549*0.48</f>
        <v>56903.519999999997</v>
      </c>
      <c r="G314" s="90">
        <f t="shared" si="4"/>
        <v>1138070.3999999999</v>
      </c>
      <c r="H314" s="125">
        <v>46133</v>
      </c>
      <c r="I314" s="1" t="s">
        <v>873</v>
      </c>
      <c r="J314" s="1"/>
    </row>
    <row r="315" spans="1:10" customFormat="1" hidden="1">
      <c r="A315" s="96" t="s">
        <v>1235</v>
      </c>
      <c r="B315" s="1" t="s">
        <v>321</v>
      </c>
      <c r="C315" s="1"/>
      <c r="D315" s="96">
        <v>2</v>
      </c>
      <c r="E315" s="1" t="s">
        <v>791</v>
      </c>
      <c r="F315" s="115">
        <v>24700</v>
      </c>
      <c r="G315" s="90">
        <f t="shared" si="4"/>
        <v>49400</v>
      </c>
      <c r="H315" s="125">
        <v>46141</v>
      </c>
      <c r="I315" s="114" t="s">
        <v>1236</v>
      </c>
      <c r="J315" s="1"/>
    </row>
    <row r="316" spans="1:10" customFormat="1" hidden="1">
      <c r="A316" s="96" t="s">
        <v>1237</v>
      </c>
      <c r="B316" s="1" t="s">
        <v>32</v>
      </c>
      <c r="C316" s="1" t="s">
        <v>887</v>
      </c>
      <c r="D316" s="96">
        <v>1</v>
      </c>
      <c r="E316" s="1" t="s">
        <v>791</v>
      </c>
      <c r="F316" s="115">
        <f>85100*0.8</f>
        <v>68080</v>
      </c>
      <c r="G316" s="90">
        <f t="shared" si="4"/>
        <v>68080</v>
      </c>
      <c r="H316" s="125">
        <v>46133</v>
      </c>
      <c r="I316" s="1" t="s">
        <v>1238</v>
      </c>
      <c r="J316" s="1"/>
    </row>
    <row r="317" spans="1:10" s="174" customFormat="1" hidden="1">
      <c r="A317" s="172" t="s">
        <v>1239</v>
      </c>
      <c r="B317" s="172" t="s">
        <v>368</v>
      </c>
      <c r="C317" s="172"/>
      <c r="D317" s="172">
        <v>3</v>
      </c>
      <c r="E317" s="1" t="s">
        <v>791</v>
      </c>
      <c r="F317" s="202"/>
      <c r="G317" s="202">
        <f t="shared" si="4"/>
        <v>0</v>
      </c>
      <c r="H317" s="173">
        <v>46198</v>
      </c>
      <c r="I317" s="172"/>
      <c r="J317" s="172" t="s">
        <v>1240</v>
      </c>
    </row>
    <row r="318" spans="1:10" customFormat="1" hidden="1">
      <c r="A318" s="1" t="s">
        <v>1241</v>
      </c>
      <c r="B318" s="1" t="s">
        <v>1242</v>
      </c>
      <c r="C318" s="1"/>
      <c r="D318" s="96">
        <v>2</v>
      </c>
      <c r="E318" s="1" t="s">
        <v>791</v>
      </c>
      <c r="F318" s="115">
        <f>133128*0.8</f>
        <v>106502.40000000001</v>
      </c>
      <c r="G318" s="90">
        <f t="shared" si="4"/>
        <v>213004.80000000002</v>
      </c>
      <c r="H318" s="61"/>
      <c r="I318" s="1" t="s">
        <v>967</v>
      </c>
      <c r="J318" s="1"/>
    </row>
    <row r="319" spans="1:10" customFormat="1" hidden="1">
      <c r="A319" s="1" t="s">
        <v>1243</v>
      </c>
      <c r="B319" s="1" t="s">
        <v>1242</v>
      </c>
      <c r="C319" s="1"/>
      <c r="D319" s="1">
        <v>2</v>
      </c>
      <c r="E319" s="1" t="s">
        <v>791</v>
      </c>
      <c r="F319" s="111"/>
      <c r="G319" s="90">
        <f t="shared" si="4"/>
        <v>0</v>
      </c>
      <c r="H319" s="61"/>
      <c r="I319" s="1"/>
      <c r="J319" s="1"/>
    </row>
    <row r="320" spans="1:10" customFormat="1" hidden="1">
      <c r="A320" s="1" t="s">
        <v>1244</v>
      </c>
      <c r="B320" s="1" t="s">
        <v>1242</v>
      </c>
      <c r="C320" s="1"/>
      <c r="D320" s="1">
        <v>3</v>
      </c>
      <c r="E320" s="1" t="s">
        <v>791</v>
      </c>
      <c r="F320" s="111"/>
      <c r="G320" s="90">
        <f t="shared" si="4"/>
        <v>0</v>
      </c>
      <c r="H320" s="61"/>
      <c r="I320" s="1"/>
      <c r="J320" s="1"/>
    </row>
    <row r="321" spans="1:10" customFormat="1" hidden="1">
      <c r="A321" s="112" t="s">
        <v>1245</v>
      </c>
      <c r="B321" s="1" t="s">
        <v>32</v>
      </c>
      <c r="C321" s="1" t="s">
        <v>860</v>
      </c>
      <c r="D321" s="96">
        <v>8</v>
      </c>
      <c r="E321" s="1" t="s">
        <v>791</v>
      </c>
      <c r="F321" s="115">
        <f>29690*0.8</f>
        <v>23752</v>
      </c>
      <c r="G321" s="90">
        <f t="shared" si="4"/>
        <v>190016</v>
      </c>
      <c r="H321" s="125">
        <v>46133</v>
      </c>
      <c r="I321" s="119" t="s">
        <v>820</v>
      </c>
      <c r="J321" s="1"/>
    </row>
    <row r="322" spans="1:10" customFormat="1" hidden="1">
      <c r="A322" s="96" t="s">
        <v>1246</v>
      </c>
      <c r="B322" s="1" t="s">
        <v>32</v>
      </c>
      <c r="C322" s="1" t="s">
        <v>860</v>
      </c>
      <c r="D322" s="96">
        <v>5</v>
      </c>
      <c r="E322" s="1" t="s">
        <v>791</v>
      </c>
      <c r="F322" s="115">
        <f>27150*0.62</f>
        <v>16833</v>
      </c>
      <c r="G322" s="90">
        <f t="shared" ref="G322:G380" si="5">+D322*F322</f>
        <v>84165</v>
      </c>
      <c r="H322" s="125">
        <v>46133</v>
      </c>
      <c r="I322" s="1" t="s">
        <v>877</v>
      </c>
      <c r="J322" s="1"/>
    </row>
    <row r="323" spans="1:10" customFormat="1" hidden="1">
      <c r="A323" s="96" t="s">
        <v>1247</v>
      </c>
      <c r="B323" s="1" t="s">
        <v>32</v>
      </c>
      <c r="C323" s="1" t="s">
        <v>860</v>
      </c>
      <c r="D323" s="96">
        <v>2</v>
      </c>
      <c r="E323" s="1" t="s">
        <v>791</v>
      </c>
      <c r="F323" s="115">
        <f>27624*0.62</f>
        <v>17126.88</v>
      </c>
      <c r="G323" s="90">
        <f t="shared" si="5"/>
        <v>34253.760000000002</v>
      </c>
      <c r="H323" s="125">
        <v>46133</v>
      </c>
      <c r="I323" s="1" t="s">
        <v>877</v>
      </c>
      <c r="J323" s="1"/>
    </row>
    <row r="324" spans="1:10" customFormat="1" hidden="1">
      <c r="A324" s="112" t="s">
        <v>1248</v>
      </c>
      <c r="B324" s="1" t="s">
        <v>32</v>
      </c>
      <c r="C324" s="1" t="s">
        <v>860</v>
      </c>
      <c r="D324" s="96">
        <v>2</v>
      </c>
      <c r="E324" s="1" t="s">
        <v>791</v>
      </c>
      <c r="F324" s="115">
        <f>106500*0.8</f>
        <v>85200</v>
      </c>
      <c r="G324" s="90">
        <f t="shared" si="5"/>
        <v>170400</v>
      </c>
      <c r="H324" s="125">
        <v>46133</v>
      </c>
      <c r="I324" s="119" t="s">
        <v>820</v>
      </c>
      <c r="J324" s="1"/>
    </row>
    <row r="325" spans="1:10" customFormat="1" hidden="1">
      <c r="A325" s="96" t="s">
        <v>1249</v>
      </c>
      <c r="B325" s="1" t="s">
        <v>32</v>
      </c>
      <c r="C325" s="1" t="s">
        <v>860</v>
      </c>
      <c r="D325" s="96">
        <v>20</v>
      </c>
      <c r="E325" s="1" t="s">
        <v>791</v>
      </c>
      <c r="F325" s="115">
        <f>25200*0.8</f>
        <v>20160</v>
      </c>
      <c r="G325" s="90">
        <f t="shared" si="5"/>
        <v>403200</v>
      </c>
      <c r="H325" s="125">
        <v>46133</v>
      </c>
      <c r="I325" s="1" t="s">
        <v>989</v>
      </c>
      <c r="J325" s="1"/>
    </row>
    <row r="326" spans="1:10" customFormat="1" hidden="1">
      <c r="A326" s="96" t="s">
        <v>1250</v>
      </c>
      <c r="B326" s="1" t="s">
        <v>32</v>
      </c>
      <c r="C326" s="1" t="s">
        <v>887</v>
      </c>
      <c r="D326" s="96">
        <v>1</v>
      </c>
      <c r="E326" s="1" t="s">
        <v>791</v>
      </c>
      <c r="F326" s="115">
        <f>18750*0.8</f>
        <v>15000</v>
      </c>
      <c r="G326" s="90">
        <f t="shared" si="5"/>
        <v>15000</v>
      </c>
      <c r="H326" s="125">
        <v>46133</v>
      </c>
      <c r="I326" s="119" t="s">
        <v>820</v>
      </c>
      <c r="J326" s="1"/>
    </row>
    <row r="327" spans="1:10" customFormat="1" hidden="1">
      <c r="A327" s="1" t="s">
        <v>1251</v>
      </c>
      <c r="B327" s="1" t="s">
        <v>661</v>
      </c>
      <c r="C327" s="1"/>
      <c r="D327" s="1">
        <v>29</v>
      </c>
      <c r="E327" s="1" t="s">
        <v>791</v>
      </c>
      <c r="F327" s="90"/>
      <c r="G327" s="90">
        <f t="shared" si="5"/>
        <v>0</v>
      </c>
      <c r="H327" s="61"/>
      <c r="I327" s="1"/>
      <c r="J327" s="1"/>
    </row>
    <row r="328" spans="1:10" customFormat="1" hidden="1">
      <c r="A328" s="1" t="s">
        <v>1252</v>
      </c>
      <c r="B328" s="1" t="s">
        <v>661</v>
      </c>
      <c r="C328" s="1"/>
      <c r="D328" s="1">
        <v>6</v>
      </c>
      <c r="E328" s="1" t="s">
        <v>791</v>
      </c>
      <c r="F328" s="90"/>
      <c r="G328" s="90">
        <f t="shared" si="5"/>
        <v>0</v>
      </c>
      <c r="H328" s="61"/>
      <c r="I328" s="1"/>
      <c r="J328" s="1"/>
    </row>
    <row r="329" spans="1:10" customFormat="1" hidden="1">
      <c r="A329" s="1" t="s">
        <v>1253</v>
      </c>
      <c r="B329" s="1" t="s">
        <v>661</v>
      </c>
      <c r="C329" s="1"/>
      <c r="D329" s="1">
        <v>58</v>
      </c>
      <c r="E329" s="1" t="s">
        <v>791</v>
      </c>
      <c r="F329" s="90">
        <v>13298</v>
      </c>
      <c r="G329" s="90">
        <f t="shared" si="5"/>
        <v>771284</v>
      </c>
      <c r="H329" s="61"/>
      <c r="I329" s="1" t="s">
        <v>1254</v>
      </c>
      <c r="J329" s="1"/>
    </row>
    <row r="330" spans="1:10" customFormat="1" hidden="1">
      <c r="A330" s="1" t="s">
        <v>1255</v>
      </c>
      <c r="B330" s="1" t="s">
        <v>661</v>
      </c>
      <c r="C330" s="1"/>
      <c r="D330" s="1">
        <v>8</v>
      </c>
      <c r="E330" s="1" t="s">
        <v>791</v>
      </c>
      <c r="F330" s="121">
        <v>18974</v>
      </c>
      <c r="G330" s="90">
        <f t="shared" si="5"/>
        <v>151792</v>
      </c>
      <c r="H330" s="61"/>
      <c r="I330" s="1" t="s">
        <v>1256</v>
      </c>
      <c r="J330" s="1"/>
    </row>
    <row r="331" spans="1:10" customFormat="1" hidden="1">
      <c r="A331" s="1" t="s">
        <v>1257</v>
      </c>
      <c r="B331" s="1" t="s">
        <v>661</v>
      </c>
      <c r="C331" s="1"/>
      <c r="D331" s="1">
        <v>4</v>
      </c>
      <c r="E331" s="1" t="s">
        <v>791</v>
      </c>
      <c r="F331" s="90">
        <v>15327</v>
      </c>
      <c r="G331" s="90">
        <f t="shared" si="5"/>
        <v>61308</v>
      </c>
      <c r="H331" s="61"/>
      <c r="I331" s="1" t="s">
        <v>1254</v>
      </c>
      <c r="J331" s="1"/>
    </row>
    <row r="332" spans="1:10" customFormat="1" hidden="1">
      <c r="A332" s="1" t="s">
        <v>1258</v>
      </c>
      <c r="B332" s="1" t="s">
        <v>661</v>
      </c>
      <c r="C332" s="1"/>
      <c r="D332" s="1">
        <v>3</v>
      </c>
      <c r="E332" s="1" t="s">
        <v>791</v>
      </c>
      <c r="F332" s="90"/>
      <c r="G332" s="90">
        <f t="shared" si="5"/>
        <v>0</v>
      </c>
      <c r="H332" s="61"/>
      <c r="I332" s="1"/>
      <c r="J332" s="1"/>
    </row>
    <row r="333" spans="1:10" customFormat="1" hidden="1">
      <c r="A333" s="113" t="s">
        <v>1259</v>
      </c>
      <c r="B333" s="1" t="s">
        <v>32</v>
      </c>
      <c r="C333" s="1" t="s">
        <v>860</v>
      </c>
      <c r="D333" s="96">
        <v>1</v>
      </c>
      <c r="E333" s="1" t="s">
        <v>791</v>
      </c>
      <c r="F333" s="134">
        <f>25500*0.8</f>
        <v>20400</v>
      </c>
      <c r="G333" s="90">
        <f t="shared" si="5"/>
        <v>20400</v>
      </c>
      <c r="H333" s="125">
        <v>46133</v>
      </c>
      <c r="I333" s="119" t="s">
        <v>820</v>
      </c>
      <c r="J333" s="1"/>
    </row>
    <row r="334" spans="1:10" customFormat="1" hidden="1">
      <c r="A334" s="1" t="s">
        <v>1260</v>
      </c>
      <c r="B334" s="1" t="s">
        <v>193</v>
      </c>
      <c r="C334" s="1" t="s">
        <v>1059</v>
      </c>
      <c r="D334" s="1"/>
      <c r="E334" s="1" t="s">
        <v>791</v>
      </c>
      <c r="F334" s="135"/>
      <c r="G334" s="90">
        <f t="shared" si="5"/>
        <v>0</v>
      </c>
      <c r="H334" s="61"/>
      <c r="I334" s="1">
        <v>1</v>
      </c>
      <c r="J334" s="1"/>
    </row>
    <row r="335" spans="1:10" customFormat="1" hidden="1">
      <c r="A335" s="96" t="s">
        <v>1261</v>
      </c>
      <c r="B335" s="1" t="s">
        <v>32</v>
      </c>
      <c r="C335" s="1" t="s">
        <v>860</v>
      </c>
      <c r="D335" s="96">
        <v>13</v>
      </c>
      <c r="E335" s="1" t="s">
        <v>791</v>
      </c>
      <c r="F335" s="134">
        <v>17840</v>
      </c>
      <c r="G335" s="90">
        <f t="shared" si="5"/>
        <v>231920</v>
      </c>
      <c r="H335" s="125">
        <v>46133</v>
      </c>
      <c r="I335" s="1" t="s">
        <v>1262</v>
      </c>
      <c r="J335" s="1"/>
    </row>
    <row r="336" spans="1:10" customFormat="1" hidden="1">
      <c r="A336" s="113" t="s">
        <v>1263</v>
      </c>
      <c r="B336" s="109" t="s">
        <v>374</v>
      </c>
      <c r="C336" s="1" t="s">
        <v>1264</v>
      </c>
      <c r="D336" s="96">
        <v>12</v>
      </c>
      <c r="E336" s="1" t="s">
        <v>791</v>
      </c>
      <c r="F336" s="134">
        <v>1920</v>
      </c>
      <c r="G336" s="90">
        <f t="shared" si="5"/>
        <v>23040</v>
      </c>
      <c r="H336" s="125">
        <v>46146</v>
      </c>
      <c r="I336" s="1" t="s">
        <v>973</v>
      </c>
      <c r="J336" s="1"/>
    </row>
    <row r="337" spans="1:10" customFormat="1" hidden="1">
      <c r="A337" s="113" t="s">
        <v>1265</v>
      </c>
      <c r="B337" s="109" t="s">
        <v>374</v>
      </c>
      <c r="C337" s="1" t="s">
        <v>1264</v>
      </c>
      <c r="D337" s="96">
        <v>8</v>
      </c>
      <c r="E337" s="1" t="s">
        <v>791</v>
      </c>
      <c r="F337" s="134">
        <v>2540</v>
      </c>
      <c r="G337" s="90">
        <f t="shared" si="5"/>
        <v>20320</v>
      </c>
      <c r="H337" s="125">
        <v>46146</v>
      </c>
      <c r="I337" s="1" t="s">
        <v>1266</v>
      </c>
      <c r="J337" s="1"/>
    </row>
    <row r="338" spans="1:10" customFormat="1" hidden="1">
      <c r="A338" s="113" t="s">
        <v>1267</v>
      </c>
      <c r="B338" s="109" t="s">
        <v>374</v>
      </c>
      <c r="C338" s="1" t="s">
        <v>1264</v>
      </c>
      <c r="D338" s="96">
        <v>19</v>
      </c>
      <c r="E338" s="1" t="s">
        <v>791</v>
      </c>
      <c r="F338" s="134">
        <v>3680</v>
      </c>
      <c r="G338" s="90">
        <f t="shared" si="5"/>
        <v>69920</v>
      </c>
      <c r="H338" s="125">
        <v>46146</v>
      </c>
      <c r="I338" s="1" t="s">
        <v>1268</v>
      </c>
      <c r="J338" s="1"/>
    </row>
    <row r="339" spans="1:10" customFormat="1" hidden="1">
      <c r="A339" s="113" t="s">
        <v>1269</v>
      </c>
      <c r="B339" s="109" t="s">
        <v>374</v>
      </c>
      <c r="C339" s="1" t="s">
        <v>1264</v>
      </c>
      <c r="D339" s="96">
        <v>10</v>
      </c>
      <c r="E339" s="1" t="s">
        <v>791</v>
      </c>
      <c r="F339" s="134">
        <v>2800</v>
      </c>
      <c r="G339" s="90">
        <f t="shared" si="5"/>
        <v>28000</v>
      </c>
      <c r="H339" s="125">
        <v>46146</v>
      </c>
      <c r="I339" s="1" t="s">
        <v>973</v>
      </c>
      <c r="J339" s="1"/>
    </row>
    <row r="340" spans="1:10" customFormat="1" hidden="1">
      <c r="A340" s="113" t="s">
        <v>1270</v>
      </c>
      <c r="B340" s="109" t="s">
        <v>374</v>
      </c>
      <c r="C340" s="1" t="s">
        <v>1264</v>
      </c>
      <c r="D340" s="96">
        <v>2</v>
      </c>
      <c r="E340" s="1" t="s">
        <v>791</v>
      </c>
      <c r="F340" s="134">
        <f>2940*0.8</f>
        <v>2352</v>
      </c>
      <c r="G340" s="90">
        <f t="shared" si="5"/>
        <v>4704</v>
      </c>
      <c r="H340" s="125">
        <v>46146</v>
      </c>
      <c r="I340" s="119" t="s">
        <v>820</v>
      </c>
      <c r="J340" s="1"/>
    </row>
    <row r="341" spans="1:10" customFormat="1" hidden="1">
      <c r="A341" s="113" t="s">
        <v>1271</v>
      </c>
      <c r="B341" s="109" t="s">
        <v>374</v>
      </c>
      <c r="C341" s="1" t="s">
        <v>1264</v>
      </c>
      <c r="D341" s="96">
        <v>35</v>
      </c>
      <c r="E341" s="1" t="s">
        <v>791</v>
      </c>
      <c r="F341" s="134">
        <v>2560</v>
      </c>
      <c r="G341" s="90">
        <f t="shared" si="5"/>
        <v>89600</v>
      </c>
      <c r="H341" s="125">
        <v>46146</v>
      </c>
      <c r="I341" s="1" t="s">
        <v>973</v>
      </c>
      <c r="J341" s="1"/>
    </row>
    <row r="342" spans="1:10" customFormat="1" hidden="1">
      <c r="A342" s="113" t="s">
        <v>1272</v>
      </c>
      <c r="B342" s="109" t="s">
        <v>374</v>
      </c>
      <c r="C342" s="1" t="s">
        <v>1264</v>
      </c>
      <c r="D342" s="96">
        <v>41</v>
      </c>
      <c r="E342" s="1" t="s">
        <v>791</v>
      </c>
      <c r="F342" s="134">
        <v>2540</v>
      </c>
      <c r="G342" s="90">
        <f t="shared" si="5"/>
        <v>104140</v>
      </c>
      <c r="H342" s="125">
        <v>46146</v>
      </c>
      <c r="I342" s="1" t="s">
        <v>1266</v>
      </c>
      <c r="J342" s="1"/>
    </row>
    <row r="343" spans="1:10" customFormat="1" hidden="1">
      <c r="A343" s="113" t="s">
        <v>1273</v>
      </c>
      <c r="B343" s="109" t="s">
        <v>374</v>
      </c>
      <c r="C343" s="1" t="s">
        <v>1264</v>
      </c>
      <c r="D343" s="96">
        <v>20</v>
      </c>
      <c r="E343" s="1" t="s">
        <v>791</v>
      </c>
      <c r="F343" s="134">
        <v>2800</v>
      </c>
      <c r="G343" s="90">
        <f t="shared" si="5"/>
        <v>56000</v>
      </c>
      <c r="H343" s="125">
        <v>46146</v>
      </c>
      <c r="I343" s="1" t="s">
        <v>973</v>
      </c>
      <c r="J343" s="1"/>
    </row>
    <row r="344" spans="1:10" customFormat="1" hidden="1">
      <c r="A344" s="113" t="s">
        <v>1274</v>
      </c>
      <c r="B344" s="109" t="s">
        <v>374</v>
      </c>
      <c r="C344" s="1" t="s">
        <v>1264</v>
      </c>
      <c r="D344" s="96">
        <v>7</v>
      </c>
      <c r="E344" s="1" t="s">
        <v>791</v>
      </c>
      <c r="F344" s="134">
        <v>6143</v>
      </c>
      <c r="G344" s="90">
        <f t="shared" si="5"/>
        <v>43001</v>
      </c>
      <c r="H344" s="125">
        <v>46146</v>
      </c>
      <c r="I344" s="1" t="s">
        <v>1275</v>
      </c>
      <c r="J344" s="1" t="e">
        <f>+#REF!+#REF!</f>
        <v>#REF!</v>
      </c>
    </row>
    <row r="345" spans="1:10" customFormat="1" hidden="1">
      <c r="A345" s="113" t="s">
        <v>1276</v>
      </c>
      <c r="B345" s="109" t="s">
        <v>374</v>
      </c>
      <c r="C345" s="1" t="s">
        <v>1264</v>
      </c>
      <c r="D345" s="96">
        <v>34</v>
      </c>
      <c r="E345" s="1" t="s">
        <v>791</v>
      </c>
      <c r="F345" s="134">
        <v>6928</v>
      </c>
      <c r="G345" s="90">
        <f t="shared" si="5"/>
        <v>235552</v>
      </c>
      <c r="H345" s="125">
        <v>46146</v>
      </c>
      <c r="I345" s="1" t="s">
        <v>1268</v>
      </c>
      <c r="J345" s="1"/>
    </row>
    <row r="346" spans="1:10" customFormat="1" hidden="1">
      <c r="A346" s="113" t="s">
        <v>1277</v>
      </c>
      <c r="B346" s="109" t="s">
        <v>374</v>
      </c>
      <c r="C346" s="1" t="s">
        <v>1264</v>
      </c>
      <c r="D346" s="96">
        <v>3</v>
      </c>
      <c r="E346" s="1" t="s">
        <v>791</v>
      </c>
      <c r="F346" s="134">
        <v>12856</v>
      </c>
      <c r="G346" s="90">
        <f t="shared" si="5"/>
        <v>38568</v>
      </c>
      <c r="H346" s="125">
        <v>46146</v>
      </c>
      <c r="I346" s="1" t="s">
        <v>1278</v>
      </c>
      <c r="J346" s="1"/>
    </row>
    <row r="347" spans="1:10" customFormat="1" hidden="1">
      <c r="A347" s="113" t="s">
        <v>1279</v>
      </c>
      <c r="B347" s="109" t="s">
        <v>374</v>
      </c>
      <c r="C347" s="1" t="s">
        <v>1264</v>
      </c>
      <c r="D347" s="96">
        <v>2</v>
      </c>
      <c r="E347" s="1" t="s">
        <v>791</v>
      </c>
      <c r="F347" s="134">
        <v>17820</v>
      </c>
      <c r="G347" s="90">
        <f t="shared" si="5"/>
        <v>35640</v>
      </c>
      <c r="H347" s="125">
        <v>46146</v>
      </c>
      <c r="I347" s="1" t="s">
        <v>1278</v>
      </c>
      <c r="J347" s="1"/>
    </row>
    <row r="348" spans="1:10" customFormat="1" hidden="1">
      <c r="A348" s="113" t="s">
        <v>1280</v>
      </c>
      <c r="B348" s="109" t="s">
        <v>1281</v>
      </c>
      <c r="C348" s="1" t="s">
        <v>1264</v>
      </c>
      <c r="D348" s="96">
        <v>1</v>
      </c>
      <c r="E348" s="1" t="s">
        <v>791</v>
      </c>
      <c r="F348" s="134">
        <f>58630*0.8</f>
        <v>46904</v>
      </c>
      <c r="G348" s="90">
        <f t="shared" si="5"/>
        <v>46904</v>
      </c>
      <c r="H348" s="125">
        <v>46146</v>
      </c>
      <c r="I348" s="1" t="s">
        <v>1195</v>
      </c>
      <c r="J348" s="1"/>
    </row>
    <row r="349" spans="1:10" customFormat="1" hidden="1">
      <c r="A349" s="113" t="s">
        <v>1282</v>
      </c>
      <c r="B349" s="109" t="s">
        <v>1281</v>
      </c>
      <c r="C349" s="1" t="s">
        <v>1264</v>
      </c>
      <c r="D349" s="96">
        <v>2</v>
      </c>
      <c r="E349" s="1" t="s">
        <v>791</v>
      </c>
      <c r="F349" s="134">
        <f>68250*0.8</f>
        <v>54600</v>
      </c>
      <c r="G349" s="90">
        <f t="shared" si="5"/>
        <v>109200</v>
      </c>
      <c r="H349" s="125">
        <v>46146</v>
      </c>
      <c r="I349" s="1" t="s">
        <v>1283</v>
      </c>
      <c r="J349" s="1"/>
    </row>
    <row r="350" spans="1:10" customFormat="1" hidden="1">
      <c r="A350" s="113" t="s">
        <v>1284</v>
      </c>
      <c r="B350" s="109" t="s">
        <v>1281</v>
      </c>
      <c r="C350" s="1" t="s">
        <v>1264</v>
      </c>
      <c r="D350" s="96">
        <v>1</v>
      </c>
      <c r="E350" s="1" t="s">
        <v>791</v>
      </c>
      <c r="F350" s="134">
        <f>120520*0.8</f>
        <v>96416</v>
      </c>
      <c r="G350" s="90">
        <f t="shared" si="5"/>
        <v>96416</v>
      </c>
      <c r="H350" s="125">
        <v>46146</v>
      </c>
      <c r="I350" s="1" t="s">
        <v>1195</v>
      </c>
      <c r="J350" s="1"/>
    </row>
    <row r="351" spans="1:10" customFormat="1" hidden="1">
      <c r="A351" s="1" t="s">
        <v>1285</v>
      </c>
      <c r="B351" s="78" t="s">
        <v>448</v>
      </c>
      <c r="C351" s="1"/>
      <c r="D351" s="1">
        <v>1</v>
      </c>
      <c r="E351" s="1" t="s">
        <v>791</v>
      </c>
      <c r="F351" s="135"/>
      <c r="G351" s="90">
        <f t="shared" si="5"/>
        <v>0</v>
      </c>
      <c r="H351" s="61"/>
      <c r="I351" s="1"/>
      <c r="J351" s="1"/>
    </row>
    <row r="352" spans="1:10" customFormat="1" hidden="1">
      <c r="A352" s="1" t="s">
        <v>1286</v>
      </c>
      <c r="B352" s="78" t="s">
        <v>448</v>
      </c>
      <c r="C352" s="1"/>
      <c r="D352" s="1">
        <v>1</v>
      </c>
      <c r="E352" s="1" t="s">
        <v>791</v>
      </c>
      <c r="F352" s="135"/>
      <c r="G352" s="90">
        <f t="shared" si="5"/>
        <v>0</v>
      </c>
      <c r="H352" s="61"/>
      <c r="I352" s="1"/>
      <c r="J352" s="1"/>
    </row>
    <row r="353" spans="1:10" customFormat="1" hidden="1">
      <c r="A353" s="1" t="s">
        <v>1287</v>
      </c>
      <c r="B353" s="78" t="s">
        <v>448</v>
      </c>
      <c r="C353" s="1"/>
      <c r="D353" s="1">
        <v>1</v>
      </c>
      <c r="E353" s="1" t="s">
        <v>791</v>
      </c>
      <c r="F353" s="135"/>
      <c r="G353" s="90">
        <f t="shared" si="5"/>
        <v>0</v>
      </c>
      <c r="H353" s="61"/>
      <c r="I353" s="1"/>
      <c r="J353" s="1"/>
    </row>
    <row r="354" spans="1:10" customFormat="1" hidden="1">
      <c r="A354" s="1" t="s">
        <v>1288</v>
      </c>
      <c r="B354" s="78" t="s">
        <v>448</v>
      </c>
      <c r="C354" s="1"/>
      <c r="D354" s="1">
        <v>1</v>
      </c>
      <c r="E354" s="1" t="s">
        <v>791</v>
      </c>
      <c r="F354" s="135"/>
      <c r="G354" s="90">
        <f t="shared" si="5"/>
        <v>0</v>
      </c>
      <c r="H354" s="61"/>
      <c r="I354" s="1"/>
      <c r="J354" s="1"/>
    </row>
    <row r="355" spans="1:10" customFormat="1" hidden="1">
      <c r="A355" s="1" t="s">
        <v>1289</v>
      </c>
      <c r="B355" s="78" t="s">
        <v>448</v>
      </c>
      <c r="C355" s="1"/>
      <c r="D355" s="1">
        <v>1</v>
      </c>
      <c r="E355" s="1" t="s">
        <v>791</v>
      </c>
      <c r="F355" s="135"/>
      <c r="G355" s="90">
        <f t="shared" si="5"/>
        <v>0</v>
      </c>
      <c r="H355" s="61"/>
      <c r="I355" s="1"/>
      <c r="J355" s="108" t="s">
        <v>172</v>
      </c>
    </row>
    <row r="356" spans="1:10" customFormat="1" hidden="1">
      <c r="A356" s="1" t="s">
        <v>1290</v>
      </c>
      <c r="B356" s="78" t="s">
        <v>448</v>
      </c>
      <c r="C356" s="1"/>
      <c r="D356" s="1">
        <v>1</v>
      </c>
      <c r="E356" s="1" t="s">
        <v>791</v>
      </c>
      <c r="F356" s="135"/>
      <c r="G356" s="90">
        <f t="shared" si="5"/>
        <v>0</v>
      </c>
      <c r="H356" s="61"/>
      <c r="I356" s="1"/>
      <c r="J356" s="1"/>
    </row>
    <row r="357" spans="1:10" customFormat="1" hidden="1">
      <c r="A357" s="96" t="s">
        <v>1291</v>
      </c>
      <c r="B357" s="1" t="s">
        <v>13</v>
      </c>
      <c r="C357" s="1"/>
      <c r="D357" s="96">
        <v>4</v>
      </c>
      <c r="E357" s="1" t="s">
        <v>791</v>
      </c>
      <c r="F357" s="134">
        <v>34100</v>
      </c>
      <c r="G357" s="90">
        <f t="shared" si="5"/>
        <v>136400</v>
      </c>
      <c r="H357" s="158">
        <v>46142</v>
      </c>
      <c r="I357" s="1" t="s">
        <v>1292</v>
      </c>
      <c r="J357" s="1"/>
    </row>
    <row r="358" spans="1:10" customFormat="1" hidden="1">
      <c r="A358" s="96" t="s">
        <v>1293</v>
      </c>
      <c r="B358" s="1" t="s">
        <v>13</v>
      </c>
      <c r="C358" s="1"/>
      <c r="D358" s="96">
        <v>1</v>
      </c>
      <c r="E358" s="1" t="s">
        <v>791</v>
      </c>
      <c r="F358" s="134">
        <v>49500</v>
      </c>
      <c r="G358" s="90">
        <f t="shared" si="5"/>
        <v>49500</v>
      </c>
      <c r="H358" s="125">
        <v>46198</v>
      </c>
      <c r="I358" s="1" t="s">
        <v>822</v>
      </c>
      <c r="J358" s="1"/>
    </row>
    <row r="359" spans="1:10" customFormat="1" hidden="1">
      <c r="A359" s="96" t="s">
        <v>1294</v>
      </c>
      <c r="B359" s="1" t="s">
        <v>942</v>
      </c>
      <c r="C359" s="1"/>
      <c r="D359" s="96">
        <v>2</v>
      </c>
      <c r="E359" s="1" t="s">
        <v>791</v>
      </c>
      <c r="F359" s="134">
        <v>9295</v>
      </c>
      <c r="G359" s="90">
        <f t="shared" si="5"/>
        <v>18590</v>
      </c>
      <c r="H359" s="125">
        <v>46147</v>
      </c>
      <c r="I359" s="1" t="s">
        <v>1295</v>
      </c>
      <c r="J359" s="1"/>
    </row>
    <row r="360" spans="1:10" customFormat="1" hidden="1">
      <c r="A360" s="96" t="s">
        <v>1296</v>
      </c>
      <c r="B360" s="1" t="s">
        <v>942</v>
      </c>
      <c r="C360" s="1"/>
      <c r="D360" s="96">
        <f>17+4</f>
        <v>21</v>
      </c>
      <c r="E360" s="1" t="s">
        <v>791</v>
      </c>
      <c r="F360" s="134">
        <v>8190</v>
      </c>
      <c r="G360" s="90">
        <f t="shared" si="5"/>
        <v>171990</v>
      </c>
      <c r="H360" s="125">
        <v>46147</v>
      </c>
      <c r="I360" s="1" t="s">
        <v>1297</v>
      </c>
      <c r="J360" s="1"/>
    </row>
    <row r="361" spans="1:10" customFormat="1" hidden="1">
      <c r="A361" s="96" t="s">
        <v>1298</v>
      </c>
      <c r="B361" s="1" t="s">
        <v>942</v>
      </c>
      <c r="C361" s="1"/>
      <c r="D361" s="96">
        <v>16</v>
      </c>
      <c r="E361" s="53" t="s">
        <v>1299</v>
      </c>
      <c r="F361" s="134">
        <v>2129</v>
      </c>
      <c r="G361" s="90">
        <f t="shared" si="5"/>
        <v>34064</v>
      </c>
      <c r="H361" s="125">
        <v>46147</v>
      </c>
      <c r="I361" s="114" t="s">
        <v>1300</v>
      </c>
      <c r="J361" s="1"/>
    </row>
    <row r="362" spans="1:10" customFormat="1" hidden="1">
      <c r="A362" s="96" t="s">
        <v>1301</v>
      </c>
      <c r="B362" s="1" t="s">
        <v>1302</v>
      </c>
      <c r="C362" s="1"/>
      <c r="D362" s="96">
        <v>56</v>
      </c>
      <c r="E362" s="1" t="s">
        <v>1299</v>
      </c>
      <c r="F362" s="134">
        <v>2129</v>
      </c>
      <c r="G362" s="90">
        <f t="shared" si="5"/>
        <v>119224</v>
      </c>
      <c r="H362" s="125">
        <v>46147</v>
      </c>
      <c r="I362" s="1" t="s">
        <v>1303</v>
      </c>
      <c r="J362" s="1"/>
    </row>
    <row r="363" spans="1:10" customFormat="1" hidden="1">
      <c r="A363" s="96" t="s">
        <v>1304</v>
      </c>
      <c r="B363" s="1" t="s">
        <v>942</v>
      </c>
      <c r="C363" s="1"/>
      <c r="D363" s="96">
        <v>10</v>
      </c>
      <c r="E363" s="53" t="s">
        <v>1299</v>
      </c>
      <c r="F363" s="134">
        <v>1642</v>
      </c>
      <c r="G363" s="90">
        <f t="shared" si="5"/>
        <v>16420</v>
      </c>
      <c r="H363" s="125">
        <v>46147</v>
      </c>
      <c r="I363" s="114" t="s">
        <v>1300</v>
      </c>
      <c r="J363" s="1"/>
    </row>
    <row r="364" spans="1:10" customFormat="1" hidden="1">
      <c r="A364" s="96" t="s">
        <v>1305</v>
      </c>
      <c r="B364" s="1" t="s">
        <v>1302</v>
      </c>
      <c r="C364" s="1"/>
      <c r="D364" s="96">
        <v>20</v>
      </c>
      <c r="E364" s="1" t="s">
        <v>1299</v>
      </c>
      <c r="F364" s="134">
        <v>1642</v>
      </c>
      <c r="G364" s="90">
        <f t="shared" si="5"/>
        <v>32840</v>
      </c>
      <c r="H364" s="125">
        <v>46147</v>
      </c>
      <c r="I364" s="1" t="s">
        <v>1303</v>
      </c>
      <c r="J364" s="1"/>
    </row>
    <row r="365" spans="1:10" customFormat="1" hidden="1">
      <c r="A365" s="96" t="s">
        <v>1306</v>
      </c>
      <c r="B365" s="1" t="s">
        <v>942</v>
      </c>
      <c r="C365" s="1"/>
      <c r="D365" s="96">
        <f>110+40+3</f>
        <v>153</v>
      </c>
      <c r="E365" s="53" t="s">
        <v>1299</v>
      </c>
      <c r="F365" s="134">
        <v>4045</v>
      </c>
      <c r="G365" s="90">
        <f t="shared" si="5"/>
        <v>618885</v>
      </c>
      <c r="H365" s="125">
        <v>46147</v>
      </c>
      <c r="I365" s="114" t="s">
        <v>1307</v>
      </c>
      <c r="J365" s="1"/>
    </row>
    <row r="366" spans="1:10" customFormat="1" hidden="1">
      <c r="A366" s="96" t="s">
        <v>1308</v>
      </c>
      <c r="B366" s="1" t="s">
        <v>1302</v>
      </c>
      <c r="C366" s="1"/>
      <c r="D366" s="96">
        <f>70+4</f>
        <v>74</v>
      </c>
      <c r="E366" s="1" t="s">
        <v>1299</v>
      </c>
      <c r="F366" s="134">
        <v>4102</v>
      </c>
      <c r="G366" s="90">
        <f t="shared" si="5"/>
        <v>303548</v>
      </c>
      <c r="H366" s="125">
        <v>46147</v>
      </c>
      <c r="I366" s="1" t="s">
        <v>1303</v>
      </c>
      <c r="J366" s="1"/>
    </row>
    <row r="367" spans="1:10" customFormat="1" hidden="1">
      <c r="A367" s="1" t="s">
        <v>1309</v>
      </c>
      <c r="B367" s="1" t="s">
        <v>942</v>
      </c>
      <c r="C367" s="1"/>
      <c r="D367" s="1"/>
      <c r="E367" s="53" t="s">
        <v>1299</v>
      </c>
      <c r="F367" s="135"/>
      <c r="G367" s="90">
        <f t="shared" si="5"/>
        <v>0</v>
      </c>
      <c r="H367" s="125">
        <v>46147</v>
      </c>
      <c r="I367" s="109"/>
      <c r="J367" s="1"/>
    </row>
    <row r="368" spans="1:10" customFormat="1" hidden="1">
      <c r="A368" s="1" t="s">
        <v>1310</v>
      </c>
      <c r="B368" s="1" t="s">
        <v>1302</v>
      </c>
      <c r="C368" s="1"/>
      <c r="D368" s="1"/>
      <c r="E368" s="1" t="s">
        <v>1299</v>
      </c>
      <c r="F368" s="135"/>
      <c r="G368" s="90">
        <f t="shared" si="5"/>
        <v>0</v>
      </c>
      <c r="H368" s="125">
        <v>46147</v>
      </c>
      <c r="I368" s="1"/>
      <c r="J368" s="1"/>
    </row>
    <row r="369" spans="1:10" customFormat="1" hidden="1">
      <c r="A369" s="96" t="s">
        <v>1311</v>
      </c>
      <c r="B369" s="1" t="s">
        <v>942</v>
      </c>
      <c r="C369" s="1"/>
      <c r="D369" s="96">
        <v>30</v>
      </c>
      <c r="E369" s="53" t="s">
        <v>1299</v>
      </c>
      <c r="F369" s="134">
        <v>4406</v>
      </c>
      <c r="G369" s="90">
        <f t="shared" si="5"/>
        <v>132180</v>
      </c>
      <c r="H369" s="125">
        <v>46147</v>
      </c>
      <c r="I369" s="114" t="s">
        <v>1307</v>
      </c>
      <c r="J369" s="1"/>
    </row>
    <row r="370" spans="1:10" customFormat="1" hidden="1">
      <c r="A370" s="96" t="s">
        <v>1312</v>
      </c>
      <c r="B370" s="1" t="s">
        <v>1302</v>
      </c>
      <c r="C370" s="1"/>
      <c r="D370" s="96">
        <f>100+21</f>
        <v>121</v>
      </c>
      <c r="E370" s="1" t="s">
        <v>1299</v>
      </c>
      <c r="F370" s="134">
        <v>4468</v>
      </c>
      <c r="G370" s="90">
        <f t="shared" si="5"/>
        <v>540628</v>
      </c>
      <c r="H370" s="125">
        <v>46147</v>
      </c>
      <c r="I370" s="1" t="s">
        <v>1303</v>
      </c>
      <c r="J370" s="1"/>
    </row>
    <row r="371" spans="1:10" customFormat="1" hidden="1">
      <c r="A371" s="96" t="s">
        <v>1313</v>
      </c>
      <c r="B371" s="1" t="s">
        <v>942</v>
      </c>
      <c r="C371" s="1"/>
      <c r="D371" s="96">
        <v>10</v>
      </c>
      <c r="E371" s="53" t="s">
        <v>1299</v>
      </c>
      <c r="F371" s="134">
        <v>4750</v>
      </c>
      <c r="G371" s="90">
        <f t="shared" si="5"/>
        <v>47500</v>
      </c>
      <c r="H371" s="125">
        <v>46147</v>
      </c>
      <c r="I371" s="114" t="s">
        <v>1314</v>
      </c>
      <c r="J371" s="1"/>
    </row>
    <row r="372" spans="1:10" customFormat="1" hidden="1">
      <c r="A372" s="96" t="s">
        <v>1315</v>
      </c>
      <c r="B372" s="1" t="s">
        <v>1302</v>
      </c>
      <c r="C372" s="1"/>
      <c r="D372" s="96">
        <v>11</v>
      </c>
      <c r="E372" s="1" t="s">
        <v>1299</v>
      </c>
      <c r="F372" s="134">
        <v>4711</v>
      </c>
      <c r="G372" s="90">
        <f t="shared" si="5"/>
        <v>51821</v>
      </c>
      <c r="H372" s="125">
        <v>46147</v>
      </c>
      <c r="I372" s="1" t="s">
        <v>1303</v>
      </c>
      <c r="J372" s="1"/>
    </row>
    <row r="373" spans="1:10" customFormat="1" hidden="1">
      <c r="A373" s="96" t="s">
        <v>1316</v>
      </c>
      <c r="B373" s="1" t="s">
        <v>942</v>
      </c>
      <c r="C373" s="1"/>
      <c r="D373" s="96">
        <v>95</v>
      </c>
      <c r="E373" s="53" t="s">
        <v>1299</v>
      </c>
      <c r="F373" s="134">
        <v>5032</v>
      </c>
      <c r="G373" s="90">
        <f t="shared" si="5"/>
        <v>478040</v>
      </c>
      <c r="H373" s="125">
        <v>46147</v>
      </c>
      <c r="I373" s="114" t="s">
        <v>1307</v>
      </c>
      <c r="J373" s="1"/>
    </row>
    <row r="374" spans="1:10" customFormat="1" hidden="1">
      <c r="A374" s="96" t="s">
        <v>1317</v>
      </c>
      <c r="B374" s="1" t="s">
        <v>1302</v>
      </c>
      <c r="C374" s="1"/>
      <c r="D374" s="96">
        <v>3</v>
      </c>
      <c r="E374" s="1" t="s">
        <v>1299</v>
      </c>
      <c r="F374" s="134">
        <v>5103</v>
      </c>
      <c r="G374" s="90">
        <f t="shared" si="5"/>
        <v>15309</v>
      </c>
      <c r="H374" s="125">
        <v>46147</v>
      </c>
      <c r="I374" s="1" t="s">
        <v>1303</v>
      </c>
      <c r="J374" s="1"/>
    </row>
    <row r="375" spans="1:10" customFormat="1" hidden="1">
      <c r="A375" s="96" t="s">
        <v>1318</v>
      </c>
      <c r="B375" s="1" t="s">
        <v>942</v>
      </c>
      <c r="C375" s="1"/>
      <c r="D375" s="96">
        <f>89+10</f>
        <v>99</v>
      </c>
      <c r="E375" s="53" t="s">
        <v>1299</v>
      </c>
      <c r="F375" s="134">
        <v>1638</v>
      </c>
      <c r="G375" s="90">
        <f t="shared" si="5"/>
        <v>162162</v>
      </c>
      <c r="H375" s="125">
        <v>46147</v>
      </c>
      <c r="I375" s="114" t="s">
        <v>1307</v>
      </c>
      <c r="J375" s="1"/>
    </row>
    <row r="376" spans="1:10" customFormat="1" hidden="1">
      <c r="A376" s="96" t="s">
        <v>1319</v>
      </c>
      <c r="B376" s="1" t="s">
        <v>1302</v>
      </c>
      <c r="C376" s="1"/>
      <c r="D376" s="96">
        <v>40</v>
      </c>
      <c r="E376" s="1" t="s">
        <v>1299</v>
      </c>
      <c r="F376" s="134">
        <v>1780</v>
      </c>
      <c r="G376" s="90">
        <f t="shared" si="5"/>
        <v>71200</v>
      </c>
      <c r="H376" s="125">
        <v>46147</v>
      </c>
      <c r="I376" s="1" t="s">
        <v>1303</v>
      </c>
      <c r="J376" s="1"/>
    </row>
    <row r="377" spans="1:10" customFormat="1" hidden="1">
      <c r="A377" s="96" t="s">
        <v>1320</v>
      </c>
      <c r="B377" s="1" t="s">
        <v>942</v>
      </c>
      <c r="C377" s="1"/>
      <c r="D377" s="96">
        <v>8</v>
      </c>
      <c r="E377" s="53" t="s">
        <v>1299</v>
      </c>
      <c r="F377" s="134">
        <v>5672</v>
      </c>
      <c r="G377" s="90">
        <f t="shared" si="5"/>
        <v>45376</v>
      </c>
      <c r="H377" s="125">
        <v>46147</v>
      </c>
      <c r="I377" s="114" t="s">
        <v>1321</v>
      </c>
      <c r="J377" s="1"/>
    </row>
    <row r="378" spans="1:10" customFormat="1" hidden="1">
      <c r="A378" s="96" t="s">
        <v>1322</v>
      </c>
      <c r="B378" s="1" t="s">
        <v>1302</v>
      </c>
      <c r="C378" s="1"/>
      <c r="D378" s="96">
        <v>21</v>
      </c>
      <c r="E378" s="1" t="s">
        <v>1299</v>
      </c>
      <c r="F378" s="134">
        <v>5672</v>
      </c>
      <c r="G378" s="90">
        <f t="shared" si="5"/>
        <v>119112</v>
      </c>
      <c r="H378" s="125">
        <v>46147</v>
      </c>
      <c r="I378" s="1" t="s">
        <v>1303</v>
      </c>
      <c r="J378" s="1"/>
    </row>
    <row r="379" spans="1:10" customFormat="1" hidden="1">
      <c r="A379" s="96" t="s">
        <v>1323</v>
      </c>
      <c r="B379" s="1" t="s">
        <v>942</v>
      </c>
      <c r="C379" s="1"/>
      <c r="D379" s="96">
        <v>30</v>
      </c>
      <c r="E379" s="53" t="s">
        <v>1299</v>
      </c>
      <c r="F379" s="134">
        <v>6917</v>
      </c>
      <c r="G379" s="90">
        <f t="shared" si="5"/>
        <v>207510</v>
      </c>
      <c r="H379" s="125">
        <v>46147</v>
      </c>
      <c r="I379" s="114" t="s">
        <v>1324</v>
      </c>
      <c r="J379" s="1" t="s">
        <v>1325</v>
      </c>
    </row>
    <row r="380" spans="1:10" customFormat="1" hidden="1">
      <c r="A380" s="96" t="s">
        <v>1326</v>
      </c>
      <c r="B380" s="1" t="s">
        <v>1302</v>
      </c>
      <c r="C380" s="1"/>
      <c r="D380" s="96">
        <f>34+7</f>
        <v>41</v>
      </c>
      <c r="E380" s="1" t="s">
        <v>1299</v>
      </c>
      <c r="F380" s="134">
        <v>6917</v>
      </c>
      <c r="G380" s="90">
        <f t="shared" si="5"/>
        <v>283597</v>
      </c>
      <c r="H380" s="125">
        <v>46147</v>
      </c>
      <c r="I380" s="1" t="s">
        <v>1303</v>
      </c>
      <c r="J380" s="1"/>
    </row>
    <row r="381" spans="1:10" customFormat="1" hidden="1">
      <c r="A381" s="96" t="s">
        <v>1327</v>
      </c>
      <c r="B381" s="1" t="s">
        <v>942</v>
      </c>
      <c r="C381" s="1"/>
      <c r="D381" s="96">
        <v>10</v>
      </c>
      <c r="E381" s="53" t="s">
        <v>1299</v>
      </c>
      <c r="F381" s="134">
        <v>20100</v>
      </c>
      <c r="G381" s="90">
        <f t="shared" ref="G381:G416" si="6">+D381*F381</f>
        <v>201000</v>
      </c>
      <c r="H381" s="125">
        <v>46147</v>
      </c>
      <c r="I381" s="114" t="s">
        <v>1328</v>
      </c>
      <c r="J381" s="1"/>
    </row>
    <row r="382" spans="1:10" customFormat="1" hidden="1">
      <c r="A382" s="96" t="s">
        <v>1329</v>
      </c>
      <c r="B382" s="1" t="s">
        <v>942</v>
      </c>
      <c r="C382" s="1"/>
      <c r="D382" s="96">
        <v>33</v>
      </c>
      <c r="E382" s="1" t="s">
        <v>791</v>
      </c>
      <c r="F382" s="134">
        <v>4102</v>
      </c>
      <c r="G382" s="90">
        <f t="shared" si="6"/>
        <v>135366</v>
      </c>
      <c r="H382" s="125">
        <v>46148</v>
      </c>
      <c r="I382" s="1" t="s">
        <v>956</v>
      </c>
      <c r="J382" s="1"/>
    </row>
    <row r="383" spans="1:10" customFormat="1" hidden="1">
      <c r="A383" s="96" t="s">
        <v>1330</v>
      </c>
      <c r="B383" s="1" t="s">
        <v>942</v>
      </c>
      <c r="C383" s="1"/>
      <c r="D383" s="96">
        <v>1</v>
      </c>
      <c r="E383" s="1" t="s">
        <v>791</v>
      </c>
      <c r="F383" s="134">
        <v>4470</v>
      </c>
      <c r="G383" s="90">
        <f t="shared" si="6"/>
        <v>4470</v>
      </c>
      <c r="H383" s="125">
        <v>46147</v>
      </c>
      <c r="I383" s="1" t="s">
        <v>1331</v>
      </c>
      <c r="J383" s="1"/>
    </row>
    <row r="384" spans="1:10" customFormat="1" hidden="1">
      <c r="A384" s="96" t="s">
        <v>1332</v>
      </c>
      <c r="B384" s="1" t="s">
        <v>942</v>
      </c>
      <c r="C384" s="1"/>
      <c r="D384" s="96">
        <v>3</v>
      </c>
      <c r="E384" s="1" t="s">
        <v>791</v>
      </c>
      <c r="F384" s="134">
        <v>5871</v>
      </c>
      <c r="G384" s="90">
        <f t="shared" si="6"/>
        <v>17613</v>
      </c>
      <c r="H384" s="125">
        <v>46147</v>
      </c>
      <c r="I384" s="1" t="s">
        <v>1333</v>
      </c>
      <c r="J384" s="1"/>
    </row>
    <row r="385" spans="1:10" customFormat="1" hidden="1">
      <c r="A385" s="96" t="s">
        <v>1334</v>
      </c>
      <c r="B385" s="1" t="s">
        <v>942</v>
      </c>
      <c r="C385" s="1"/>
      <c r="D385" s="96">
        <f>16+1</f>
        <v>17</v>
      </c>
      <c r="E385" s="1" t="s">
        <v>791</v>
      </c>
      <c r="F385" s="134">
        <v>9962</v>
      </c>
      <c r="G385" s="90">
        <f t="shared" si="6"/>
        <v>169354</v>
      </c>
      <c r="H385" s="125">
        <v>46147</v>
      </c>
      <c r="I385" s="1" t="s">
        <v>1331</v>
      </c>
      <c r="J385" s="1"/>
    </row>
    <row r="386" spans="1:10" customFormat="1" hidden="1">
      <c r="A386" s="96" t="s">
        <v>1335</v>
      </c>
      <c r="B386" s="1" t="s">
        <v>123</v>
      </c>
      <c r="C386" s="1"/>
      <c r="D386" s="96">
        <v>1</v>
      </c>
      <c r="E386" s="1" t="s">
        <v>791</v>
      </c>
      <c r="F386" s="134">
        <f>82220*0.8</f>
        <v>65776</v>
      </c>
      <c r="G386" s="90">
        <f t="shared" si="6"/>
        <v>65776</v>
      </c>
      <c r="H386" s="125">
        <v>46141</v>
      </c>
      <c r="I386" s="119" t="s">
        <v>820</v>
      </c>
      <c r="J386" s="1"/>
    </row>
    <row r="387" spans="1:10" customFormat="1" hidden="1">
      <c r="A387" s="96" t="s">
        <v>1336</v>
      </c>
      <c r="B387" s="1" t="s">
        <v>123</v>
      </c>
      <c r="C387" s="1"/>
      <c r="D387" s="96">
        <v>1</v>
      </c>
      <c r="E387" s="1" t="s">
        <v>791</v>
      </c>
      <c r="F387" s="134">
        <f>42310*0.8</f>
        <v>33848</v>
      </c>
      <c r="G387" s="90">
        <f t="shared" si="6"/>
        <v>33848</v>
      </c>
      <c r="H387" s="125">
        <v>46141</v>
      </c>
      <c r="I387" s="119" t="s">
        <v>820</v>
      </c>
      <c r="J387" s="1"/>
    </row>
    <row r="388" spans="1:10" customFormat="1" hidden="1">
      <c r="A388" s="1" t="s">
        <v>1337</v>
      </c>
      <c r="B388" s="1" t="s">
        <v>830</v>
      </c>
      <c r="C388" s="1"/>
      <c r="D388" s="1"/>
      <c r="E388" s="1" t="s">
        <v>791</v>
      </c>
      <c r="F388" s="135"/>
      <c r="G388" s="90">
        <f t="shared" si="6"/>
        <v>0</v>
      </c>
      <c r="H388" s="125"/>
      <c r="I388" s="1"/>
      <c r="J388" s="1"/>
    </row>
    <row r="389" spans="1:10" hidden="1">
      <c r="A389" s="1" t="s">
        <v>1338</v>
      </c>
      <c r="B389" s="1" t="s">
        <v>830</v>
      </c>
      <c r="C389" s="1"/>
      <c r="D389" s="1"/>
      <c r="E389" s="1" t="s">
        <v>791</v>
      </c>
      <c r="F389" s="135"/>
      <c r="G389" s="90">
        <f t="shared" si="6"/>
        <v>0</v>
      </c>
      <c r="H389" s="125"/>
      <c r="I389" s="1"/>
      <c r="J389" s="1"/>
    </row>
    <row r="390" spans="1:10" customFormat="1" hidden="1">
      <c r="A390" s="157" t="s">
        <v>1339</v>
      </c>
      <c r="B390" s="119" t="s">
        <v>13</v>
      </c>
      <c r="C390" s="119"/>
      <c r="D390" s="157">
        <v>8</v>
      </c>
      <c r="E390" s="1" t="s">
        <v>791</v>
      </c>
      <c r="F390" s="134">
        <v>5000</v>
      </c>
      <c r="G390" s="90">
        <f t="shared" si="6"/>
        <v>40000</v>
      </c>
      <c r="H390" s="158">
        <v>46141</v>
      </c>
      <c r="I390" s="119" t="s">
        <v>1340</v>
      </c>
      <c r="J390" s="119"/>
    </row>
    <row r="391" spans="1:10" hidden="1">
      <c r="A391" s="157" t="s">
        <v>1341</v>
      </c>
      <c r="B391" s="119" t="s">
        <v>915</v>
      </c>
      <c r="C391" s="119"/>
      <c r="D391" s="157">
        <v>4</v>
      </c>
      <c r="E391" s="1" t="s">
        <v>791</v>
      </c>
      <c r="F391" s="134">
        <v>209</v>
      </c>
      <c r="G391" s="133">
        <f t="shared" si="6"/>
        <v>836</v>
      </c>
      <c r="H391" s="158">
        <v>46147</v>
      </c>
      <c r="I391" s="119" t="s">
        <v>1342</v>
      </c>
      <c r="J391" s="119"/>
    </row>
    <row r="392" spans="1:10" hidden="1">
      <c r="A392" s="157" t="s">
        <v>1343</v>
      </c>
      <c r="B392" s="119" t="s">
        <v>915</v>
      </c>
      <c r="C392" s="119"/>
      <c r="D392" s="157">
        <v>22</v>
      </c>
      <c r="E392" s="1" t="s">
        <v>791</v>
      </c>
      <c r="F392" s="134">
        <v>454</v>
      </c>
      <c r="G392" s="133">
        <f t="shared" si="6"/>
        <v>9988</v>
      </c>
      <c r="H392" s="158">
        <v>46147</v>
      </c>
      <c r="I392" s="119" t="s">
        <v>1344</v>
      </c>
      <c r="J392" s="119"/>
    </row>
    <row r="393" spans="1:10" hidden="1">
      <c r="A393" s="157" t="s">
        <v>1345</v>
      </c>
      <c r="B393" s="119" t="s">
        <v>915</v>
      </c>
      <c r="C393" s="119"/>
      <c r="D393" s="157">
        <v>5</v>
      </c>
      <c r="E393" s="1" t="s">
        <v>791</v>
      </c>
      <c r="F393" s="134">
        <v>600</v>
      </c>
      <c r="G393" s="133">
        <f t="shared" si="6"/>
        <v>3000</v>
      </c>
      <c r="H393" s="158">
        <v>46147</v>
      </c>
      <c r="I393" s="1" t="s">
        <v>1346</v>
      </c>
      <c r="J393" s="119"/>
    </row>
    <row r="394" spans="1:10" hidden="1">
      <c r="A394" s="157" t="s">
        <v>1347</v>
      </c>
      <c r="B394" s="119" t="s">
        <v>915</v>
      </c>
      <c r="C394" s="119"/>
      <c r="D394" s="157">
        <v>34</v>
      </c>
      <c r="E394" s="1" t="s">
        <v>791</v>
      </c>
      <c r="F394" s="134">
        <v>1419</v>
      </c>
      <c r="G394" s="133">
        <f t="shared" si="6"/>
        <v>48246</v>
      </c>
      <c r="H394" s="158">
        <v>46147</v>
      </c>
      <c r="I394" s="119" t="s">
        <v>1348</v>
      </c>
      <c r="J394" s="119"/>
    </row>
    <row r="395" spans="1:10" hidden="1">
      <c r="A395" s="157" t="s">
        <v>1349</v>
      </c>
      <c r="B395" s="119" t="s">
        <v>915</v>
      </c>
      <c r="C395" s="119"/>
      <c r="D395" s="157">
        <v>9</v>
      </c>
      <c r="E395" s="1" t="s">
        <v>791</v>
      </c>
      <c r="F395" s="134">
        <v>252</v>
      </c>
      <c r="G395" s="133">
        <f t="shared" si="6"/>
        <v>2268</v>
      </c>
      <c r="H395" s="158">
        <v>46147</v>
      </c>
      <c r="I395" s="119" t="s">
        <v>1350</v>
      </c>
      <c r="J395" s="119"/>
    </row>
    <row r="396" spans="1:10" hidden="1">
      <c r="A396" s="157" t="s">
        <v>1351</v>
      </c>
      <c r="B396" s="119" t="s">
        <v>915</v>
      </c>
      <c r="C396" s="119"/>
      <c r="D396" s="157">
        <v>7</v>
      </c>
      <c r="E396" s="1" t="s">
        <v>791</v>
      </c>
      <c r="F396" s="134">
        <v>644</v>
      </c>
      <c r="G396" s="133">
        <f t="shared" si="6"/>
        <v>4508</v>
      </c>
      <c r="H396" s="158">
        <v>46147</v>
      </c>
      <c r="I396" s="1" t="s">
        <v>1346</v>
      </c>
      <c r="J396" s="119"/>
    </row>
    <row r="397" spans="1:10" hidden="1">
      <c r="A397" s="157" t="s">
        <v>1352</v>
      </c>
      <c r="B397" s="119" t="s">
        <v>915</v>
      </c>
      <c r="C397" s="119"/>
      <c r="D397" s="157">
        <v>10</v>
      </c>
      <c r="E397" s="1" t="s">
        <v>791</v>
      </c>
      <c r="F397" s="134">
        <v>1263</v>
      </c>
      <c r="G397" s="133">
        <f t="shared" si="6"/>
        <v>12630</v>
      </c>
      <c r="H397" s="158">
        <v>46147</v>
      </c>
      <c r="I397" s="1" t="s">
        <v>1346</v>
      </c>
      <c r="J397" s="119"/>
    </row>
    <row r="398" spans="1:10" ht="18.600000000000001" hidden="1" customHeight="1">
      <c r="A398" s="157" t="s">
        <v>1353</v>
      </c>
      <c r="B398" s="119" t="s">
        <v>915</v>
      </c>
      <c r="C398" s="119"/>
      <c r="D398" s="157">
        <v>1</v>
      </c>
      <c r="E398" s="1" t="s">
        <v>791</v>
      </c>
      <c r="F398" s="134">
        <v>286</v>
      </c>
      <c r="G398" s="133">
        <f t="shared" si="6"/>
        <v>286</v>
      </c>
      <c r="H398" s="158">
        <v>46147</v>
      </c>
      <c r="I398" s="1" t="s">
        <v>1346</v>
      </c>
      <c r="J398" s="119"/>
    </row>
    <row r="399" spans="1:10" customFormat="1" hidden="1">
      <c r="A399" s="157" t="s">
        <v>1354</v>
      </c>
      <c r="B399" s="96" t="s">
        <v>919</v>
      </c>
      <c r="C399" s="1"/>
      <c r="D399" s="96">
        <v>125</v>
      </c>
      <c r="E399" s="1" t="s">
        <v>791</v>
      </c>
      <c r="F399" s="134">
        <v>75.900000000000006</v>
      </c>
      <c r="G399" s="90">
        <f t="shared" si="6"/>
        <v>9487.5</v>
      </c>
      <c r="H399" s="125">
        <v>46211</v>
      </c>
      <c r="I399" s="1" t="s">
        <v>920</v>
      </c>
      <c r="J399" s="1"/>
    </row>
    <row r="400" spans="1:10" customFormat="1" hidden="1">
      <c r="A400" s="108" t="s">
        <v>1355</v>
      </c>
      <c r="B400" s="1" t="s">
        <v>360</v>
      </c>
      <c r="C400" s="1" t="s">
        <v>860</v>
      </c>
      <c r="D400" s="108">
        <v>28</v>
      </c>
      <c r="E400" s="1" t="s">
        <v>791</v>
      </c>
      <c r="F400" s="134">
        <v>33150</v>
      </c>
      <c r="G400" s="90">
        <f t="shared" si="6"/>
        <v>928200</v>
      </c>
      <c r="H400" s="125">
        <v>46210</v>
      </c>
      <c r="I400" s="1" t="s">
        <v>1356</v>
      </c>
      <c r="J400" s="1"/>
    </row>
    <row r="401" spans="1:10" customFormat="1" hidden="1">
      <c r="A401" s="96" t="s">
        <v>1357</v>
      </c>
      <c r="B401" s="1" t="s">
        <v>360</v>
      </c>
      <c r="C401" s="1" t="s">
        <v>860</v>
      </c>
      <c r="D401" s="96">
        <v>1</v>
      </c>
      <c r="E401" s="1" t="s">
        <v>791</v>
      </c>
      <c r="F401" s="134">
        <v>11000</v>
      </c>
      <c r="G401" s="90">
        <f t="shared" si="6"/>
        <v>11000</v>
      </c>
      <c r="H401" s="61"/>
      <c r="I401" s="1" t="s">
        <v>1358</v>
      </c>
      <c r="J401" s="1"/>
    </row>
    <row r="402" spans="1:10" customFormat="1">
      <c r="A402" s="96" t="s">
        <v>1359</v>
      </c>
      <c r="B402" s="1" t="s">
        <v>360</v>
      </c>
      <c r="C402" s="1" t="s">
        <v>860</v>
      </c>
      <c r="D402" s="107">
        <v>2</v>
      </c>
      <c r="E402" s="1" t="s">
        <v>791</v>
      </c>
      <c r="F402" s="159"/>
      <c r="G402" s="90">
        <f t="shared" si="6"/>
        <v>0</v>
      </c>
      <c r="H402" s="61"/>
      <c r="I402" s="1"/>
      <c r="J402" s="1"/>
    </row>
    <row r="403" spans="1:10" customFormat="1" hidden="1">
      <c r="A403" s="1" t="s">
        <v>1360</v>
      </c>
      <c r="B403" s="1" t="s">
        <v>13</v>
      </c>
      <c r="C403" s="1"/>
      <c r="D403" s="1">
        <v>2</v>
      </c>
      <c r="E403" s="1" t="s">
        <v>791</v>
      </c>
      <c r="F403" s="135"/>
      <c r="G403" s="90">
        <f t="shared" si="6"/>
        <v>0</v>
      </c>
      <c r="H403" s="61"/>
      <c r="I403" s="1"/>
      <c r="J403" s="1"/>
    </row>
    <row r="404" spans="1:10" customFormat="1" ht="15" hidden="1" customHeight="1">
      <c r="A404" s="108" t="s">
        <v>1361</v>
      </c>
      <c r="B404" s="1" t="s">
        <v>368</v>
      </c>
      <c r="C404" s="1"/>
      <c r="D404" s="107"/>
      <c r="E404" s="1" t="s">
        <v>791</v>
      </c>
      <c r="F404" s="159"/>
      <c r="G404" s="90">
        <f t="shared" si="6"/>
        <v>0</v>
      </c>
      <c r="H404" s="61"/>
      <c r="I404" s="1"/>
      <c r="J404" s="1"/>
    </row>
    <row r="405" spans="1:10" customFormat="1" ht="15" hidden="1" customHeight="1">
      <c r="A405" s="108" t="s">
        <v>1362</v>
      </c>
      <c r="B405" s="1" t="s">
        <v>368</v>
      </c>
      <c r="C405" s="1"/>
      <c r="D405" s="107"/>
      <c r="E405" s="1" t="s">
        <v>791</v>
      </c>
      <c r="F405" s="159"/>
      <c r="G405" s="90">
        <f t="shared" si="6"/>
        <v>0</v>
      </c>
      <c r="H405" s="61"/>
      <c r="I405" s="1"/>
      <c r="J405" s="1"/>
    </row>
    <row r="406" spans="1:10" customFormat="1" ht="15" hidden="1" customHeight="1">
      <c r="A406" s="108" t="s">
        <v>1363</v>
      </c>
      <c r="B406" s="1" t="s">
        <v>368</v>
      </c>
      <c r="C406" s="1"/>
      <c r="D406" s="107"/>
      <c r="E406" s="1" t="s">
        <v>791</v>
      </c>
      <c r="F406" s="159"/>
      <c r="G406" s="90">
        <f t="shared" si="6"/>
        <v>0</v>
      </c>
      <c r="H406" s="61"/>
      <c r="I406" s="1"/>
      <c r="J406" s="1"/>
    </row>
    <row r="407" spans="1:10" customFormat="1" ht="15" hidden="1" customHeight="1">
      <c r="A407" s="96" t="s">
        <v>1364</v>
      </c>
      <c r="B407" s="1" t="s">
        <v>942</v>
      </c>
      <c r="C407" s="1"/>
      <c r="D407" s="96">
        <v>1</v>
      </c>
      <c r="E407" s="1" t="s">
        <v>791</v>
      </c>
      <c r="F407" s="134">
        <v>18481</v>
      </c>
      <c r="G407" s="90">
        <f t="shared" si="6"/>
        <v>18481</v>
      </c>
      <c r="H407" s="125">
        <v>46148</v>
      </c>
      <c r="I407" s="114" t="s">
        <v>1365</v>
      </c>
      <c r="J407" s="1"/>
    </row>
    <row r="408" spans="1:10" customFormat="1" ht="15" hidden="1" customHeight="1">
      <c r="A408" s="96" t="s">
        <v>1366</v>
      </c>
      <c r="B408" s="1" t="s">
        <v>942</v>
      </c>
      <c r="C408" s="1"/>
      <c r="D408" s="96">
        <v>9</v>
      </c>
      <c r="E408" s="1" t="s">
        <v>791</v>
      </c>
      <c r="F408" s="134">
        <v>20036</v>
      </c>
      <c r="G408" s="90">
        <f t="shared" si="6"/>
        <v>180324</v>
      </c>
      <c r="H408" s="125">
        <v>46148</v>
      </c>
      <c r="I408" s="114" t="s">
        <v>1367</v>
      </c>
      <c r="J408" s="1"/>
    </row>
    <row r="409" spans="1:10" customFormat="1" ht="15" hidden="1" customHeight="1">
      <c r="A409" s="96" t="s">
        <v>1368</v>
      </c>
      <c r="B409" s="1" t="s">
        <v>942</v>
      </c>
      <c r="C409" s="1"/>
      <c r="D409" s="96">
        <v>1</v>
      </c>
      <c r="E409" s="1" t="s">
        <v>791</v>
      </c>
      <c r="F409" s="134">
        <v>23245</v>
      </c>
      <c r="G409" s="90">
        <f t="shared" si="6"/>
        <v>23245</v>
      </c>
      <c r="H409" s="125">
        <v>46148</v>
      </c>
      <c r="I409" s="114" t="s">
        <v>1307</v>
      </c>
      <c r="J409" s="1"/>
    </row>
    <row r="410" spans="1:10" customFormat="1" ht="15" hidden="1" customHeight="1">
      <c r="A410" s="1" t="s">
        <v>1369</v>
      </c>
      <c r="B410" s="1" t="s">
        <v>13</v>
      </c>
      <c r="C410" s="1"/>
      <c r="D410" s="1">
        <v>4</v>
      </c>
      <c r="E410" s="1" t="s">
        <v>791</v>
      </c>
      <c r="F410" s="135"/>
      <c r="G410" s="90">
        <f t="shared" si="6"/>
        <v>0</v>
      </c>
      <c r="H410" s="61"/>
      <c r="I410" s="1"/>
      <c r="J410" s="1"/>
    </row>
    <row r="411" spans="1:10" customFormat="1" ht="15" hidden="1" customHeight="1">
      <c r="A411" s="1" t="s">
        <v>1370</v>
      </c>
      <c r="B411" s="1" t="s">
        <v>13</v>
      </c>
      <c r="C411" s="1"/>
      <c r="D411" s="1">
        <v>1</v>
      </c>
      <c r="E411" s="1" t="s">
        <v>791</v>
      </c>
      <c r="F411" s="135"/>
      <c r="G411" s="90">
        <f t="shared" si="6"/>
        <v>0</v>
      </c>
      <c r="H411" s="61"/>
      <c r="I411" s="1"/>
      <c r="J411" s="1"/>
    </row>
    <row r="412" spans="1:10" customFormat="1" ht="15" hidden="1" customHeight="1">
      <c r="A412" s="1" t="s">
        <v>1371</v>
      </c>
      <c r="B412" s="1" t="s">
        <v>13</v>
      </c>
      <c r="C412" s="1"/>
      <c r="D412" s="1">
        <v>1</v>
      </c>
      <c r="E412" s="1" t="s">
        <v>791</v>
      </c>
      <c r="F412" s="135"/>
      <c r="G412" s="90">
        <f t="shared" si="6"/>
        <v>0</v>
      </c>
      <c r="H412" s="61"/>
      <c r="I412" s="1"/>
      <c r="J412" s="1"/>
    </row>
    <row r="413" spans="1:10" customFormat="1" ht="15" hidden="1" customHeight="1">
      <c r="A413" s="1" t="s">
        <v>1372</v>
      </c>
      <c r="B413" s="1" t="s">
        <v>13</v>
      </c>
      <c r="C413" s="1"/>
      <c r="D413" s="1">
        <v>1</v>
      </c>
      <c r="E413" s="1" t="s">
        <v>791</v>
      </c>
      <c r="F413" s="135"/>
      <c r="G413" s="90">
        <f t="shared" si="6"/>
        <v>0</v>
      </c>
      <c r="H413" s="61"/>
      <c r="I413" s="1"/>
      <c r="J413" s="1"/>
    </row>
    <row r="414" spans="1:10" customFormat="1" ht="15" hidden="1" customHeight="1">
      <c r="A414" s="1" t="s">
        <v>1373</v>
      </c>
      <c r="B414" s="1" t="s">
        <v>13</v>
      </c>
      <c r="C414" s="1"/>
      <c r="D414" s="1">
        <v>1</v>
      </c>
      <c r="E414" s="1" t="s">
        <v>791</v>
      </c>
      <c r="F414" s="135"/>
      <c r="G414" s="90">
        <f t="shared" si="6"/>
        <v>0</v>
      </c>
      <c r="H414" s="61"/>
      <c r="I414" s="1"/>
      <c r="J414" s="1"/>
    </row>
    <row r="415" spans="1:10" ht="15" hidden="1" customHeight="1">
      <c r="A415" s="96" t="s">
        <v>1374</v>
      </c>
      <c r="B415" s="1" t="s">
        <v>355</v>
      </c>
      <c r="C415" s="1"/>
      <c r="D415" s="96">
        <v>28</v>
      </c>
      <c r="E415" s="1" t="s">
        <v>791</v>
      </c>
      <c r="F415" s="134">
        <v>3062</v>
      </c>
      <c r="G415" s="90">
        <f t="shared" si="6"/>
        <v>85736</v>
      </c>
      <c r="H415" s="125">
        <v>46147</v>
      </c>
      <c r="I415" s="114" t="s">
        <v>1375</v>
      </c>
      <c r="J415" s="1"/>
    </row>
    <row r="416" spans="1:10" ht="15" hidden="1" customHeight="1">
      <c r="A416" s="157" t="s">
        <v>1376</v>
      </c>
      <c r="B416" s="119" t="s">
        <v>13</v>
      </c>
      <c r="C416" s="119" t="s">
        <v>860</v>
      </c>
      <c r="D416" s="157">
        <v>2</v>
      </c>
      <c r="E416" s="1" t="s">
        <v>791</v>
      </c>
      <c r="F416" s="134">
        <f>3820*0.8</f>
        <v>3056</v>
      </c>
      <c r="G416" s="90">
        <f t="shared" si="6"/>
        <v>6112</v>
      </c>
      <c r="H416" s="158">
        <v>46142</v>
      </c>
      <c r="I416" s="119" t="s">
        <v>820</v>
      </c>
      <c r="J416" s="119"/>
    </row>
    <row r="417" spans="1:10" ht="15" hidden="1" customHeight="1">
      <c r="A417" s="157" t="s">
        <v>1377</v>
      </c>
      <c r="B417" s="119" t="s">
        <v>13</v>
      </c>
      <c r="C417" s="119" t="s">
        <v>860</v>
      </c>
      <c r="D417" s="157">
        <f>18+1</f>
        <v>19</v>
      </c>
      <c r="E417" s="1" t="s">
        <v>791</v>
      </c>
      <c r="F417" s="134">
        <f>13740*0.8</f>
        <v>10992</v>
      </c>
      <c r="G417" s="90">
        <f t="shared" ref="G417:G480" si="7">+D417*F417</f>
        <v>208848</v>
      </c>
      <c r="H417" s="158">
        <v>46142</v>
      </c>
      <c r="I417" s="119" t="s">
        <v>834</v>
      </c>
      <c r="J417" s="119"/>
    </row>
    <row r="418" spans="1:10" ht="15" hidden="1" customHeight="1">
      <c r="A418" s="157" t="s">
        <v>1378</v>
      </c>
      <c r="B418" s="119" t="s">
        <v>13</v>
      </c>
      <c r="C418" s="119" t="s">
        <v>860</v>
      </c>
      <c r="D418" s="157">
        <v>3</v>
      </c>
      <c r="E418" s="1" t="s">
        <v>791</v>
      </c>
      <c r="F418" s="134">
        <f>4800*0.8</f>
        <v>3840</v>
      </c>
      <c r="G418" s="90">
        <f t="shared" si="7"/>
        <v>11520</v>
      </c>
      <c r="H418" s="158">
        <v>46142</v>
      </c>
      <c r="I418" s="119" t="s">
        <v>1379</v>
      </c>
      <c r="J418" s="119"/>
    </row>
    <row r="419" spans="1:10" ht="15" hidden="1" customHeight="1">
      <c r="A419" s="157" t="s">
        <v>1380</v>
      </c>
      <c r="B419" s="119" t="s">
        <v>13</v>
      </c>
      <c r="C419" s="119" t="s">
        <v>860</v>
      </c>
      <c r="D419" s="157">
        <v>3</v>
      </c>
      <c r="E419" s="1" t="s">
        <v>791</v>
      </c>
      <c r="F419" s="134">
        <f>12440*0.8</f>
        <v>9952</v>
      </c>
      <c r="G419" s="90">
        <f t="shared" si="7"/>
        <v>29856</v>
      </c>
      <c r="H419" s="158">
        <v>46142</v>
      </c>
      <c r="I419" s="119" t="s">
        <v>1381</v>
      </c>
      <c r="J419" s="119"/>
    </row>
    <row r="420" spans="1:10" ht="15" hidden="1" customHeight="1">
      <c r="A420" s="157" t="s">
        <v>1382</v>
      </c>
      <c r="B420" s="119" t="s">
        <v>13</v>
      </c>
      <c r="C420" s="119" t="s">
        <v>860</v>
      </c>
      <c r="D420" s="157">
        <v>1</v>
      </c>
      <c r="E420" s="1" t="s">
        <v>791</v>
      </c>
      <c r="F420" s="134">
        <f>19100*0.8</f>
        <v>15280</v>
      </c>
      <c r="G420" s="90">
        <f t="shared" si="7"/>
        <v>15280</v>
      </c>
      <c r="H420" s="158">
        <v>46142</v>
      </c>
      <c r="I420" s="119" t="s">
        <v>1383</v>
      </c>
      <c r="J420" s="119"/>
    </row>
    <row r="421" spans="1:10" ht="15" hidden="1" customHeight="1">
      <c r="A421" s="157" t="s">
        <v>1384</v>
      </c>
      <c r="B421" s="119" t="s">
        <v>13</v>
      </c>
      <c r="C421" s="119" t="s">
        <v>860</v>
      </c>
      <c r="D421" s="157">
        <f>14+1</f>
        <v>15</v>
      </c>
      <c r="E421" s="1" t="s">
        <v>791</v>
      </c>
      <c r="F421" s="134">
        <f>24640*0.8</f>
        <v>19712</v>
      </c>
      <c r="G421" s="90">
        <f t="shared" si="7"/>
        <v>295680</v>
      </c>
      <c r="H421" s="158">
        <v>46142</v>
      </c>
      <c r="I421" s="119" t="s">
        <v>868</v>
      </c>
      <c r="J421" s="119"/>
    </row>
    <row r="422" spans="1:10" ht="15" hidden="1" customHeight="1">
      <c r="A422" s="157" t="s">
        <v>1385</v>
      </c>
      <c r="B422" s="119" t="s">
        <v>13</v>
      </c>
      <c r="C422" s="119" t="s">
        <v>860</v>
      </c>
      <c r="D422" s="157">
        <v>5</v>
      </c>
      <c r="E422" s="1" t="s">
        <v>791</v>
      </c>
      <c r="F422" s="134">
        <v>48171</v>
      </c>
      <c r="G422" s="90">
        <f t="shared" si="7"/>
        <v>240855</v>
      </c>
      <c r="H422" s="158">
        <v>46142</v>
      </c>
      <c r="I422" s="119" t="s">
        <v>1386</v>
      </c>
      <c r="J422" s="119"/>
    </row>
    <row r="423" spans="1:10" ht="15" hidden="1" customHeight="1">
      <c r="A423" s="157" t="s">
        <v>1387</v>
      </c>
      <c r="B423" s="119" t="s">
        <v>13</v>
      </c>
      <c r="C423" s="119" t="s">
        <v>860</v>
      </c>
      <c r="D423" s="157">
        <v>4</v>
      </c>
      <c r="E423" s="1" t="s">
        <v>791</v>
      </c>
      <c r="F423" s="134">
        <v>46391</v>
      </c>
      <c r="G423" s="90">
        <f t="shared" si="7"/>
        <v>185564</v>
      </c>
      <c r="H423" s="158">
        <v>46142</v>
      </c>
      <c r="I423" s="119" t="s">
        <v>1169</v>
      </c>
      <c r="J423" s="119"/>
    </row>
    <row r="424" spans="1:10" ht="15" hidden="1" customHeight="1">
      <c r="A424" s="157" t="s">
        <v>1388</v>
      </c>
      <c r="B424" s="119" t="s">
        <v>13</v>
      </c>
      <c r="C424" s="119" t="s">
        <v>860</v>
      </c>
      <c r="D424" s="157">
        <v>1</v>
      </c>
      <c r="E424" s="1" t="s">
        <v>791</v>
      </c>
      <c r="F424" s="134">
        <f>45012*0.8</f>
        <v>36009.599999999999</v>
      </c>
      <c r="G424" s="90">
        <f t="shared" si="7"/>
        <v>36009.599999999999</v>
      </c>
      <c r="H424" s="158">
        <v>46142</v>
      </c>
      <c r="I424" s="119" t="s">
        <v>1389</v>
      </c>
      <c r="J424" s="119"/>
    </row>
    <row r="425" spans="1:10" ht="15" hidden="1" customHeight="1">
      <c r="A425" s="157" t="s">
        <v>1390</v>
      </c>
      <c r="B425" s="119" t="s">
        <v>13</v>
      </c>
      <c r="C425" s="119" t="s">
        <v>860</v>
      </c>
      <c r="D425" s="157">
        <v>2</v>
      </c>
      <c r="E425" s="1" t="s">
        <v>791</v>
      </c>
      <c r="F425" s="134">
        <f>20100*0.8</f>
        <v>16080</v>
      </c>
      <c r="G425" s="90">
        <f t="shared" si="7"/>
        <v>32160</v>
      </c>
      <c r="H425" s="158">
        <v>46142</v>
      </c>
      <c r="I425" s="119" t="s">
        <v>1292</v>
      </c>
      <c r="J425" s="119"/>
    </row>
    <row r="426" spans="1:10" ht="15" hidden="1" customHeight="1">
      <c r="A426" s="157" t="s">
        <v>1391</v>
      </c>
      <c r="B426" s="119" t="s">
        <v>13</v>
      </c>
      <c r="C426" s="119" t="s">
        <v>860</v>
      </c>
      <c r="D426" s="157">
        <v>2</v>
      </c>
      <c r="E426" s="1" t="s">
        <v>791</v>
      </c>
      <c r="F426" s="134">
        <f>31869*0.8</f>
        <v>25495.200000000001</v>
      </c>
      <c r="G426" s="90">
        <f t="shared" si="7"/>
        <v>50990.400000000001</v>
      </c>
      <c r="H426" s="158">
        <v>46142</v>
      </c>
      <c r="I426" s="119" t="s">
        <v>1392</v>
      </c>
      <c r="J426" s="119" t="s">
        <v>1393</v>
      </c>
    </row>
    <row r="427" spans="1:10" ht="15" hidden="1" customHeight="1">
      <c r="A427" s="157" t="s">
        <v>1394</v>
      </c>
      <c r="B427" s="119" t="s">
        <v>13</v>
      </c>
      <c r="C427" s="119" t="s">
        <v>860</v>
      </c>
      <c r="D427" s="157">
        <f>2+6</f>
        <v>8</v>
      </c>
      <c r="E427" s="1" t="s">
        <v>791</v>
      </c>
      <c r="F427" s="134">
        <f>16030*0.8</f>
        <v>12824</v>
      </c>
      <c r="G427" s="90">
        <f t="shared" si="7"/>
        <v>102592</v>
      </c>
      <c r="H427" s="158">
        <v>46142</v>
      </c>
      <c r="I427" s="119" t="s">
        <v>1381</v>
      </c>
      <c r="J427" s="119"/>
    </row>
    <row r="428" spans="1:10" ht="15" hidden="1" customHeight="1">
      <c r="A428" s="157" t="s">
        <v>1395</v>
      </c>
      <c r="B428" s="119" t="s">
        <v>13</v>
      </c>
      <c r="C428" s="119" t="s">
        <v>860</v>
      </c>
      <c r="D428" s="157">
        <v>4</v>
      </c>
      <c r="E428" s="1" t="s">
        <v>791</v>
      </c>
      <c r="F428" s="134">
        <f>26490*0.8</f>
        <v>21192</v>
      </c>
      <c r="G428" s="90">
        <f t="shared" si="7"/>
        <v>84768</v>
      </c>
      <c r="H428" s="158">
        <v>46142</v>
      </c>
      <c r="I428" s="119" t="s">
        <v>1383</v>
      </c>
      <c r="J428" s="119" t="s">
        <v>766</v>
      </c>
    </row>
    <row r="429" spans="1:10" ht="15" hidden="1" customHeight="1">
      <c r="A429" s="157" t="s">
        <v>1396</v>
      </c>
      <c r="B429" s="119" t="s">
        <v>13</v>
      </c>
      <c r="C429" s="119" t="s">
        <v>860</v>
      </c>
      <c r="D429" s="157">
        <f>1+4</f>
        <v>5</v>
      </c>
      <c r="E429" s="1" t="s">
        <v>791</v>
      </c>
      <c r="F429" s="134">
        <f>30050*0.8</f>
        <v>24040</v>
      </c>
      <c r="G429" s="90">
        <f t="shared" si="7"/>
        <v>120200</v>
      </c>
      <c r="H429" s="158">
        <v>46142</v>
      </c>
      <c r="I429" s="119" t="s">
        <v>1397</v>
      </c>
      <c r="J429" s="119"/>
    </row>
    <row r="430" spans="1:10" customFormat="1" ht="15" hidden="1" customHeight="1">
      <c r="A430" s="157" t="s">
        <v>1398</v>
      </c>
      <c r="B430" s="119" t="s">
        <v>13</v>
      </c>
      <c r="C430" s="119" t="s">
        <v>860</v>
      </c>
      <c r="D430" s="157">
        <v>2</v>
      </c>
      <c r="E430" s="1" t="s">
        <v>791</v>
      </c>
      <c r="F430" s="134">
        <f>30330*0.8</f>
        <v>24264</v>
      </c>
      <c r="G430" s="90">
        <f t="shared" si="7"/>
        <v>48528</v>
      </c>
      <c r="H430" s="158">
        <v>46142</v>
      </c>
      <c r="I430" s="119" t="s">
        <v>1381</v>
      </c>
      <c r="J430" s="119"/>
    </row>
    <row r="431" spans="1:10" ht="15" hidden="1" customHeight="1">
      <c r="A431" s="96" t="s">
        <v>1399</v>
      </c>
      <c r="B431" s="1" t="s">
        <v>13</v>
      </c>
      <c r="C431" s="119" t="s">
        <v>860</v>
      </c>
      <c r="D431" s="96">
        <v>1</v>
      </c>
      <c r="E431" s="1" t="s">
        <v>791</v>
      </c>
      <c r="F431" s="134">
        <f>54590*0.8</f>
        <v>43672</v>
      </c>
      <c r="G431" s="90">
        <f t="shared" si="7"/>
        <v>43672</v>
      </c>
      <c r="H431" s="125">
        <v>46142</v>
      </c>
      <c r="I431" s="1" t="s">
        <v>842</v>
      </c>
      <c r="J431" s="1"/>
    </row>
    <row r="432" spans="1:10" ht="15" hidden="1" customHeight="1">
      <c r="A432" s="157" t="s">
        <v>1400</v>
      </c>
      <c r="B432" s="119" t="s">
        <v>13</v>
      </c>
      <c r="C432" s="119" t="s">
        <v>860</v>
      </c>
      <c r="D432" s="157">
        <v>2</v>
      </c>
      <c r="E432" s="1" t="s">
        <v>791</v>
      </c>
      <c r="F432" s="134">
        <f>89280*0.8</f>
        <v>71424</v>
      </c>
      <c r="G432" s="90">
        <f t="shared" si="7"/>
        <v>142848</v>
      </c>
      <c r="H432" s="158">
        <v>46142</v>
      </c>
      <c r="I432" s="119" t="s">
        <v>1389</v>
      </c>
      <c r="J432" s="119"/>
    </row>
    <row r="433" spans="1:10" ht="15" hidden="1" customHeight="1">
      <c r="A433" s="157" t="s">
        <v>1401</v>
      </c>
      <c r="B433" s="119" t="s">
        <v>13</v>
      </c>
      <c r="C433" s="119" t="s">
        <v>860</v>
      </c>
      <c r="D433" s="157">
        <v>1</v>
      </c>
      <c r="E433" s="1" t="s">
        <v>791</v>
      </c>
      <c r="F433" s="134">
        <f>96600*0.8</f>
        <v>77280</v>
      </c>
      <c r="G433" s="90">
        <f t="shared" si="7"/>
        <v>77280</v>
      </c>
      <c r="H433" s="158">
        <v>46142</v>
      </c>
      <c r="I433" s="119" t="s">
        <v>967</v>
      </c>
      <c r="J433" s="119"/>
    </row>
    <row r="434" spans="1:10" ht="15" hidden="1" customHeight="1">
      <c r="A434" s="157" t="s">
        <v>1402</v>
      </c>
      <c r="B434" s="119" t="s">
        <v>13</v>
      </c>
      <c r="C434" s="119" t="s">
        <v>860</v>
      </c>
      <c r="D434" s="157">
        <v>1</v>
      </c>
      <c r="E434" s="1" t="s">
        <v>791</v>
      </c>
      <c r="F434" s="134">
        <f>64740*0.8</f>
        <v>51792</v>
      </c>
      <c r="G434" s="90">
        <f t="shared" si="7"/>
        <v>51792</v>
      </c>
      <c r="H434" s="158">
        <v>46142</v>
      </c>
      <c r="I434" s="119" t="s">
        <v>1403</v>
      </c>
      <c r="J434" s="119"/>
    </row>
    <row r="435" spans="1:10" ht="15" hidden="1" customHeight="1">
      <c r="A435" s="157" t="s">
        <v>1404</v>
      </c>
      <c r="B435" s="119" t="s">
        <v>13</v>
      </c>
      <c r="C435" s="119" t="s">
        <v>860</v>
      </c>
      <c r="D435" s="157">
        <v>2</v>
      </c>
      <c r="E435" s="1" t="s">
        <v>791</v>
      </c>
      <c r="F435" s="134">
        <f>8860*0.8</f>
        <v>7088</v>
      </c>
      <c r="G435" s="90">
        <f t="shared" si="7"/>
        <v>14176</v>
      </c>
      <c r="H435" s="158">
        <v>46142</v>
      </c>
      <c r="I435" s="119" t="s">
        <v>1379</v>
      </c>
      <c r="J435" s="119" t="s">
        <v>1405</v>
      </c>
    </row>
    <row r="436" spans="1:10" ht="15" hidden="1" customHeight="1">
      <c r="A436" s="157" t="s">
        <v>1406</v>
      </c>
      <c r="B436" s="119" t="s">
        <v>13</v>
      </c>
      <c r="C436" s="119" t="s">
        <v>860</v>
      </c>
      <c r="D436" s="157">
        <v>1</v>
      </c>
      <c r="E436" s="1" t="s">
        <v>791</v>
      </c>
      <c r="F436" s="134">
        <f>8860*0.8</f>
        <v>7088</v>
      </c>
      <c r="G436" s="90">
        <f t="shared" si="7"/>
        <v>7088</v>
      </c>
      <c r="H436" s="158">
        <v>46142</v>
      </c>
      <c r="I436" s="119" t="s">
        <v>1379</v>
      </c>
      <c r="J436" s="119"/>
    </row>
    <row r="437" spans="1:10" ht="15" hidden="1" customHeight="1">
      <c r="A437" s="157" t="s">
        <v>1407</v>
      </c>
      <c r="B437" s="119" t="s">
        <v>13</v>
      </c>
      <c r="C437" s="119" t="s">
        <v>860</v>
      </c>
      <c r="D437" s="157">
        <v>1</v>
      </c>
      <c r="E437" s="1" t="s">
        <v>791</v>
      </c>
      <c r="F437" s="134">
        <f>7690*0.8</f>
        <v>6152</v>
      </c>
      <c r="G437" s="90">
        <f t="shared" si="7"/>
        <v>6152</v>
      </c>
      <c r="H437" s="158">
        <v>46142</v>
      </c>
      <c r="I437" s="119" t="s">
        <v>820</v>
      </c>
      <c r="J437" s="119"/>
    </row>
    <row r="438" spans="1:10" customFormat="1" ht="15" hidden="1" customHeight="1">
      <c r="A438" s="157" t="s">
        <v>1408</v>
      </c>
      <c r="B438" s="119" t="s">
        <v>13</v>
      </c>
      <c r="C438" s="119" t="s">
        <v>860</v>
      </c>
      <c r="D438" s="157">
        <v>4</v>
      </c>
      <c r="E438" s="1" t="s">
        <v>791</v>
      </c>
      <c r="F438" s="134">
        <f>92280*0.8</f>
        <v>73824</v>
      </c>
      <c r="G438" s="90">
        <f t="shared" si="7"/>
        <v>295296</v>
      </c>
      <c r="H438" s="158">
        <v>46142</v>
      </c>
      <c r="I438" s="119" t="s">
        <v>1409</v>
      </c>
      <c r="J438" s="119" t="s">
        <v>1410</v>
      </c>
    </row>
    <row r="439" spans="1:10" customFormat="1" ht="15.75" hidden="1" customHeight="1">
      <c r="A439" s="96" t="s">
        <v>1411</v>
      </c>
      <c r="B439" s="1" t="s">
        <v>830</v>
      </c>
      <c r="C439" s="1" t="s">
        <v>831</v>
      </c>
      <c r="D439" s="96">
        <v>3</v>
      </c>
      <c r="E439" s="1" t="s">
        <v>791</v>
      </c>
      <c r="F439" s="134">
        <f>27460*0.8</f>
        <v>21968</v>
      </c>
      <c r="G439" s="90">
        <f t="shared" si="7"/>
        <v>65904</v>
      </c>
      <c r="H439" s="125">
        <v>46135</v>
      </c>
      <c r="I439" s="1" t="s">
        <v>1412</v>
      </c>
      <c r="J439" s="1"/>
    </row>
    <row r="440" spans="1:10" customFormat="1" ht="15.75" hidden="1" customHeight="1">
      <c r="A440" s="96" t="s">
        <v>1413</v>
      </c>
      <c r="B440" s="1" t="s">
        <v>830</v>
      </c>
      <c r="C440" s="1" t="s">
        <v>831</v>
      </c>
      <c r="D440" s="96">
        <v>4</v>
      </c>
      <c r="E440" s="1" t="s">
        <v>791</v>
      </c>
      <c r="F440" s="134">
        <f>8310*0.8</f>
        <v>6648</v>
      </c>
      <c r="G440" s="90">
        <f t="shared" si="7"/>
        <v>26592</v>
      </c>
      <c r="H440" s="125">
        <v>46135</v>
      </c>
      <c r="I440" s="1" t="s">
        <v>1414</v>
      </c>
      <c r="J440" s="1"/>
    </row>
    <row r="441" spans="1:10" customFormat="1" ht="15" hidden="1" customHeight="1">
      <c r="A441" s="96" t="s">
        <v>1415</v>
      </c>
      <c r="B441" s="1" t="s">
        <v>32</v>
      </c>
      <c r="C441" s="1" t="s">
        <v>860</v>
      </c>
      <c r="D441" s="96">
        <v>5</v>
      </c>
      <c r="E441" s="1" t="s">
        <v>791</v>
      </c>
      <c r="F441" s="134">
        <f>8540*0.8</f>
        <v>6832</v>
      </c>
      <c r="G441" s="90">
        <f t="shared" si="7"/>
        <v>34160</v>
      </c>
      <c r="H441" s="125">
        <v>46133</v>
      </c>
      <c r="I441" s="119" t="s">
        <v>820</v>
      </c>
      <c r="J441" s="1"/>
    </row>
    <row r="442" spans="1:10" customFormat="1" ht="15" hidden="1" customHeight="1">
      <c r="A442" s="96" t="s">
        <v>1416</v>
      </c>
      <c r="B442" s="1" t="s">
        <v>32</v>
      </c>
      <c r="C442" s="1" t="s">
        <v>860</v>
      </c>
      <c r="D442" s="96">
        <v>14</v>
      </c>
      <c r="E442" s="1" t="s">
        <v>791</v>
      </c>
      <c r="F442" s="134">
        <f>4780*0.8</f>
        <v>3824</v>
      </c>
      <c r="G442" s="90">
        <f t="shared" si="7"/>
        <v>53536</v>
      </c>
      <c r="H442" s="125">
        <v>46133</v>
      </c>
      <c r="I442" s="119" t="s">
        <v>820</v>
      </c>
      <c r="J442" s="1"/>
    </row>
    <row r="443" spans="1:10" customFormat="1" ht="15" hidden="1" customHeight="1">
      <c r="A443" s="1" t="s">
        <v>1417</v>
      </c>
      <c r="B443" s="1" t="s">
        <v>448</v>
      </c>
      <c r="C443" s="1"/>
      <c r="D443" s="1">
        <v>2</v>
      </c>
      <c r="E443" s="1" t="s">
        <v>791</v>
      </c>
      <c r="F443" s="135"/>
      <c r="G443" s="90">
        <f t="shared" si="7"/>
        <v>0</v>
      </c>
      <c r="H443" s="61"/>
      <c r="I443" s="1" t="s">
        <v>1418</v>
      </c>
      <c r="J443" s="1"/>
    </row>
    <row r="444" spans="1:10" customFormat="1" ht="15" hidden="1" customHeight="1">
      <c r="A444" s="1" t="s">
        <v>1419</v>
      </c>
      <c r="B444" s="1" t="s">
        <v>355</v>
      </c>
      <c r="C444" s="1"/>
      <c r="D444" s="1">
        <v>74</v>
      </c>
      <c r="E444" s="1" t="s">
        <v>791</v>
      </c>
      <c r="F444" s="135"/>
      <c r="G444" s="90">
        <f t="shared" si="7"/>
        <v>0</v>
      </c>
      <c r="H444" s="61"/>
      <c r="I444" s="109" t="s">
        <v>1012</v>
      </c>
      <c r="J444" s="1"/>
    </row>
    <row r="445" spans="1:10" customFormat="1" ht="15" hidden="1" customHeight="1">
      <c r="A445" s="96" t="s">
        <v>1420</v>
      </c>
      <c r="B445" s="1" t="s">
        <v>942</v>
      </c>
      <c r="C445" s="1"/>
      <c r="D445" s="96">
        <v>11</v>
      </c>
      <c r="E445" s="1" t="s">
        <v>791</v>
      </c>
      <c r="F445" s="134">
        <v>14500</v>
      </c>
      <c r="G445" s="90">
        <f t="shared" si="7"/>
        <v>159500</v>
      </c>
      <c r="H445" s="125">
        <v>46148</v>
      </c>
      <c r="I445" s="1" t="s">
        <v>1421</v>
      </c>
      <c r="J445" s="1"/>
    </row>
    <row r="446" spans="1:10" customFormat="1" ht="15" hidden="1" customHeight="1">
      <c r="A446" s="96" t="s">
        <v>1422</v>
      </c>
      <c r="B446" s="1" t="s">
        <v>942</v>
      </c>
      <c r="C446" s="1"/>
      <c r="D446" s="96">
        <v>75</v>
      </c>
      <c r="E446" s="1" t="s">
        <v>791</v>
      </c>
      <c r="F446" s="134">
        <v>4344</v>
      </c>
      <c r="G446" s="90">
        <f t="shared" si="7"/>
        <v>325800</v>
      </c>
      <c r="H446" s="125">
        <v>46148</v>
      </c>
      <c r="I446" s="1" t="s">
        <v>1423</v>
      </c>
      <c r="J446" s="1"/>
    </row>
    <row r="447" spans="1:10" customFormat="1" ht="15" hidden="1" customHeight="1">
      <c r="A447" s="96" t="s">
        <v>1424</v>
      </c>
      <c r="B447" s="1" t="s">
        <v>942</v>
      </c>
      <c r="C447" s="1"/>
      <c r="D447" s="96">
        <v>1</v>
      </c>
      <c r="E447" s="1" t="s">
        <v>791</v>
      </c>
      <c r="F447" s="134">
        <v>8428</v>
      </c>
      <c r="G447" s="90">
        <f t="shared" si="7"/>
        <v>8428</v>
      </c>
      <c r="H447" s="125">
        <v>46148</v>
      </c>
      <c r="I447" s="1" t="s">
        <v>1425</v>
      </c>
      <c r="J447" s="1"/>
    </row>
    <row r="448" spans="1:10" customFormat="1" ht="15" hidden="1" customHeight="1">
      <c r="A448" s="1" t="s">
        <v>1426</v>
      </c>
      <c r="B448" s="78" t="s">
        <v>448</v>
      </c>
      <c r="C448" s="78"/>
      <c r="D448" s="1">
        <v>5</v>
      </c>
      <c r="E448" s="1" t="s">
        <v>791</v>
      </c>
      <c r="F448" s="135"/>
      <c r="G448" s="90">
        <f t="shared" si="7"/>
        <v>0</v>
      </c>
      <c r="H448" s="61"/>
      <c r="I448" s="1"/>
      <c r="J448" s="1"/>
    </row>
    <row r="449" spans="1:10" customFormat="1" ht="15" hidden="1" customHeight="1">
      <c r="A449" s="1" t="s">
        <v>1427</v>
      </c>
      <c r="B449" s="78" t="s">
        <v>448</v>
      </c>
      <c r="C449" s="78"/>
      <c r="D449" s="1">
        <v>7</v>
      </c>
      <c r="E449" s="1" t="s">
        <v>791</v>
      </c>
      <c r="F449" s="135"/>
      <c r="G449" s="90">
        <f t="shared" si="7"/>
        <v>0</v>
      </c>
      <c r="H449" s="61"/>
      <c r="I449" s="1"/>
      <c r="J449" s="1"/>
    </row>
    <row r="450" spans="1:10" customFormat="1" ht="15" hidden="1" customHeight="1">
      <c r="A450" s="96" t="s">
        <v>1428</v>
      </c>
      <c r="B450" s="1" t="s">
        <v>321</v>
      </c>
      <c r="C450" s="1"/>
      <c r="D450" s="96">
        <v>1</v>
      </c>
      <c r="E450" s="1" t="s">
        <v>791</v>
      </c>
      <c r="F450" s="134">
        <f>5400*8</f>
        <v>43200</v>
      </c>
      <c r="G450" s="90">
        <f t="shared" si="7"/>
        <v>43200</v>
      </c>
      <c r="H450" s="125">
        <v>46141</v>
      </c>
      <c r="I450" s="114" t="s">
        <v>1429</v>
      </c>
      <c r="J450" s="1"/>
    </row>
    <row r="451" spans="1:10" ht="15" hidden="1" customHeight="1">
      <c r="A451" s="96" t="s">
        <v>1430</v>
      </c>
      <c r="B451" s="1" t="s">
        <v>321</v>
      </c>
      <c r="C451" s="1"/>
      <c r="D451" s="96">
        <v>1</v>
      </c>
      <c r="E451" s="1" t="s">
        <v>791</v>
      </c>
      <c r="F451" s="134">
        <f>30590*0.8</f>
        <v>24472</v>
      </c>
      <c r="G451" s="90">
        <f t="shared" si="7"/>
        <v>24472</v>
      </c>
      <c r="H451" s="125">
        <v>46141</v>
      </c>
      <c r="I451" s="114" t="s">
        <v>851</v>
      </c>
      <c r="J451" s="1"/>
    </row>
    <row r="452" spans="1:10" ht="15" hidden="1" customHeight="1">
      <c r="A452" s="157" t="s">
        <v>1431</v>
      </c>
      <c r="B452" s="119" t="s">
        <v>13</v>
      </c>
      <c r="C452" s="119" t="s">
        <v>860</v>
      </c>
      <c r="D452" s="157">
        <v>5</v>
      </c>
      <c r="E452" s="1" t="s">
        <v>791</v>
      </c>
      <c r="F452" s="134">
        <f>12970*0.8</f>
        <v>10376</v>
      </c>
      <c r="G452" s="90">
        <f t="shared" si="7"/>
        <v>51880</v>
      </c>
      <c r="H452" s="158">
        <v>46134</v>
      </c>
      <c r="I452" s="119" t="s">
        <v>820</v>
      </c>
      <c r="J452" s="119"/>
    </row>
    <row r="453" spans="1:10" ht="15" hidden="1" customHeight="1">
      <c r="A453" s="157" t="s">
        <v>1432</v>
      </c>
      <c r="B453" s="119" t="s">
        <v>13</v>
      </c>
      <c r="C453" s="119" t="s">
        <v>860</v>
      </c>
      <c r="D453" s="157">
        <v>1</v>
      </c>
      <c r="E453" s="1" t="s">
        <v>791</v>
      </c>
      <c r="F453" s="134">
        <f>12640*0.8</f>
        <v>10112</v>
      </c>
      <c r="G453" s="90">
        <f t="shared" si="7"/>
        <v>10112</v>
      </c>
      <c r="H453" s="158">
        <v>46141</v>
      </c>
      <c r="I453" s="119" t="s">
        <v>1049</v>
      </c>
      <c r="J453" s="119"/>
    </row>
    <row r="454" spans="1:10" ht="15" hidden="1" customHeight="1">
      <c r="A454" s="157" t="s">
        <v>1433</v>
      </c>
      <c r="B454" s="119" t="s">
        <v>13</v>
      </c>
      <c r="C454" s="119" t="s">
        <v>860</v>
      </c>
      <c r="D454" s="157">
        <v>1</v>
      </c>
      <c r="E454" s="1" t="s">
        <v>791</v>
      </c>
      <c r="F454" s="134">
        <f>22230*0.8</f>
        <v>17784</v>
      </c>
      <c r="G454" s="90">
        <f t="shared" si="7"/>
        <v>17784</v>
      </c>
      <c r="H454" s="158">
        <v>46141</v>
      </c>
      <c r="I454" s="119" t="s">
        <v>851</v>
      </c>
      <c r="J454" s="119" t="s">
        <v>1434</v>
      </c>
    </row>
    <row r="455" spans="1:10" customFormat="1" ht="15" hidden="1" customHeight="1">
      <c r="A455" s="157" t="s">
        <v>1435</v>
      </c>
      <c r="B455" s="119" t="s">
        <v>13</v>
      </c>
      <c r="C455" s="119" t="s">
        <v>860</v>
      </c>
      <c r="D455" s="157">
        <v>1</v>
      </c>
      <c r="E455" s="1" t="s">
        <v>791</v>
      </c>
      <c r="F455" s="134">
        <f>43730*0.8</f>
        <v>34984</v>
      </c>
      <c r="G455" s="90">
        <f t="shared" si="7"/>
        <v>34984</v>
      </c>
      <c r="H455" s="158">
        <v>46141</v>
      </c>
      <c r="I455" s="119" t="s">
        <v>1436</v>
      </c>
      <c r="J455" s="119"/>
    </row>
    <row r="456" spans="1:10" customFormat="1" ht="15" hidden="1" customHeight="1">
      <c r="A456" s="1" t="s">
        <v>1437</v>
      </c>
      <c r="B456" s="1" t="s">
        <v>460</v>
      </c>
      <c r="C456" s="1" t="s">
        <v>860</v>
      </c>
      <c r="D456" s="1"/>
      <c r="E456" s="1" t="s">
        <v>791</v>
      </c>
      <c r="F456" s="135"/>
      <c r="G456" s="90">
        <f t="shared" si="7"/>
        <v>0</v>
      </c>
      <c r="H456" s="127"/>
      <c r="I456" s="1"/>
      <c r="J456" s="1"/>
    </row>
    <row r="457" spans="1:10" ht="15" hidden="1" customHeight="1">
      <c r="A457" s="96" t="s">
        <v>1438</v>
      </c>
      <c r="B457" s="1" t="s">
        <v>16</v>
      </c>
      <c r="C457" s="1" t="s">
        <v>1131</v>
      </c>
      <c r="D457" s="96">
        <v>1</v>
      </c>
      <c r="E457" s="1" t="s">
        <v>791</v>
      </c>
      <c r="F457" s="134">
        <f>60220*0.8</f>
        <v>48176</v>
      </c>
      <c r="G457" s="90">
        <f t="shared" si="7"/>
        <v>48176</v>
      </c>
      <c r="H457" s="125">
        <v>46141</v>
      </c>
      <c r="I457" s="119" t="s">
        <v>820</v>
      </c>
      <c r="J457" s="1"/>
    </row>
    <row r="458" spans="1:10" customFormat="1" ht="15" hidden="1" customHeight="1">
      <c r="A458" s="157" t="s">
        <v>1439</v>
      </c>
      <c r="B458" s="119" t="s">
        <v>13</v>
      </c>
      <c r="C458" s="119" t="s">
        <v>1131</v>
      </c>
      <c r="D458" s="157">
        <v>6</v>
      </c>
      <c r="E458" s="1" t="s">
        <v>791</v>
      </c>
      <c r="F458" s="134">
        <f>64910*0.8</f>
        <v>51928</v>
      </c>
      <c r="G458" s="90">
        <f t="shared" si="7"/>
        <v>311568</v>
      </c>
      <c r="H458" s="158">
        <v>46141</v>
      </c>
      <c r="I458" s="119" t="s">
        <v>1440</v>
      </c>
      <c r="J458" s="119"/>
    </row>
    <row r="459" spans="1:10" customFormat="1" ht="15" hidden="1" customHeight="1">
      <c r="A459" s="96" t="s">
        <v>1441</v>
      </c>
      <c r="B459" s="1" t="s">
        <v>16</v>
      </c>
      <c r="C459" s="1" t="s">
        <v>1131</v>
      </c>
      <c r="D459" s="96">
        <v>1</v>
      </c>
      <c r="E459" s="1" t="s">
        <v>791</v>
      </c>
      <c r="F459" s="134">
        <f>33820*0.8</f>
        <v>27056</v>
      </c>
      <c r="G459" s="90">
        <f t="shared" si="7"/>
        <v>27056</v>
      </c>
      <c r="H459" s="125">
        <v>46141</v>
      </c>
      <c r="I459" s="119" t="s">
        <v>820</v>
      </c>
      <c r="J459" s="1"/>
    </row>
    <row r="460" spans="1:10" ht="15" hidden="1" customHeight="1">
      <c r="A460" s="96" t="s">
        <v>1442</v>
      </c>
      <c r="B460" s="1" t="s">
        <v>16</v>
      </c>
      <c r="C460" s="1" t="s">
        <v>1131</v>
      </c>
      <c r="D460" s="96">
        <v>1</v>
      </c>
      <c r="E460" s="1" t="s">
        <v>791</v>
      </c>
      <c r="F460" s="134">
        <f>31150*0.8</f>
        <v>24920</v>
      </c>
      <c r="G460" s="90">
        <f t="shared" si="7"/>
        <v>24920</v>
      </c>
      <c r="H460" s="125">
        <v>46141</v>
      </c>
      <c r="I460" s="119" t="s">
        <v>820</v>
      </c>
      <c r="J460" s="1"/>
    </row>
    <row r="461" spans="1:10" ht="15" hidden="1" customHeight="1">
      <c r="A461" s="157" t="s">
        <v>1443</v>
      </c>
      <c r="B461" s="119" t="s">
        <v>13</v>
      </c>
      <c r="C461" s="119" t="s">
        <v>1131</v>
      </c>
      <c r="D461" s="157">
        <v>5</v>
      </c>
      <c r="E461" s="1" t="s">
        <v>791</v>
      </c>
      <c r="F461" s="134">
        <f>14000*0.8</f>
        <v>11200</v>
      </c>
      <c r="G461" s="90">
        <f t="shared" si="7"/>
        <v>56000</v>
      </c>
      <c r="H461" s="158">
        <v>46141</v>
      </c>
      <c r="I461" s="119" t="s">
        <v>960</v>
      </c>
      <c r="J461" s="119"/>
    </row>
    <row r="462" spans="1:10" ht="15" hidden="1" customHeight="1">
      <c r="A462" s="157" t="s">
        <v>1444</v>
      </c>
      <c r="B462" s="119" t="s">
        <v>13</v>
      </c>
      <c r="C462" s="119" t="s">
        <v>1131</v>
      </c>
      <c r="D462" s="157">
        <v>2</v>
      </c>
      <c r="E462" s="1" t="s">
        <v>791</v>
      </c>
      <c r="F462" s="134">
        <f>13550*0.8</f>
        <v>10840</v>
      </c>
      <c r="G462" s="90">
        <f t="shared" si="7"/>
        <v>21680</v>
      </c>
      <c r="H462" s="158">
        <v>46141</v>
      </c>
      <c r="I462" s="119" t="s">
        <v>1445</v>
      </c>
      <c r="J462" s="119"/>
    </row>
    <row r="463" spans="1:10" ht="15" hidden="1" customHeight="1">
      <c r="A463" s="157" t="s">
        <v>1446</v>
      </c>
      <c r="B463" s="119" t="s">
        <v>13</v>
      </c>
      <c r="C463" s="119" t="s">
        <v>1131</v>
      </c>
      <c r="D463" s="157">
        <v>5</v>
      </c>
      <c r="E463" s="1" t="s">
        <v>791</v>
      </c>
      <c r="F463" s="134">
        <f>21240*0.8</f>
        <v>16992</v>
      </c>
      <c r="G463" s="90">
        <f t="shared" si="7"/>
        <v>84960</v>
      </c>
      <c r="H463" s="158">
        <v>46141</v>
      </c>
      <c r="I463" s="119" t="s">
        <v>960</v>
      </c>
      <c r="J463" s="119" t="s">
        <v>768</v>
      </c>
    </row>
    <row r="464" spans="1:10" ht="15" hidden="1" customHeight="1">
      <c r="A464" s="157" t="s">
        <v>1447</v>
      </c>
      <c r="B464" s="119" t="s">
        <v>13</v>
      </c>
      <c r="C464" s="119" t="s">
        <v>1131</v>
      </c>
      <c r="D464" s="157">
        <v>2</v>
      </c>
      <c r="E464" s="1" t="s">
        <v>791</v>
      </c>
      <c r="F464" s="134">
        <v>18400</v>
      </c>
      <c r="G464" s="90">
        <f t="shared" si="7"/>
        <v>36800</v>
      </c>
      <c r="H464" s="158">
        <v>46141</v>
      </c>
      <c r="I464" s="119" t="s">
        <v>994</v>
      </c>
      <c r="J464" s="119"/>
    </row>
    <row r="465" spans="1:10" ht="15" hidden="1" customHeight="1">
      <c r="A465" s="157" t="s">
        <v>1448</v>
      </c>
      <c r="B465" s="119" t="s">
        <v>13</v>
      </c>
      <c r="C465" s="119" t="s">
        <v>1131</v>
      </c>
      <c r="D465" s="157">
        <v>11</v>
      </c>
      <c r="E465" s="1" t="s">
        <v>791</v>
      </c>
      <c r="F465" s="134">
        <f>19100*0.8</f>
        <v>15280</v>
      </c>
      <c r="G465" s="90">
        <f t="shared" si="7"/>
        <v>168080</v>
      </c>
      <c r="H465" s="158">
        <v>46141</v>
      </c>
      <c r="I465" s="119" t="s">
        <v>1449</v>
      </c>
      <c r="J465" s="119"/>
    </row>
    <row r="466" spans="1:10" ht="15" hidden="1" customHeight="1">
      <c r="A466" s="157" t="s">
        <v>1450</v>
      </c>
      <c r="B466" s="119" t="s">
        <v>13</v>
      </c>
      <c r="C466" s="119" t="s">
        <v>1131</v>
      </c>
      <c r="D466" s="157">
        <v>1</v>
      </c>
      <c r="E466" s="1" t="s">
        <v>791</v>
      </c>
      <c r="F466" s="134">
        <f>27710*0.8</f>
        <v>22168</v>
      </c>
      <c r="G466" s="90">
        <f t="shared" si="7"/>
        <v>22168</v>
      </c>
      <c r="H466" s="158">
        <v>46141</v>
      </c>
      <c r="I466" s="119" t="s">
        <v>1451</v>
      </c>
      <c r="J466" s="119"/>
    </row>
    <row r="467" spans="1:10" ht="15" hidden="1" customHeight="1">
      <c r="A467" s="157" t="s">
        <v>1452</v>
      </c>
      <c r="B467" s="119" t="s">
        <v>13</v>
      </c>
      <c r="C467" s="119" t="s">
        <v>1131</v>
      </c>
      <c r="D467" s="157">
        <v>2</v>
      </c>
      <c r="E467" s="1" t="s">
        <v>791</v>
      </c>
      <c r="F467" s="134">
        <f>26310*0.8</f>
        <v>21048</v>
      </c>
      <c r="G467" s="90">
        <f t="shared" si="7"/>
        <v>42096</v>
      </c>
      <c r="H467" s="158">
        <v>46141</v>
      </c>
      <c r="I467" s="119" t="s">
        <v>1107</v>
      </c>
      <c r="J467" s="119"/>
    </row>
    <row r="468" spans="1:10" ht="15" hidden="1" customHeight="1">
      <c r="A468" s="157" t="s">
        <v>1453</v>
      </c>
      <c r="B468" s="119" t="s">
        <v>13</v>
      </c>
      <c r="C468" s="119" t="s">
        <v>1131</v>
      </c>
      <c r="D468" s="157">
        <v>2</v>
      </c>
      <c r="E468" s="1" t="s">
        <v>791</v>
      </c>
      <c r="F468" s="134">
        <f>32020*0.8</f>
        <v>25616</v>
      </c>
      <c r="G468" s="90">
        <f t="shared" si="7"/>
        <v>51232</v>
      </c>
      <c r="H468" s="158">
        <v>46141</v>
      </c>
      <c r="I468" s="119" t="s">
        <v>853</v>
      </c>
      <c r="J468" s="119"/>
    </row>
    <row r="469" spans="1:10" ht="15" hidden="1" customHeight="1">
      <c r="A469" s="157" t="s">
        <v>1454</v>
      </c>
      <c r="B469" s="119" t="s">
        <v>13</v>
      </c>
      <c r="C469" s="119" t="s">
        <v>1131</v>
      </c>
      <c r="D469" s="157">
        <v>2</v>
      </c>
      <c r="E469" s="1" t="s">
        <v>791</v>
      </c>
      <c r="F469" s="134">
        <f>31150*0.8</f>
        <v>24920</v>
      </c>
      <c r="G469" s="90">
        <f t="shared" si="7"/>
        <v>49840</v>
      </c>
      <c r="H469" s="158">
        <v>46141</v>
      </c>
      <c r="I469" s="119" t="s">
        <v>1403</v>
      </c>
      <c r="J469" s="119"/>
    </row>
    <row r="470" spans="1:10" ht="15" hidden="1" customHeight="1">
      <c r="A470" s="157" t="s">
        <v>1455</v>
      </c>
      <c r="B470" s="119" t="s">
        <v>13</v>
      </c>
      <c r="C470" s="119" t="s">
        <v>1131</v>
      </c>
      <c r="D470" s="157">
        <v>10</v>
      </c>
      <c r="E470" s="1" t="s">
        <v>791</v>
      </c>
      <c r="F470" s="134">
        <f>73680*0.8</f>
        <v>58944</v>
      </c>
      <c r="G470" s="90">
        <f t="shared" si="7"/>
        <v>589440</v>
      </c>
      <c r="H470" s="158">
        <v>46141</v>
      </c>
      <c r="I470" s="119" t="s">
        <v>820</v>
      </c>
      <c r="J470" s="119"/>
    </row>
    <row r="471" spans="1:10" ht="15" hidden="1" customHeight="1">
      <c r="A471" s="157" t="s">
        <v>1456</v>
      </c>
      <c r="B471" s="119" t="s">
        <v>13</v>
      </c>
      <c r="C471" s="119" t="s">
        <v>1131</v>
      </c>
      <c r="D471" s="157">
        <v>1</v>
      </c>
      <c r="E471" s="1" t="s">
        <v>791</v>
      </c>
      <c r="F471" s="134">
        <f>18070*0.8</f>
        <v>14456</v>
      </c>
      <c r="G471" s="90">
        <f t="shared" si="7"/>
        <v>14456</v>
      </c>
      <c r="H471" s="158">
        <v>46141</v>
      </c>
      <c r="I471" s="119" t="s">
        <v>1381</v>
      </c>
      <c r="J471" s="119"/>
    </row>
    <row r="472" spans="1:10" ht="15" hidden="1" customHeight="1">
      <c r="A472" s="157" t="s">
        <v>1457</v>
      </c>
      <c r="B472" s="119" t="s">
        <v>13</v>
      </c>
      <c r="C472" s="119" t="s">
        <v>1131</v>
      </c>
      <c r="D472" s="157">
        <v>2</v>
      </c>
      <c r="E472" s="1" t="s">
        <v>791</v>
      </c>
      <c r="F472" s="134">
        <f>75200*0.8</f>
        <v>60160</v>
      </c>
      <c r="G472" s="90">
        <f t="shared" si="7"/>
        <v>120320</v>
      </c>
      <c r="H472" s="158">
        <v>46141</v>
      </c>
      <c r="I472" s="119" t="s">
        <v>820</v>
      </c>
      <c r="J472" s="119"/>
    </row>
    <row r="473" spans="1:10" ht="15" hidden="1" customHeight="1">
      <c r="A473" s="157" t="s">
        <v>1458</v>
      </c>
      <c r="B473" s="119" t="s">
        <v>13</v>
      </c>
      <c r="C473" s="119" t="s">
        <v>1131</v>
      </c>
      <c r="D473" s="157">
        <v>3</v>
      </c>
      <c r="E473" s="1" t="s">
        <v>791</v>
      </c>
      <c r="F473" s="134">
        <f>30630*0.8</f>
        <v>24504</v>
      </c>
      <c r="G473" s="90">
        <f t="shared" si="7"/>
        <v>73512</v>
      </c>
      <c r="H473" s="158">
        <v>46141</v>
      </c>
      <c r="I473" s="119" t="s">
        <v>960</v>
      </c>
      <c r="J473" s="119"/>
    </row>
    <row r="474" spans="1:10" ht="15" hidden="1" customHeight="1">
      <c r="A474" s="157" t="s">
        <v>1459</v>
      </c>
      <c r="B474" s="119" t="s">
        <v>13</v>
      </c>
      <c r="C474" s="119" t="s">
        <v>1131</v>
      </c>
      <c r="D474" s="157">
        <v>1</v>
      </c>
      <c r="E474" s="1" t="s">
        <v>791</v>
      </c>
      <c r="F474" s="134">
        <f>26200*0.8</f>
        <v>20960</v>
      </c>
      <c r="G474" s="90">
        <f t="shared" si="7"/>
        <v>20960</v>
      </c>
      <c r="H474" s="158">
        <v>46141</v>
      </c>
      <c r="I474" s="119" t="s">
        <v>1381</v>
      </c>
      <c r="J474" s="119"/>
    </row>
    <row r="475" spans="1:10" customFormat="1" ht="15" hidden="1" customHeight="1">
      <c r="A475" s="157" t="s">
        <v>1460</v>
      </c>
      <c r="B475" s="119" t="s">
        <v>13</v>
      </c>
      <c r="C475" s="119" t="s">
        <v>1131</v>
      </c>
      <c r="D475" s="157">
        <v>1</v>
      </c>
      <c r="E475" s="1" t="s">
        <v>791</v>
      </c>
      <c r="F475" s="134">
        <f>67120*0.8</f>
        <v>53696</v>
      </c>
      <c r="G475" s="90">
        <f t="shared" si="7"/>
        <v>53696</v>
      </c>
      <c r="H475" s="158">
        <v>46141</v>
      </c>
      <c r="I475" s="119" t="s">
        <v>820</v>
      </c>
      <c r="J475" s="119"/>
    </row>
    <row r="476" spans="1:10" customFormat="1" ht="15" hidden="1" customHeight="1">
      <c r="A476" s="96" t="s">
        <v>1461</v>
      </c>
      <c r="B476" s="1" t="s">
        <v>321</v>
      </c>
      <c r="C476" s="1"/>
      <c r="D476" s="96">
        <v>12</v>
      </c>
      <c r="E476" s="1" t="s">
        <v>791</v>
      </c>
      <c r="F476" s="134">
        <f>1520*0.8</f>
        <v>1216</v>
      </c>
      <c r="G476" s="90">
        <f t="shared" si="7"/>
        <v>14592</v>
      </c>
      <c r="H476" s="125">
        <v>46141</v>
      </c>
      <c r="I476" s="114" t="s">
        <v>856</v>
      </c>
      <c r="J476" s="1"/>
    </row>
    <row r="477" spans="1:10" customFormat="1" ht="15" hidden="1" customHeight="1">
      <c r="A477" s="1" t="s">
        <v>1462</v>
      </c>
      <c r="B477" s="1" t="s">
        <v>321</v>
      </c>
      <c r="C477" s="1"/>
      <c r="D477" s="1">
        <v>1</v>
      </c>
      <c r="E477" s="1" t="s">
        <v>791</v>
      </c>
      <c r="F477" s="135"/>
      <c r="G477" s="90">
        <f t="shared" si="7"/>
        <v>0</v>
      </c>
      <c r="H477" s="61"/>
      <c r="I477" s="109" t="s">
        <v>1012</v>
      </c>
      <c r="J477" s="1"/>
    </row>
    <row r="478" spans="1:10" customFormat="1" ht="15" hidden="1" customHeight="1">
      <c r="A478" s="96" t="s">
        <v>1463</v>
      </c>
      <c r="B478" s="1" t="s">
        <v>321</v>
      </c>
      <c r="C478" s="1"/>
      <c r="D478" s="96">
        <v>2</v>
      </c>
      <c r="E478" s="1" t="s">
        <v>791</v>
      </c>
      <c r="F478" s="134">
        <v>5453</v>
      </c>
      <c r="G478" s="90">
        <f t="shared" si="7"/>
        <v>10906</v>
      </c>
      <c r="H478" s="125">
        <v>46141</v>
      </c>
      <c r="I478" s="114" t="s">
        <v>1464</v>
      </c>
      <c r="J478" s="1"/>
    </row>
    <row r="479" spans="1:10" customFormat="1" ht="15" hidden="1" customHeight="1">
      <c r="A479" s="96" t="s">
        <v>1465</v>
      </c>
      <c r="B479" s="1" t="s">
        <v>321</v>
      </c>
      <c r="C479" s="1"/>
      <c r="D479" s="96">
        <v>1</v>
      </c>
      <c r="E479" s="1" t="s">
        <v>791</v>
      </c>
      <c r="F479" s="134">
        <v>2898</v>
      </c>
      <c r="G479" s="90">
        <f t="shared" si="7"/>
        <v>2898</v>
      </c>
      <c r="H479" s="125">
        <v>46141</v>
      </c>
      <c r="I479" s="114" t="s">
        <v>1223</v>
      </c>
      <c r="J479" s="1"/>
    </row>
    <row r="480" spans="1:10" customFormat="1" ht="15" hidden="1" customHeight="1">
      <c r="A480" s="96" t="s">
        <v>1466</v>
      </c>
      <c r="B480" s="1" t="s">
        <v>321</v>
      </c>
      <c r="C480" s="1"/>
      <c r="D480" s="96">
        <v>2</v>
      </c>
      <c r="E480" s="1" t="s">
        <v>791</v>
      </c>
      <c r="F480" s="134">
        <v>3385</v>
      </c>
      <c r="G480" s="90">
        <f t="shared" si="7"/>
        <v>6770</v>
      </c>
      <c r="H480" s="125">
        <v>46141</v>
      </c>
      <c r="I480" s="114" t="s">
        <v>1467</v>
      </c>
      <c r="J480" s="1"/>
    </row>
    <row r="481" spans="1:10" customFormat="1" ht="15" hidden="1" customHeight="1">
      <c r="A481" s="96" t="s">
        <v>1468</v>
      </c>
      <c r="B481" s="1" t="s">
        <v>321</v>
      </c>
      <c r="C481" s="1"/>
      <c r="D481" s="96">
        <v>2</v>
      </c>
      <c r="E481" s="1" t="s">
        <v>791</v>
      </c>
      <c r="F481" s="134">
        <f>2790*0.8</f>
        <v>2232</v>
      </c>
      <c r="G481" s="90">
        <f t="shared" ref="G481:G543" si="8">+D481*F481</f>
        <v>4464</v>
      </c>
      <c r="H481" s="125">
        <v>46141</v>
      </c>
      <c r="I481" s="114" t="s">
        <v>1469</v>
      </c>
      <c r="J481" s="1"/>
    </row>
    <row r="482" spans="1:10" customFormat="1" ht="15" hidden="1" customHeight="1">
      <c r="A482" s="96" t="s">
        <v>1470</v>
      </c>
      <c r="B482" s="1" t="s">
        <v>321</v>
      </c>
      <c r="C482" s="1"/>
      <c r="D482" s="96">
        <v>1</v>
      </c>
      <c r="E482" s="1" t="s">
        <v>791</v>
      </c>
      <c r="F482" s="134">
        <f>3020*0.8</f>
        <v>2416</v>
      </c>
      <c r="G482" s="90">
        <f t="shared" si="8"/>
        <v>2416</v>
      </c>
      <c r="H482" s="125">
        <v>46141</v>
      </c>
      <c r="I482" s="119" t="s">
        <v>820</v>
      </c>
      <c r="J482" s="1"/>
    </row>
    <row r="483" spans="1:10" customFormat="1" ht="15" hidden="1" customHeight="1">
      <c r="A483" s="96" t="s">
        <v>1471</v>
      </c>
      <c r="B483" s="1" t="s">
        <v>321</v>
      </c>
      <c r="C483" s="1"/>
      <c r="D483" s="96">
        <v>1</v>
      </c>
      <c r="E483" s="1" t="s">
        <v>791</v>
      </c>
      <c r="F483" s="134">
        <f>2450*0.8</f>
        <v>1960</v>
      </c>
      <c r="G483" s="90">
        <f t="shared" si="8"/>
        <v>1960</v>
      </c>
      <c r="H483" s="125">
        <v>46141</v>
      </c>
      <c r="I483" s="119" t="s">
        <v>820</v>
      </c>
      <c r="J483" s="1"/>
    </row>
    <row r="484" spans="1:10" customFormat="1" ht="15" hidden="1" customHeight="1">
      <c r="A484" s="96" t="s">
        <v>1472</v>
      </c>
      <c r="B484" s="1" t="s">
        <v>321</v>
      </c>
      <c r="C484" s="1"/>
      <c r="D484" s="96">
        <v>4</v>
      </c>
      <c r="E484" s="1" t="s">
        <v>791</v>
      </c>
      <c r="F484" s="134">
        <v>8140</v>
      </c>
      <c r="G484" s="90">
        <f t="shared" si="8"/>
        <v>32560</v>
      </c>
      <c r="H484" s="125">
        <v>46141</v>
      </c>
      <c r="I484" s="114" t="s">
        <v>1473</v>
      </c>
      <c r="J484" s="1"/>
    </row>
    <row r="485" spans="1:10" customFormat="1" ht="15" hidden="1" customHeight="1">
      <c r="A485" s="96" t="s">
        <v>1474</v>
      </c>
      <c r="B485" s="1" t="s">
        <v>321</v>
      </c>
      <c r="C485" s="1"/>
      <c r="D485" s="96">
        <v>3</v>
      </c>
      <c r="E485" s="1" t="s">
        <v>791</v>
      </c>
      <c r="F485" s="134">
        <v>12320</v>
      </c>
      <c r="G485" s="90">
        <f t="shared" si="8"/>
        <v>36960</v>
      </c>
      <c r="H485" s="125">
        <v>46141</v>
      </c>
      <c r="I485" s="114" t="s">
        <v>973</v>
      </c>
      <c r="J485" s="1"/>
    </row>
    <row r="486" spans="1:10" customFormat="1" ht="15" hidden="1" customHeight="1">
      <c r="A486" s="96" t="s">
        <v>1475</v>
      </c>
      <c r="B486" s="1" t="s">
        <v>321</v>
      </c>
      <c r="C486" s="1"/>
      <c r="D486" s="96">
        <v>3</v>
      </c>
      <c r="E486" s="1" t="s">
        <v>791</v>
      </c>
      <c r="F486" s="134">
        <v>7467</v>
      </c>
      <c r="G486" s="90">
        <f t="shared" si="8"/>
        <v>22401</v>
      </c>
      <c r="H486" s="125">
        <v>46141</v>
      </c>
      <c r="I486" s="114" t="s">
        <v>1467</v>
      </c>
      <c r="J486" s="1"/>
    </row>
    <row r="487" spans="1:10" customFormat="1" ht="15" hidden="1" customHeight="1">
      <c r="A487" s="96" t="s">
        <v>1476</v>
      </c>
      <c r="B487" s="1" t="s">
        <v>321</v>
      </c>
      <c r="C487" s="1"/>
      <c r="D487" s="96">
        <v>1</v>
      </c>
      <c r="E487" s="1" t="s">
        <v>791</v>
      </c>
      <c r="F487" s="134">
        <v>8190</v>
      </c>
      <c r="G487" s="90">
        <f t="shared" si="8"/>
        <v>8190</v>
      </c>
      <c r="H487" s="125">
        <v>46141</v>
      </c>
      <c r="I487" s="114" t="s">
        <v>822</v>
      </c>
      <c r="J487" s="1"/>
    </row>
    <row r="488" spans="1:10" customFormat="1" ht="15" hidden="1" customHeight="1">
      <c r="A488" s="96" t="s">
        <v>1477</v>
      </c>
      <c r="B488" s="1" t="s">
        <v>321</v>
      </c>
      <c r="C488" s="1"/>
      <c r="D488" s="96">
        <v>6</v>
      </c>
      <c r="E488" s="1" t="s">
        <v>791</v>
      </c>
      <c r="F488" s="134">
        <v>1667</v>
      </c>
      <c r="G488" s="90">
        <f t="shared" si="8"/>
        <v>10002</v>
      </c>
      <c r="H488" s="125">
        <v>46141</v>
      </c>
      <c r="I488" s="114" t="s">
        <v>1478</v>
      </c>
      <c r="J488" s="1"/>
    </row>
    <row r="489" spans="1:10" s="205" customFormat="1" ht="15" hidden="1" customHeight="1">
      <c r="A489" s="203" t="s">
        <v>1479</v>
      </c>
      <c r="B489" s="172" t="s">
        <v>368</v>
      </c>
      <c r="C489" s="172"/>
      <c r="D489" s="172">
        <v>1</v>
      </c>
      <c r="E489" s="1" t="s">
        <v>791</v>
      </c>
      <c r="F489" s="222"/>
      <c r="G489" s="202">
        <f t="shared" si="8"/>
        <v>0</v>
      </c>
      <c r="H489" s="173">
        <v>46198</v>
      </c>
      <c r="I489" s="204"/>
      <c r="J489" s="172" t="s">
        <v>1240</v>
      </c>
    </row>
    <row r="490" spans="1:10" ht="15" hidden="1" customHeight="1">
      <c r="A490" s="157" t="s">
        <v>1480</v>
      </c>
      <c r="B490" s="119" t="s">
        <v>13</v>
      </c>
      <c r="C490" s="119" t="s">
        <v>860</v>
      </c>
      <c r="D490" s="157">
        <v>8</v>
      </c>
      <c r="E490" s="1" t="s">
        <v>791</v>
      </c>
      <c r="F490" s="134">
        <f>3580*0.8</f>
        <v>2864</v>
      </c>
      <c r="G490" s="90">
        <f t="shared" si="8"/>
        <v>22912</v>
      </c>
      <c r="H490" s="158">
        <v>46134</v>
      </c>
      <c r="I490" s="119" t="s">
        <v>989</v>
      </c>
      <c r="J490" s="119"/>
    </row>
    <row r="491" spans="1:10" ht="15" hidden="1" customHeight="1">
      <c r="A491" s="157" t="s">
        <v>1481</v>
      </c>
      <c r="B491" s="119" t="s">
        <v>13</v>
      </c>
      <c r="C491" s="119" t="s">
        <v>860</v>
      </c>
      <c r="D491" s="157">
        <v>1</v>
      </c>
      <c r="E491" s="1" t="s">
        <v>791</v>
      </c>
      <c r="F491" s="134">
        <v>15875</v>
      </c>
      <c r="G491" s="90">
        <f t="shared" si="8"/>
        <v>15875</v>
      </c>
      <c r="H491" s="158">
        <v>46134</v>
      </c>
      <c r="I491" s="119" t="s">
        <v>1147</v>
      </c>
      <c r="J491" s="119"/>
    </row>
    <row r="492" spans="1:10" ht="15" hidden="1" customHeight="1">
      <c r="A492" s="157" t="s">
        <v>1482</v>
      </c>
      <c r="B492" s="119" t="s">
        <v>13</v>
      </c>
      <c r="C492" s="119" t="s">
        <v>860</v>
      </c>
      <c r="D492" s="157">
        <v>2</v>
      </c>
      <c r="E492" s="1" t="s">
        <v>791</v>
      </c>
      <c r="F492" s="134">
        <f>28625*0.8</f>
        <v>22900</v>
      </c>
      <c r="G492" s="90">
        <f t="shared" si="8"/>
        <v>45800</v>
      </c>
      <c r="H492" s="158">
        <v>46134</v>
      </c>
      <c r="I492" s="161" t="s">
        <v>1483</v>
      </c>
      <c r="J492" s="119"/>
    </row>
    <row r="493" spans="1:10" ht="15" hidden="1" customHeight="1">
      <c r="A493" s="157" t="s">
        <v>1484</v>
      </c>
      <c r="B493" s="119" t="s">
        <v>13</v>
      </c>
      <c r="C493" s="119" t="s">
        <v>860</v>
      </c>
      <c r="D493" s="157">
        <v>6</v>
      </c>
      <c r="E493" s="1" t="s">
        <v>791</v>
      </c>
      <c r="F493" s="134">
        <f>11820*0.8</f>
        <v>9456</v>
      </c>
      <c r="G493" s="90">
        <f t="shared" si="8"/>
        <v>56736</v>
      </c>
      <c r="H493" s="158">
        <v>46134</v>
      </c>
      <c r="I493" s="119" t="s">
        <v>840</v>
      </c>
      <c r="J493" s="119"/>
    </row>
    <row r="494" spans="1:10" ht="15" hidden="1" customHeight="1">
      <c r="A494" s="157" t="s">
        <v>1485</v>
      </c>
      <c r="B494" s="119" t="s">
        <v>13</v>
      </c>
      <c r="C494" s="119" t="s">
        <v>860</v>
      </c>
      <c r="D494" s="157">
        <v>1</v>
      </c>
      <c r="E494" s="1" t="s">
        <v>791</v>
      </c>
      <c r="F494" s="134">
        <f>6650*0.8</f>
        <v>5320</v>
      </c>
      <c r="G494" s="90">
        <f t="shared" si="8"/>
        <v>5320</v>
      </c>
      <c r="H494" s="158">
        <v>46134</v>
      </c>
      <c r="I494" s="119" t="s">
        <v>840</v>
      </c>
      <c r="J494" s="119"/>
    </row>
    <row r="495" spans="1:10" ht="15" hidden="1" customHeight="1">
      <c r="A495" s="157" t="s">
        <v>1486</v>
      </c>
      <c r="B495" s="119" t="s">
        <v>13</v>
      </c>
      <c r="C495" s="119" t="s">
        <v>860</v>
      </c>
      <c r="D495" s="157">
        <v>3</v>
      </c>
      <c r="E495" s="1" t="s">
        <v>791</v>
      </c>
      <c r="F495" s="134">
        <v>29376</v>
      </c>
      <c r="G495" s="90">
        <f t="shared" si="8"/>
        <v>88128</v>
      </c>
      <c r="H495" s="158">
        <v>46134</v>
      </c>
      <c r="I495" s="119" t="s">
        <v>1147</v>
      </c>
      <c r="J495" s="119"/>
    </row>
    <row r="496" spans="1:10" ht="15" hidden="1" customHeight="1">
      <c r="A496" s="157" t="s">
        <v>1487</v>
      </c>
      <c r="B496" s="119" t="s">
        <v>13</v>
      </c>
      <c r="C496" s="119" t="s">
        <v>860</v>
      </c>
      <c r="D496" s="157">
        <v>1</v>
      </c>
      <c r="E496" s="1" t="s">
        <v>791</v>
      </c>
      <c r="F496" s="134">
        <v>7761</v>
      </c>
      <c r="G496" s="90">
        <f t="shared" si="8"/>
        <v>7761</v>
      </c>
      <c r="H496" s="158">
        <v>46134</v>
      </c>
      <c r="I496" s="119" t="s">
        <v>1169</v>
      </c>
      <c r="J496" s="119"/>
    </row>
    <row r="497" spans="1:10" ht="15" hidden="1" customHeight="1">
      <c r="A497" s="211" t="s">
        <v>1488</v>
      </c>
      <c r="B497" s="119" t="s">
        <v>13</v>
      </c>
      <c r="C497" s="119" t="s">
        <v>860</v>
      </c>
      <c r="D497" s="157">
        <v>9</v>
      </c>
      <c r="E497" s="1" t="s">
        <v>791</v>
      </c>
      <c r="F497" s="134">
        <f>3230*0.8</f>
        <v>2584</v>
      </c>
      <c r="G497" s="90">
        <f t="shared" si="8"/>
        <v>23256</v>
      </c>
      <c r="H497" s="158">
        <v>46134</v>
      </c>
      <c r="I497" s="119" t="s">
        <v>820</v>
      </c>
      <c r="J497" s="119"/>
    </row>
    <row r="498" spans="1:10" ht="15" hidden="1" customHeight="1">
      <c r="A498" s="157" t="s">
        <v>1489</v>
      </c>
      <c r="B498" s="119" t="s">
        <v>13</v>
      </c>
      <c r="C498" s="119" t="s">
        <v>860</v>
      </c>
      <c r="D498" s="157">
        <v>2</v>
      </c>
      <c r="E498" s="1" t="s">
        <v>791</v>
      </c>
      <c r="F498" s="134">
        <v>137907</v>
      </c>
      <c r="G498" s="90">
        <f t="shared" si="8"/>
        <v>275814</v>
      </c>
      <c r="H498" s="158">
        <v>46134</v>
      </c>
      <c r="I498" s="119" t="s">
        <v>1490</v>
      </c>
      <c r="J498" s="119"/>
    </row>
    <row r="499" spans="1:10" customFormat="1" ht="15" hidden="1" customHeight="1">
      <c r="A499" s="157" t="s">
        <v>1491</v>
      </c>
      <c r="B499" s="119" t="s">
        <v>13</v>
      </c>
      <c r="C499" s="119" t="s">
        <v>860</v>
      </c>
      <c r="D499" s="157">
        <v>5</v>
      </c>
      <c r="E499" s="1" t="s">
        <v>791</v>
      </c>
      <c r="F499" s="134">
        <v>7842</v>
      </c>
      <c r="G499" s="90">
        <f t="shared" si="8"/>
        <v>39210</v>
      </c>
      <c r="H499" s="158">
        <v>46134</v>
      </c>
      <c r="I499" s="119" t="s">
        <v>1275</v>
      </c>
      <c r="J499" s="119"/>
    </row>
    <row r="500" spans="1:10" customFormat="1" ht="15" hidden="1" customHeight="1">
      <c r="A500" s="96" t="s">
        <v>1492</v>
      </c>
      <c r="B500" s="1" t="s">
        <v>193</v>
      </c>
      <c r="C500" s="1" t="s">
        <v>1059</v>
      </c>
      <c r="D500" s="96">
        <v>1</v>
      </c>
      <c r="E500" s="1" t="s">
        <v>791</v>
      </c>
      <c r="F500" s="134">
        <f>6783*0.5</f>
        <v>3391.5</v>
      </c>
      <c r="G500" s="90">
        <f t="shared" si="8"/>
        <v>3391.5</v>
      </c>
      <c r="H500" s="125">
        <v>46146</v>
      </c>
      <c r="I500" s="1" t="s">
        <v>873</v>
      </c>
      <c r="J500" s="1"/>
    </row>
    <row r="501" spans="1:10" customFormat="1" ht="15" hidden="1" customHeight="1">
      <c r="A501" s="96" t="s">
        <v>1493</v>
      </c>
      <c r="B501" s="1" t="s">
        <v>193</v>
      </c>
      <c r="C501" s="1" t="s">
        <v>1059</v>
      </c>
      <c r="D501" s="96">
        <v>2</v>
      </c>
      <c r="E501" s="1" t="s">
        <v>791</v>
      </c>
      <c r="F501" s="134">
        <f>1159*0.5</f>
        <v>579.5</v>
      </c>
      <c r="G501" s="90">
        <f t="shared" si="8"/>
        <v>1159</v>
      </c>
      <c r="H501" s="125">
        <v>46146</v>
      </c>
      <c r="I501" s="1" t="s">
        <v>873</v>
      </c>
      <c r="J501" s="1"/>
    </row>
    <row r="502" spans="1:10" customFormat="1" ht="15" hidden="1" customHeight="1">
      <c r="A502" s="96" t="s">
        <v>1494</v>
      </c>
      <c r="B502" s="1" t="s">
        <v>32</v>
      </c>
      <c r="C502" s="1" t="s">
        <v>860</v>
      </c>
      <c r="D502" s="96">
        <v>10</v>
      </c>
      <c r="E502" s="1" t="s">
        <v>791</v>
      </c>
      <c r="F502" s="134">
        <f>912*0.48</f>
        <v>437.76</v>
      </c>
      <c r="G502" s="90">
        <f t="shared" si="8"/>
        <v>4377.6000000000004</v>
      </c>
      <c r="H502" s="125">
        <v>46134</v>
      </c>
      <c r="I502" s="1" t="s">
        <v>873</v>
      </c>
      <c r="J502" s="1"/>
    </row>
    <row r="503" spans="1:10" customFormat="1" ht="15" hidden="1" customHeight="1">
      <c r="A503" s="96" t="s">
        <v>1495</v>
      </c>
      <c r="B503" s="1" t="s">
        <v>172</v>
      </c>
      <c r="C503" s="1" t="s">
        <v>860</v>
      </c>
      <c r="D503" s="96">
        <v>2</v>
      </c>
      <c r="E503" s="1" t="s">
        <v>791</v>
      </c>
      <c r="F503" s="134">
        <v>9966</v>
      </c>
      <c r="G503" s="90">
        <f t="shared" si="8"/>
        <v>19932</v>
      </c>
      <c r="H503" s="125">
        <v>46148</v>
      </c>
      <c r="I503" s="1" t="s">
        <v>1496</v>
      </c>
      <c r="J503" s="1"/>
    </row>
    <row r="504" spans="1:10" customFormat="1" ht="15" hidden="1" customHeight="1">
      <c r="A504" s="96" t="s">
        <v>1497</v>
      </c>
      <c r="B504" s="1" t="s">
        <v>32</v>
      </c>
      <c r="C504" s="1" t="s">
        <v>887</v>
      </c>
      <c r="D504" s="96">
        <v>1</v>
      </c>
      <c r="E504" s="1" t="s">
        <v>791</v>
      </c>
      <c r="F504" s="134">
        <f>10710*0.8</f>
        <v>8568</v>
      </c>
      <c r="G504" s="90">
        <f t="shared" si="8"/>
        <v>8568</v>
      </c>
      <c r="H504" s="125">
        <v>46134</v>
      </c>
      <c r="I504" s="119" t="s">
        <v>820</v>
      </c>
      <c r="J504" s="1"/>
    </row>
    <row r="505" spans="1:10" customFormat="1" ht="15" hidden="1" customHeight="1">
      <c r="A505" s="1" t="s">
        <v>1498</v>
      </c>
      <c r="B505" s="1" t="s">
        <v>32</v>
      </c>
      <c r="C505" s="1" t="s">
        <v>860</v>
      </c>
      <c r="D505" s="1"/>
      <c r="E505" s="1" t="s">
        <v>791</v>
      </c>
      <c r="F505" s="135"/>
      <c r="G505" s="90">
        <f t="shared" si="8"/>
        <v>0</v>
      </c>
      <c r="H505" s="125">
        <v>46133</v>
      </c>
      <c r="I505" s="1">
        <v>0</v>
      </c>
      <c r="J505" s="1"/>
    </row>
    <row r="506" spans="1:10" customFormat="1" ht="15" hidden="1" customHeight="1">
      <c r="A506" s="96" t="s">
        <v>1499</v>
      </c>
      <c r="B506" s="1" t="s">
        <v>32</v>
      </c>
      <c r="C506" s="1" t="s">
        <v>860</v>
      </c>
      <c r="D506" s="96">
        <v>13</v>
      </c>
      <c r="E506" s="1" t="s">
        <v>791</v>
      </c>
      <c r="F506" s="134">
        <f>455*0.48</f>
        <v>218.4</v>
      </c>
      <c r="G506" s="90">
        <f t="shared" si="8"/>
        <v>2839.2000000000003</v>
      </c>
      <c r="H506" s="125">
        <v>46133</v>
      </c>
      <c r="I506" s="1" t="s">
        <v>873</v>
      </c>
      <c r="J506" s="1"/>
    </row>
    <row r="507" spans="1:10" customFormat="1" ht="15" hidden="1" customHeight="1">
      <c r="A507" s="96" t="s">
        <v>1500</v>
      </c>
      <c r="B507" s="1" t="s">
        <v>32</v>
      </c>
      <c r="C507" s="1" t="s">
        <v>860</v>
      </c>
      <c r="D507" s="96">
        <v>10</v>
      </c>
      <c r="E507" s="1" t="s">
        <v>791</v>
      </c>
      <c r="F507" s="134">
        <f>4784*0.48</f>
        <v>2296.3199999999997</v>
      </c>
      <c r="G507" s="90">
        <f t="shared" si="8"/>
        <v>22963.199999999997</v>
      </c>
      <c r="H507" s="125">
        <v>46133</v>
      </c>
      <c r="I507" s="1" t="s">
        <v>873</v>
      </c>
      <c r="J507" s="1"/>
    </row>
    <row r="508" spans="1:10" customFormat="1" ht="15" hidden="1" customHeight="1">
      <c r="A508" s="96" t="s">
        <v>1501</v>
      </c>
      <c r="B508" s="1" t="s">
        <v>32</v>
      </c>
      <c r="C508" s="1" t="s">
        <v>860</v>
      </c>
      <c r="D508" s="96">
        <v>5</v>
      </c>
      <c r="E508" s="1" t="s">
        <v>791</v>
      </c>
      <c r="F508" s="134">
        <f>3675*0.48</f>
        <v>1764</v>
      </c>
      <c r="G508" s="90">
        <f t="shared" si="8"/>
        <v>8820</v>
      </c>
      <c r="H508" s="125">
        <v>46133</v>
      </c>
      <c r="I508" s="1" t="s">
        <v>873</v>
      </c>
      <c r="J508" s="1"/>
    </row>
    <row r="509" spans="1:10" customFormat="1" ht="15" hidden="1" customHeight="1">
      <c r="A509" s="96" t="s">
        <v>1502</v>
      </c>
      <c r="B509" s="1" t="s">
        <v>32</v>
      </c>
      <c r="C509" s="1" t="s">
        <v>860</v>
      </c>
      <c r="D509" s="96">
        <v>42</v>
      </c>
      <c r="E509" s="1" t="s">
        <v>791</v>
      </c>
      <c r="F509" s="134">
        <f>7602*0.48</f>
        <v>3648.96</v>
      </c>
      <c r="G509" s="90">
        <f t="shared" si="8"/>
        <v>153256.32000000001</v>
      </c>
      <c r="H509" s="125">
        <v>46133</v>
      </c>
      <c r="I509" s="1" t="s">
        <v>873</v>
      </c>
      <c r="J509" s="1"/>
    </row>
    <row r="510" spans="1:10" customFormat="1" ht="15" hidden="1" customHeight="1">
      <c r="A510" s="96" t="s">
        <v>1503</v>
      </c>
      <c r="B510" s="1" t="s">
        <v>32</v>
      </c>
      <c r="C510" s="1" t="s">
        <v>860</v>
      </c>
      <c r="D510" s="96">
        <v>5</v>
      </c>
      <c r="E510" s="1" t="s">
        <v>791</v>
      </c>
      <c r="F510" s="134">
        <f>17896*0.48</f>
        <v>8590.08</v>
      </c>
      <c r="G510" s="90">
        <f t="shared" si="8"/>
        <v>42950.400000000001</v>
      </c>
      <c r="H510" s="125">
        <v>46133</v>
      </c>
      <c r="I510" s="1" t="s">
        <v>873</v>
      </c>
      <c r="J510" s="1"/>
    </row>
    <row r="511" spans="1:10" customFormat="1" ht="15" hidden="1" customHeight="1">
      <c r="A511" s="96" t="s">
        <v>1504</v>
      </c>
      <c r="B511" s="1" t="s">
        <v>32</v>
      </c>
      <c r="C511" s="1" t="s">
        <v>860</v>
      </c>
      <c r="D511" s="96">
        <v>2</v>
      </c>
      <c r="E511" s="1" t="s">
        <v>791</v>
      </c>
      <c r="F511" s="134">
        <f>29087*0.48</f>
        <v>13961.76</v>
      </c>
      <c r="G511" s="90">
        <f t="shared" si="8"/>
        <v>27923.52</v>
      </c>
      <c r="H511" s="125">
        <v>46133</v>
      </c>
      <c r="I511" s="1" t="s">
        <v>873</v>
      </c>
      <c r="J511" s="1"/>
    </row>
    <row r="512" spans="1:10" customFormat="1" ht="15" hidden="1" customHeight="1">
      <c r="A512" s="96" t="s">
        <v>1505</v>
      </c>
      <c r="B512" s="1" t="s">
        <v>32</v>
      </c>
      <c r="C512" s="1" t="s">
        <v>860</v>
      </c>
      <c r="D512" s="96">
        <v>4</v>
      </c>
      <c r="E512" s="1" t="s">
        <v>791</v>
      </c>
      <c r="F512" s="134">
        <f>52849*0.48</f>
        <v>25367.52</v>
      </c>
      <c r="G512" s="90">
        <f t="shared" si="8"/>
        <v>101470.08</v>
      </c>
      <c r="H512" s="125">
        <v>46133</v>
      </c>
      <c r="I512" s="1" t="s">
        <v>873</v>
      </c>
      <c r="J512" s="1"/>
    </row>
    <row r="513" spans="1:10" customFormat="1" ht="15" hidden="1" customHeight="1">
      <c r="A513" s="96" t="s">
        <v>1506</v>
      </c>
      <c r="B513" s="1" t="s">
        <v>193</v>
      </c>
      <c r="C513" s="1" t="s">
        <v>1059</v>
      </c>
      <c r="D513" s="96">
        <v>1</v>
      </c>
      <c r="E513" s="1" t="s">
        <v>791</v>
      </c>
      <c r="F513" s="134">
        <f>3824*0.5</f>
        <v>1912</v>
      </c>
      <c r="G513" s="90">
        <f t="shared" si="8"/>
        <v>1912</v>
      </c>
      <c r="H513" s="125">
        <v>46146</v>
      </c>
      <c r="I513" s="1" t="s">
        <v>873</v>
      </c>
      <c r="J513" s="1"/>
    </row>
    <row r="514" spans="1:10" customFormat="1" ht="15" hidden="1" customHeight="1">
      <c r="A514" s="96" t="s">
        <v>1507</v>
      </c>
      <c r="B514" s="1" t="s">
        <v>193</v>
      </c>
      <c r="C514" s="1" t="s">
        <v>1059</v>
      </c>
      <c r="D514" s="96">
        <v>3</v>
      </c>
      <c r="E514" s="1" t="s">
        <v>791</v>
      </c>
      <c r="F514" s="134">
        <f>17200*0.5</f>
        <v>8600</v>
      </c>
      <c r="G514" s="90">
        <f t="shared" si="8"/>
        <v>25800</v>
      </c>
      <c r="H514" s="125">
        <v>46146</v>
      </c>
      <c r="I514" s="1" t="s">
        <v>873</v>
      </c>
      <c r="J514" s="1"/>
    </row>
    <row r="515" spans="1:10" customFormat="1" ht="15" hidden="1" customHeight="1">
      <c r="A515" s="96" t="s">
        <v>1508</v>
      </c>
      <c r="B515" s="1" t="s">
        <v>321</v>
      </c>
      <c r="C515" s="1" t="s">
        <v>860</v>
      </c>
      <c r="D515" s="96">
        <v>2</v>
      </c>
      <c r="E515" s="1" t="s">
        <v>791</v>
      </c>
      <c r="F515" s="134">
        <f>1650*0.8</f>
        <v>1320</v>
      </c>
      <c r="G515" s="90">
        <f t="shared" si="8"/>
        <v>2640</v>
      </c>
      <c r="H515" s="125">
        <v>46141</v>
      </c>
      <c r="I515" s="119" t="s">
        <v>820</v>
      </c>
      <c r="J515" s="1"/>
    </row>
    <row r="516" spans="1:10" customFormat="1" ht="15" hidden="1" customHeight="1">
      <c r="A516" s="96" t="s">
        <v>1509</v>
      </c>
      <c r="B516" s="1" t="s">
        <v>321</v>
      </c>
      <c r="C516" s="1" t="s">
        <v>860</v>
      </c>
      <c r="D516" s="96">
        <v>1</v>
      </c>
      <c r="E516" s="1" t="s">
        <v>791</v>
      </c>
      <c r="F516" s="134">
        <f>1100*0.8</f>
        <v>880</v>
      </c>
      <c r="G516" s="90">
        <f t="shared" si="8"/>
        <v>880</v>
      </c>
      <c r="H516" s="125">
        <v>46141</v>
      </c>
      <c r="I516" s="119" t="s">
        <v>820</v>
      </c>
      <c r="J516" s="1"/>
    </row>
    <row r="517" spans="1:10" customFormat="1" ht="15" hidden="1" customHeight="1">
      <c r="A517" s="96" t="s">
        <v>1510</v>
      </c>
      <c r="B517" s="1" t="s">
        <v>321</v>
      </c>
      <c r="C517" s="1" t="s">
        <v>860</v>
      </c>
      <c r="D517" s="96">
        <v>2</v>
      </c>
      <c r="E517" s="1" t="s">
        <v>791</v>
      </c>
      <c r="F517" s="134">
        <f>12980*0.8</f>
        <v>10384</v>
      </c>
      <c r="G517" s="90">
        <f t="shared" si="8"/>
        <v>20768</v>
      </c>
      <c r="H517" s="125">
        <v>46141</v>
      </c>
      <c r="I517" s="119" t="s">
        <v>820</v>
      </c>
      <c r="J517" s="1"/>
    </row>
    <row r="518" spans="1:10" ht="20.25" hidden="1" customHeight="1">
      <c r="A518" s="157" t="s">
        <v>1511</v>
      </c>
      <c r="B518" s="119" t="s">
        <v>321</v>
      </c>
      <c r="C518" s="119" t="s">
        <v>860</v>
      </c>
      <c r="D518" s="157">
        <v>4</v>
      </c>
      <c r="E518" s="1" t="s">
        <v>791</v>
      </c>
      <c r="F518" s="134">
        <f>1570*0.8</f>
        <v>1256</v>
      </c>
      <c r="G518" s="133">
        <f t="shared" si="8"/>
        <v>5024</v>
      </c>
      <c r="H518" s="158">
        <v>46141</v>
      </c>
      <c r="I518" s="119" t="s">
        <v>820</v>
      </c>
      <c r="J518" s="119"/>
    </row>
    <row r="519" spans="1:10" customFormat="1" ht="15" hidden="1" customHeight="1">
      <c r="A519" s="96" t="s">
        <v>1512</v>
      </c>
      <c r="B519" s="1" t="s">
        <v>32</v>
      </c>
      <c r="C519" s="1" t="s">
        <v>860</v>
      </c>
      <c r="D519" s="96">
        <v>5</v>
      </c>
      <c r="E519" s="1" t="s">
        <v>791</v>
      </c>
      <c r="F519" s="134">
        <f>1823*0.48</f>
        <v>875.04</v>
      </c>
      <c r="G519" s="90">
        <f t="shared" si="8"/>
        <v>4375.2</v>
      </c>
      <c r="H519" s="125">
        <v>46133</v>
      </c>
      <c r="I519" s="1" t="s">
        <v>873</v>
      </c>
      <c r="J519" s="1"/>
    </row>
    <row r="520" spans="1:10" customFormat="1" ht="15" hidden="1" customHeight="1">
      <c r="A520" s="96" t="s">
        <v>1513</v>
      </c>
      <c r="B520" s="1" t="s">
        <v>360</v>
      </c>
      <c r="C520" s="1" t="s">
        <v>860</v>
      </c>
      <c r="D520" s="96">
        <v>1</v>
      </c>
      <c r="E520" s="1" t="s">
        <v>791</v>
      </c>
      <c r="F520" s="134">
        <f>67286*0.48</f>
        <v>32297.279999999999</v>
      </c>
      <c r="G520" s="90">
        <f t="shared" si="8"/>
        <v>32297.279999999999</v>
      </c>
      <c r="H520" s="125">
        <v>46133</v>
      </c>
      <c r="I520" s="1" t="s">
        <v>873</v>
      </c>
      <c r="J520" s="1"/>
    </row>
    <row r="521" spans="1:10" customFormat="1" ht="15" hidden="1" customHeight="1">
      <c r="A521" s="96" t="s">
        <v>1514</v>
      </c>
      <c r="B521" s="1" t="s">
        <v>32</v>
      </c>
      <c r="C521" s="1" t="s">
        <v>860</v>
      </c>
      <c r="D521" s="96">
        <v>9</v>
      </c>
      <c r="E521" s="1" t="s">
        <v>791</v>
      </c>
      <c r="F521" s="134">
        <f>2594*0.48</f>
        <v>1245.1199999999999</v>
      </c>
      <c r="G521" s="90">
        <f t="shared" si="8"/>
        <v>11206.079999999998</v>
      </c>
      <c r="H521" s="125">
        <v>46133</v>
      </c>
      <c r="I521" s="1" t="s">
        <v>873</v>
      </c>
      <c r="J521" s="1"/>
    </row>
    <row r="522" spans="1:10" customFormat="1" ht="15" hidden="1" customHeight="1">
      <c r="A522" s="96" t="s">
        <v>1515</v>
      </c>
      <c r="B522" s="1" t="s">
        <v>32</v>
      </c>
      <c r="C522" s="1" t="s">
        <v>860</v>
      </c>
      <c r="D522" s="96">
        <v>37</v>
      </c>
      <c r="E522" s="1" t="s">
        <v>791</v>
      </c>
      <c r="F522" s="134">
        <f>622*0.48</f>
        <v>298.56</v>
      </c>
      <c r="G522" s="90">
        <f t="shared" si="8"/>
        <v>11046.72</v>
      </c>
      <c r="H522" s="125">
        <v>46133</v>
      </c>
      <c r="I522" s="1" t="s">
        <v>873</v>
      </c>
      <c r="J522" s="1"/>
    </row>
    <row r="523" spans="1:10" customFormat="1" ht="15" hidden="1" customHeight="1">
      <c r="A523" s="96" t="s">
        <v>1516</v>
      </c>
      <c r="B523" s="1" t="s">
        <v>32</v>
      </c>
      <c r="C523" s="1" t="s">
        <v>860</v>
      </c>
      <c r="D523" s="96">
        <v>2</v>
      </c>
      <c r="E523" s="1" t="s">
        <v>791</v>
      </c>
      <c r="F523" s="134">
        <f>4591*0.48</f>
        <v>2203.6799999999998</v>
      </c>
      <c r="G523" s="90">
        <f t="shared" si="8"/>
        <v>4407.3599999999997</v>
      </c>
      <c r="H523" s="125">
        <v>46133</v>
      </c>
      <c r="I523" s="1" t="s">
        <v>873</v>
      </c>
      <c r="J523" s="1"/>
    </row>
    <row r="524" spans="1:10" customFormat="1" ht="15" hidden="1" customHeight="1">
      <c r="A524" s="96" t="s">
        <v>1517</v>
      </c>
      <c r="B524" s="1" t="s">
        <v>32</v>
      </c>
      <c r="C524" s="1" t="s">
        <v>860</v>
      </c>
      <c r="D524" s="96">
        <v>17</v>
      </c>
      <c r="E524" s="1" t="s">
        <v>791</v>
      </c>
      <c r="F524" s="134">
        <f>9934*0.48</f>
        <v>4768.32</v>
      </c>
      <c r="G524" s="90">
        <f t="shared" si="8"/>
        <v>81061.440000000002</v>
      </c>
      <c r="H524" s="125">
        <v>46133</v>
      </c>
      <c r="I524" s="1" t="s">
        <v>873</v>
      </c>
      <c r="J524" s="1"/>
    </row>
    <row r="525" spans="1:10" customFormat="1" ht="15" hidden="1" customHeight="1">
      <c r="A525" s="96" t="s">
        <v>1518</v>
      </c>
      <c r="B525" s="1" t="s">
        <v>32</v>
      </c>
      <c r="C525" s="1" t="s">
        <v>860</v>
      </c>
      <c r="D525" s="96">
        <v>1</v>
      </c>
      <c r="E525" s="1" t="s">
        <v>791</v>
      </c>
      <c r="F525" s="134">
        <f>22892*0.48</f>
        <v>10988.16</v>
      </c>
      <c r="G525" s="90">
        <f t="shared" si="8"/>
        <v>10988.16</v>
      </c>
      <c r="H525" s="125">
        <v>46133</v>
      </c>
      <c r="I525" s="1" t="s">
        <v>873</v>
      </c>
      <c r="J525" s="1"/>
    </row>
    <row r="526" spans="1:10" customFormat="1" ht="15" hidden="1" customHeight="1">
      <c r="A526" s="96" t="s">
        <v>1519</v>
      </c>
      <c r="B526" s="1" t="s">
        <v>172</v>
      </c>
      <c r="C526" s="1" t="s">
        <v>860</v>
      </c>
      <c r="D526" s="96">
        <v>11</v>
      </c>
      <c r="E526" s="1" t="s">
        <v>791</v>
      </c>
      <c r="F526" s="134">
        <v>10580</v>
      </c>
      <c r="G526" s="90">
        <f t="shared" si="8"/>
        <v>116380</v>
      </c>
      <c r="H526" s="125">
        <v>46148</v>
      </c>
      <c r="I526" s="1" t="s">
        <v>1019</v>
      </c>
      <c r="J526" s="1"/>
    </row>
    <row r="527" spans="1:10" customFormat="1" ht="15" hidden="1" customHeight="1">
      <c r="A527" s="96" t="s">
        <v>1520</v>
      </c>
      <c r="B527" s="1" t="s">
        <v>172</v>
      </c>
      <c r="C527" s="1" t="s">
        <v>860</v>
      </c>
      <c r="D527" s="96">
        <v>4</v>
      </c>
      <c r="E527" s="1" t="s">
        <v>791</v>
      </c>
      <c r="F527" s="134">
        <v>28946</v>
      </c>
      <c r="G527" s="90">
        <f t="shared" si="8"/>
        <v>115784</v>
      </c>
      <c r="H527" s="125">
        <v>46148</v>
      </c>
      <c r="I527" s="1" t="s">
        <v>890</v>
      </c>
      <c r="J527" s="1"/>
    </row>
    <row r="528" spans="1:10" customFormat="1" ht="15" hidden="1" customHeight="1">
      <c r="A528" s="96" t="s">
        <v>1521</v>
      </c>
      <c r="B528" s="1" t="s">
        <v>172</v>
      </c>
      <c r="C528" s="1" t="s">
        <v>860</v>
      </c>
      <c r="D528" s="96">
        <v>2</v>
      </c>
      <c r="E528" s="1" t="s">
        <v>791</v>
      </c>
      <c r="F528" s="134">
        <v>17730</v>
      </c>
      <c r="G528" s="90">
        <f t="shared" si="8"/>
        <v>35460</v>
      </c>
      <c r="H528" s="125">
        <v>46148</v>
      </c>
      <c r="I528" s="1" t="s">
        <v>1017</v>
      </c>
      <c r="J528" s="1"/>
    </row>
    <row r="529" spans="1:10" ht="15" hidden="1" customHeight="1">
      <c r="A529" s="96" t="s">
        <v>1522</v>
      </c>
      <c r="B529" s="1" t="s">
        <v>172</v>
      </c>
      <c r="C529" s="1" t="s">
        <v>860</v>
      </c>
      <c r="D529" s="96">
        <v>1</v>
      </c>
      <c r="E529" s="1" t="s">
        <v>791</v>
      </c>
      <c r="F529" s="134">
        <v>52664</v>
      </c>
      <c r="G529" s="90">
        <f t="shared" si="8"/>
        <v>52664</v>
      </c>
      <c r="H529" s="125">
        <v>46148</v>
      </c>
      <c r="I529" s="1" t="s">
        <v>890</v>
      </c>
      <c r="J529" s="1"/>
    </row>
    <row r="530" spans="1:10" ht="15" hidden="1" customHeight="1">
      <c r="A530" s="157" t="s">
        <v>1523</v>
      </c>
      <c r="B530" s="119" t="s">
        <v>13</v>
      </c>
      <c r="C530" s="119" t="s">
        <v>1131</v>
      </c>
      <c r="D530" s="157">
        <v>3</v>
      </c>
      <c r="E530" s="1" t="s">
        <v>791</v>
      </c>
      <c r="F530" s="134">
        <f>72810*0.8</f>
        <v>58248</v>
      </c>
      <c r="G530" s="90">
        <f t="shared" si="8"/>
        <v>174744</v>
      </c>
      <c r="H530" s="158">
        <v>46141</v>
      </c>
      <c r="I530" s="119" t="s">
        <v>1524</v>
      </c>
      <c r="J530" s="119"/>
    </row>
    <row r="531" spans="1:10" customFormat="1" ht="15" hidden="1" customHeight="1">
      <c r="A531" s="157" t="s">
        <v>1525</v>
      </c>
      <c r="B531" s="119" t="s">
        <v>13</v>
      </c>
      <c r="C531" s="119" t="s">
        <v>1131</v>
      </c>
      <c r="D531" s="157">
        <v>1</v>
      </c>
      <c r="E531" s="1" t="s">
        <v>791</v>
      </c>
      <c r="F531" s="134">
        <f>102520*0.8</f>
        <v>82016</v>
      </c>
      <c r="G531" s="90">
        <f t="shared" si="8"/>
        <v>82016</v>
      </c>
      <c r="H531" s="158">
        <v>46141</v>
      </c>
      <c r="I531" s="119" t="s">
        <v>1526</v>
      </c>
      <c r="J531" s="119"/>
    </row>
    <row r="532" spans="1:10" customFormat="1" ht="15" hidden="1" customHeight="1">
      <c r="A532" s="96" t="s">
        <v>1527</v>
      </c>
      <c r="B532" s="1" t="s">
        <v>16</v>
      </c>
      <c r="C532" s="1" t="s">
        <v>1131</v>
      </c>
      <c r="D532" s="96">
        <v>3</v>
      </c>
      <c r="E532" s="1" t="s">
        <v>791</v>
      </c>
      <c r="F532" s="134">
        <f>31630*0.8</f>
        <v>25304</v>
      </c>
      <c r="G532" s="90">
        <f t="shared" si="8"/>
        <v>75912</v>
      </c>
      <c r="H532" s="125">
        <v>46141</v>
      </c>
      <c r="I532" s="119" t="s">
        <v>820</v>
      </c>
    </row>
    <row r="533" spans="1:10" ht="37.5" hidden="1" customHeight="1">
      <c r="A533" s="157" t="s">
        <v>1528</v>
      </c>
      <c r="B533" s="119" t="s">
        <v>16</v>
      </c>
      <c r="C533" s="119" t="s">
        <v>1131</v>
      </c>
      <c r="D533" s="157">
        <f>1+2</f>
        <v>3</v>
      </c>
      <c r="E533" s="1" t="s">
        <v>791</v>
      </c>
      <c r="F533" s="134">
        <v>40200</v>
      </c>
      <c r="G533" s="133">
        <f t="shared" si="8"/>
        <v>120600</v>
      </c>
      <c r="H533" s="158">
        <v>46141</v>
      </c>
      <c r="I533" s="119" t="s">
        <v>1185</v>
      </c>
      <c r="J533" s="119"/>
    </row>
    <row r="534" spans="1:10" ht="15" hidden="1" customHeight="1">
      <c r="A534" s="157" t="s">
        <v>1529</v>
      </c>
      <c r="B534" s="119" t="s">
        <v>13</v>
      </c>
      <c r="C534" s="119" t="s">
        <v>1131</v>
      </c>
      <c r="D534" s="157">
        <v>14</v>
      </c>
      <c r="E534" s="1" t="s">
        <v>791</v>
      </c>
      <c r="F534" s="134">
        <f>22780*0.8</f>
        <v>18224</v>
      </c>
      <c r="G534" s="90">
        <f t="shared" si="8"/>
        <v>255136</v>
      </c>
      <c r="H534" s="158">
        <v>46141</v>
      </c>
      <c r="I534" s="119" t="s">
        <v>1530</v>
      </c>
      <c r="J534" s="119"/>
    </row>
    <row r="535" spans="1:10" ht="15" hidden="1" customHeight="1">
      <c r="A535" s="157" t="s">
        <v>1531</v>
      </c>
      <c r="B535" s="119" t="s">
        <v>13</v>
      </c>
      <c r="C535" s="119" t="s">
        <v>1131</v>
      </c>
      <c r="D535" s="157">
        <v>16</v>
      </c>
      <c r="E535" s="1" t="s">
        <v>791</v>
      </c>
      <c r="F535" s="134">
        <f>14390*0.8</f>
        <v>11512</v>
      </c>
      <c r="G535" s="90">
        <f t="shared" si="8"/>
        <v>184192</v>
      </c>
      <c r="H535" s="158">
        <v>46141</v>
      </c>
      <c r="I535" s="119" t="s">
        <v>853</v>
      </c>
      <c r="J535" s="119"/>
    </row>
    <row r="536" spans="1:10" ht="15" hidden="1" customHeight="1">
      <c r="A536" s="157" t="s">
        <v>1532</v>
      </c>
      <c r="B536" s="119" t="s">
        <v>13</v>
      </c>
      <c r="C536" s="119" t="s">
        <v>1131</v>
      </c>
      <c r="D536" s="157">
        <v>18</v>
      </c>
      <c r="E536" s="1" t="s">
        <v>791</v>
      </c>
      <c r="F536" s="134">
        <f>28200*0.8</f>
        <v>22560</v>
      </c>
      <c r="G536" s="90">
        <f t="shared" si="8"/>
        <v>406080</v>
      </c>
      <c r="H536" s="158">
        <v>46141</v>
      </c>
      <c r="I536" s="119" t="s">
        <v>853</v>
      </c>
      <c r="J536" s="119"/>
    </row>
    <row r="537" spans="1:10" ht="15" hidden="1" customHeight="1">
      <c r="A537" s="157" t="s">
        <v>1533</v>
      </c>
      <c r="B537" s="119" t="s">
        <v>13</v>
      </c>
      <c r="C537" s="119" t="s">
        <v>1131</v>
      </c>
      <c r="D537" s="157">
        <f>1+3</f>
        <v>4</v>
      </c>
      <c r="E537" s="1" t="s">
        <v>791</v>
      </c>
      <c r="F537" s="134">
        <f>63600*0.8</f>
        <v>50880</v>
      </c>
      <c r="G537" s="90">
        <f t="shared" si="8"/>
        <v>203520</v>
      </c>
      <c r="H537" s="158">
        <v>46141</v>
      </c>
      <c r="I537" s="119" t="s">
        <v>853</v>
      </c>
      <c r="J537" s="119"/>
    </row>
    <row r="538" spans="1:10" customFormat="1" ht="15" hidden="1" customHeight="1">
      <c r="A538" s="157" t="s">
        <v>1534</v>
      </c>
      <c r="B538" s="119" t="s">
        <v>13</v>
      </c>
      <c r="C538" s="119" t="s">
        <v>1131</v>
      </c>
      <c r="D538" s="157">
        <v>2</v>
      </c>
      <c r="E538" s="1" t="s">
        <v>791</v>
      </c>
      <c r="F538" s="134">
        <v>199900</v>
      </c>
      <c r="G538" s="90">
        <f t="shared" si="8"/>
        <v>399800</v>
      </c>
      <c r="H538" s="158">
        <v>46141</v>
      </c>
      <c r="I538" s="119" t="s">
        <v>976</v>
      </c>
      <c r="J538" s="119"/>
    </row>
    <row r="539" spans="1:10" customFormat="1" ht="15" hidden="1" customHeight="1">
      <c r="A539" s="96" t="s">
        <v>1535</v>
      </c>
      <c r="B539" s="1" t="s">
        <v>123</v>
      </c>
      <c r="C539" s="1" t="s">
        <v>1131</v>
      </c>
      <c r="D539" s="96">
        <v>2</v>
      </c>
      <c r="E539" s="1" t="s">
        <v>791</v>
      </c>
      <c r="F539" s="134">
        <f>36940*0.8</f>
        <v>29552</v>
      </c>
      <c r="G539" s="90">
        <f t="shared" si="8"/>
        <v>59104</v>
      </c>
      <c r="H539" s="125">
        <v>46141</v>
      </c>
      <c r="I539" s="119" t="s">
        <v>820</v>
      </c>
      <c r="J539" s="1"/>
    </row>
    <row r="540" spans="1:10" customFormat="1" ht="15" hidden="1" customHeight="1">
      <c r="A540" s="96" t="s">
        <v>1536</v>
      </c>
      <c r="B540" s="1" t="s">
        <v>32</v>
      </c>
      <c r="C540" s="1" t="s">
        <v>860</v>
      </c>
      <c r="D540" s="96">
        <v>17</v>
      </c>
      <c r="E540" s="1" t="s">
        <v>791</v>
      </c>
      <c r="F540" s="134">
        <f>18734*0.48</f>
        <v>8992.32</v>
      </c>
      <c r="G540" s="90">
        <f t="shared" si="8"/>
        <v>152869.44</v>
      </c>
      <c r="H540" s="125">
        <v>46134</v>
      </c>
      <c r="I540" s="1" t="s">
        <v>873</v>
      </c>
      <c r="J540" s="1"/>
    </row>
    <row r="541" spans="1:10" customFormat="1" ht="15" hidden="1" customHeight="1">
      <c r="A541" s="96" t="s">
        <v>1537</v>
      </c>
      <c r="B541" s="1" t="s">
        <v>830</v>
      </c>
      <c r="C541" s="1" t="s">
        <v>831</v>
      </c>
      <c r="D541" s="96">
        <v>22</v>
      </c>
      <c r="E541" s="1" t="s">
        <v>791</v>
      </c>
      <c r="F541" s="134">
        <f>1730*0.8</f>
        <v>1384</v>
      </c>
      <c r="G541" s="90">
        <f t="shared" si="8"/>
        <v>30448</v>
      </c>
      <c r="H541" s="125">
        <v>46146</v>
      </c>
      <c r="I541" s="1" t="s">
        <v>1055</v>
      </c>
      <c r="J541" s="1"/>
    </row>
    <row r="542" spans="1:10" customFormat="1" ht="15" hidden="1" customHeight="1">
      <c r="A542" s="96" t="s">
        <v>1538</v>
      </c>
      <c r="B542" s="1" t="s">
        <v>830</v>
      </c>
      <c r="C542" s="1" t="s">
        <v>831</v>
      </c>
      <c r="D542" s="96">
        <v>37</v>
      </c>
      <c r="E542" s="1" t="s">
        <v>791</v>
      </c>
      <c r="F542" s="134">
        <f>6110*0.8</f>
        <v>4888</v>
      </c>
      <c r="G542" s="90">
        <f t="shared" si="8"/>
        <v>180856</v>
      </c>
      <c r="H542" s="125">
        <v>46146</v>
      </c>
      <c r="I542" s="1" t="s">
        <v>1055</v>
      </c>
      <c r="J542" s="1"/>
    </row>
    <row r="543" spans="1:10" customFormat="1" ht="15" hidden="1" customHeight="1">
      <c r="A543" s="96" t="s">
        <v>1539</v>
      </c>
      <c r="B543" s="1" t="s">
        <v>830</v>
      </c>
      <c r="C543" s="1" t="s">
        <v>831</v>
      </c>
      <c r="D543" s="96">
        <v>3</v>
      </c>
      <c r="E543" s="1" t="s">
        <v>791</v>
      </c>
      <c r="F543" s="134">
        <f>16580*0.8</f>
        <v>13264</v>
      </c>
      <c r="G543" s="90">
        <f t="shared" si="8"/>
        <v>39792</v>
      </c>
      <c r="H543" s="125">
        <v>46146</v>
      </c>
      <c r="I543" s="1" t="s">
        <v>1202</v>
      </c>
      <c r="J543" s="1"/>
    </row>
    <row r="544" spans="1:10" customFormat="1" ht="15" hidden="1" customHeight="1">
      <c r="A544" s="96" t="s">
        <v>1540</v>
      </c>
      <c r="B544" s="1" t="s">
        <v>830</v>
      </c>
      <c r="C544" s="1" t="s">
        <v>831</v>
      </c>
      <c r="D544" s="96">
        <v>2</v>
      </c>
      <c r="E544" s="1" t="s">
        <v>791</v>
      </c>
      <c r="F544" s="134">
        <v>4888</v>
      </c>
      <c r="G544" s="90">
        <f t="shared" ref="G544:G579" si="9">+D544*F544</f>
        <v>9776</v>
      </c>
      <c r="H544" s="125">
        <v>46146</v>
      </c>
      <c r="I544" s="1" t="s">
        <v>1541</v>
      </c>
      <c r="J544" s="1"/>
    </row>
    <row r="545" spans="1:10" customFormat="1" ht="15" hidden="1" customHeight="1">
      <c r="A545" s="96" t="s">
        <v>1542</v>
      </c>
      <c r="B545" s="1" t="s">
        <v>32</v>
      </c>
      <c r="C545" s="1" t="s">
        <v>887</v>
      </c>
      <c r="D545" s="96">
        <v>5</v>
      </c>
      <c r="E545" s="1" t="s">
        <v>791</v>
      </c>
      <c r="F545" s="134">
        <f>18281*0.8</f>
        <v>14624.800000000001</v>
      </c>
      <c r="G545" s="90">
        <f t="shared" si="9"/>
        <v>73124</v>
      </c>
      <c r="H545" s="125">
        <v>46134</v>
      </c>
      <c r="I545" s="1" t="s">
        <v>910</v>
      </c>
      <c r="J545" s="1"/>
    </row>
    <row r="546" spans="1:10" customFormat="1" ht="15" hidden="1" customHeight="1">
      <c r="A546" s="96" t="s">
        <v>1543</v>
      </c>
      <c r="B546" s="1" t="s">
        <v>32</v>
      </c>
      <c r="C546" s="1" t="s">
        <v>860</v>
      </c>
      <c r="D546" s="96">
        <v>5</v>
      </c>
      <c r="E546" s="1" t="s">
        <v>791</v>
      </c>
      <c r="F546" s="134">
        <f>3470*0.48</f>
        <v>1665.6</v>
      </c>
      <c r="G546" s="90">
        <f t="shared" si="9"/>
        <v>8328</v>
      </c>
      <c r="H546" s="125">
        <v>46134</v>
      </c>
      <c r="I546" s="1" t="s">
        <v>873</v>
      </c>
      <c r="J546" s="1"/>
    </row>
    <row r="547" spans="1:10" customFormat="1" ht="15" hidden="1" customHeight="1">
      <c r="A547" s="96" t="s">
        <v>1544</v>
      </c>
      <c r="B547" s="1" t="s">
        <v>32</v>
      </c>
      <c r="C547" s="1" t="s">
        <v>860</v>
      </c>
      <c r="D547" s="96">
        <v>10</v>
      </c>
      <c r="E547" s="1" t="s">
        <v>791</v>
      </c>
      <c r="F547" s="134">
        <f>8962*0.48</f>
        <v>4301.76</v>
      </c>
      <c r="G547" s="90">
        <f t="shared" si="9"/>
        <v>43017.600000000006</v>
      </c>
      <c r="H547" s="125">
        <v>46134</v>
      </c>
      <c r="I547" s="1" t="s">
        <v>873</v>
      </c>
      <c r="J547" s="1"/>
    </row>
    <row r="548" spans="1:10" customFormat="1" ht="15" hidden="1" customHeight="1">
      <c r="A548" s="96" t="s">
        <v>1545</v>
      </c>
      <c r="B548" s="1" t="s">
        <v>32</v>
      </c>
      <c r="C548" s="1" t="s">
        <v>887</v>
      </c>
      <c r="D548" s="96">
        <v>1</v>
      </c>
      <c r="E548" s="1" t="s">
        <v>791</v>
      </c>
      <c r="F548" s="134">
        <f>9390*0.8</f>
        <v>7512</v>
      </c>
      <c r="G548" s="90">
        <f t="shared" si="9"/>
        <v>7512</v>
      </c>
      <c r="H548" s="125">
        <v>46134</v>
      </c>
      <c r="I548" s="119" t="s">
        <v>820</v>
      </c>
      <c r="J548" s="1"/>
    </row>
    <row r="549" spans="1:10" customFormat="1" ht="15" hidden="1" customHeight="1">
      <c r="A549" s="96" t="s">
        <v>1546</v>
      </c>
      <c r="B549" s="1" t="s">
        <v>32</v>
      </c>
      <c r="C549" s="1" t="s">
        <v>860</v>
      </c>
      <c r="D549" s="96">
        <v>28</v>
      </c>
      <c r="E549" s="1" t="s">
        <v>791</v>
      </c>
      <c r="F549" s="134">
        <f>1050*0.48</f>
        <v>504</v>
      </c>
      <c r="G549" s="90">
        <f t="shared" si="9"/>
        <v>14112</v>
      </c>
      <c r="H549" s="125">
        <v>46134</v>
      </c>
      <c r="I549" s="1" t="s">
        <v>873</v>
      </c>
      <c r="J549" s="1"/>
    </row>
    <row r="550" spans="1:10" customFormat="1" ht="15" hidden="1" customHeight="1">
      <c r="A550" s="96" t="s">
        <v>1547</v>
      </c>
      <c r="B550" s="1" t="s">
        <v>32</v>
      </c>
      <c r="C550" s="1" t="s">
        <v>860</v>
      </c>
      <c r="D550" s="96">
        <v>52</v>
      </c>
      <c r="E550" s="1" t="s">
        <v>791</v>
      </c>
      <c r="F550" s="134">
        <f>1776*0.48</f>
        <v>852.48</v>
      </c>
      <c r="G550" s="90">
        <f t="shared" si="9"/>
        <v>44328.959999999999</v>
      </c>
      <c r="H550" s="125">
        <v>46134</v>
      </c>
      <c r="I550" s="1" t="s">
        <v>873</v>
      </c>
      <c r="J550" s="1"/>
    </row>
    <row r="551" spans="1:10" customFormat="1" ht="15" hidden="1" customHeight="1">
      <c r="A551" s="1" t="s">
        <v>1548</v>
      </c>
      <c r="B551" s="1" t="s">
        <v>32</v>
      </c>
      <c r="C551" s="1" t="s">
        <v>860</v>
      </c>
      <c r="D551" s="1"/>
      <c r="E551" s="1" t="s">
        <v>791</v>
      </c>
      <c r="F551" s="135"/>
      <c r="G551" s="90">
        <f t="shared" si="9"/>
        <v>0</v>
      </c>
      <c r="H551" s="125">
        <v>46134</v>
      </c>
      <c r="I551" s="1"/>
      <c r="J551" s="1"/>
    </row>
    <row r="552" spans="1:10" customFormat="1" ht="15" hidden="1" customHeight="1">
      <c r="A552" s="96" t="s">
        <v>1549</v>
      </c>
      <c r="B552" s="1" t="s">
        <v>32</v>
      </c>
      <c r="C552" s="1" t="s">
        <v>860</v>
      </c>
      <c r="D552" s="96">
        <v>3</v>
      </c>
      <c r="E552" s="1" t="s">
        <v>791</v>
      </c>
      <c r="F552" s="134">
        <f>122280*0.8</f>
        <v>97824</v>
      </c>
      <c r="G552" s="90">
        <f t="shared" si="9"/>
        <v>293472</v>
      </c>
      <c r="H552" s="125">
        <v>46134</v>
      </c>
      <c r="I552" s="1" t="s">
        <v>1157</v>
      </c>
      <c r="J552" s="1"/>
    </row>
    <row r="553" spans="1:10" customFormat="1" ht="15" hidden="1" customHeight="1">
      <c r="A553" s="96" t="s">
        <v>1550</v>
      </c>
      <c r="B553" s="1" t="s">
        <v>32</v>
      </c>
      <c r="C553" s="1" t="s">
        <v>887</v>
      </c>
      <c r="D553" s="96">
        <v>1</v>
      </c>
      <c r="E553" s="1" t="s">
        <v>791</v>
      </c>
      <c r="F553" s="134">
        <f>49220*0.8</f>
        <v>39376</v>
      </c>
      <c r="G553" s="90">
        <f t="shared" si="9"/>
        <v>39376</v>
      </c>
      <c r="H553" s="125">
        <v>46134</v>
      </c>
      <c r="I553" s="1" t="s">
        <v>910</v>
      </c>
      <c r="J553" s="1"/>
    </row>
    <row r="554" spans="1:10" customFormat="1" ht="15" hidden="1" customHeight="1">
      <c r="A554" s="96" t="s">
        <v>1551</v>
      </c>
      <c r="B554" s="1" t="s">
        <v>193</v>
      </c>
      <c r="C554" s="1" t="s">
        <v>1059</v>
      </c>
      <c r="D554" s="96">
        <v>7</v>
      </c>
      <c r="E554" s="1" t="s">
        <v>791</v>
      </c>
      <c r="F554" s="134">
        <f>7296*0.5</f>
        <v>3648</v>
      </c>
      <c r="G554" s="90">
        <f t="shared" si="9"/>
        <v>25536</v>
      </c>
      <c r="H554" s="125">
        <v>46146</v>
      </c>
      <c r="I554" s="1" t="s">
        <v>873</v>
      </c>
      <c r="J554" s="1"/>
    </row>
    <row r="555" spans="1:10" customFormat="1" ht="15" hidden="1" customHeight="1">
      <c r="A555" s="96" t="s">
        <v>1552</v>
      </c>
      <c r="B555" s="1" t="s">
        <v>193</v>
      </c>
      <c r="C555" s="1" t="s">
        <v>1059</v>
      </c>
      <c r="D555" s="112">
        <f>4+1+1</f>
        <v>6</v>
      </c>
      <c r="E555" s="1" t="s">
        <v>791</v>
      </c>
      <c r="F555" s="134">
        <f>8361*0.5</f>
        <v>4180.5</v>
      </c>
      <c r="G555" s="90">
        <f t="shared" si="9"/>
        <v>25083</v>
      </c>
      <c r="H555" s="125">
        <v>46146</v>
      </c>
      <c r="I555" s="1" t="s">
        <v>1553</v>
      </c>
      <c r="J555" s="1"/>
    </row>
    <row r="556" spans="1:10" customFormat="1" ht="15" hidden="1" customHeight="1">
      <c r="A556" s="96" t="s">
        <v>1554</v>
      </c>
      <c r="B556" s="1" t="s">
        <v>193</v>
      </c>
      <c r="C556" s="1" t="s">
        <v>1059</v>
      </c>
      <c r="D556" s="96">
        <v>1</v>
      </c>
      <c r="E556" s="1" t="s">
        <v>791</v>
      </c>
      <c r="F556" s="134">
        <f>198556*0.5</f>
        <v>99278</v>
      </c>
      <c r="G556" s="90">
        <f t="shared" si="9"/>
        <v>99278</v>
      </c>
      <c r="H556" s="125">
        <v>46146</v>
      </c>
      <c r="I556" s="1" t="s">
        <v>873</v>
      </c>
      <c r="J556" s="1"/>
    </row>
    <row r="557" spans="1:10" customFormat="1" ht="15" hidden="1" customHeight="1">
      <c r="A557" s="96" t="s">
        <v>1555</v>
      </c>
      <c r="B557" s="1" t="s">
        <v>193</v>
      </c>
      <c r="C557" s="1" t="s">
        <v>1059</v>
      </c>
      <c r="D557" s="96">
        <v>4</v>
      </c>
      <c r="E557" s="1" t="s">
        <v>791</v>
      </c>
      <c r="F557" s="134">
        <f>21866*0.5</f>
        <v>10933</v>
      </c>
      <c r="G557" s="90">
        <f t="shared" si="9"/>
        <v>43732</v>
      </c>
      <c r="H557" s="125">
        <v>46146</v>
      </c>
      <c r="I557" s="1" t="s">
        <v>873</v>
      </c>
      <c r="J557" s="1"/>
    </row>
    <row r="558" spans="1:10" ht="15" hidden="1" customHeight="1">
      <c r="A558" s="96" t="s">
        <v>1556</v>
      </c>
      <c r="B558" s="1" t="s">
        <v>32</v>
      </c>
      <c r="C558" s="1" t="s">
        <v>887</v>
      </c>
      <c r="D558" s="96">
        <v>1</v>
      </c>
      <c r="E558" s="1" t="s">
        <v>791</v>
      </c>
      <c r="F558" s="134">
        <f>(50250+21710)*0.8</f>
        <v>57568</v>
      </c>
      <c r="G558" s="90">
        <f t="shared" si="9"/>
        <v>57568</v>
      </c>
      <c r="H558" s="125">
        <v>46134</v>
      </c>
      <c r="I558" s="119" t="s">
        <v>820</v>
      </c>
      <c r="J558" s="1"/>
    </row>
    <row r="559" spans="1:10" ht="15" hidden="1" customHeight="1">
      <c r="A559" s="157" t="s">
        <v>1557</v>
      </c>
      <c r="B559" s="119" t="s">
        <v>13</v>
      </c>
      <c r="C559" s="119" t="s">
        <v>1131</v>
      </c>
      <c r="D559" s="157">
        <v>1</v>
      </c>
      <c r="E559" s="1" t="s">
        <v>791</v>
      </c>
      <c r="F559" s="134">
        <f>18780*0.8</f>
        <v>15024</v>
      </c>
      <c r="G559" s="90">
        <f t="shared" si="9"/>
        <v>15024</v>
      </c>
      <c r="H559" s="158">
        <v>46141</v>
      </c>
      <c r="I559" s="119" t="s">
        <v>1558</v>
      </c>
      <c r="J559" s="119"/>
    </row>
    <row r="560" spans="1:10" ht="15" hidden="1" customHeight="1">
      <c r="A560" s="157" t="s">
        <v>1559</v>
      </c>
      <c r="B560" s="119" t="s">
        <v>13</v>
      </c>
      <c r="C560" s="119" t="s">
        <v>860</v>
      </c>
      <c r="D560" s="157">
        <f>2+1</f>
        <v>3</v>
      </c>
      <c r="E560" s="1" t="s">
        <v>791</v>
      </c>
      <c r="F560" s="134">
        <f>19200*0.8</f>
        <v>15360</v>
      </c>
      <c r="G560" s="90">
        <f t="shared" si="9"/>
        <v>46080</v>
      </c>
      <c r="H560" s="158">
        <v>46141</v>
      </c>
      <c r="I560" s="119" t="s">
        <v>851</v>
      </c>
      <c r="J560" s="119"/>
    </row>
    <row r="561" spans="1:10" ht="15" hidden="1" customHeight="1">
      <c r="A561" s="157" t="s">
        <v>1560</v>
      </c>
      <c r="B561" s="119" t="s">
        <v>13</v>
      </c>
      <c r="C561" s="119" t="s">
        <v>860</v>
      </c>
      <c r="D561" s="157">
        <v>4</v>
      </c>
      <c r="E561" s="1" t="s">
        <v>791</v>
      </c>
      <c r="F561" s="134">
        <f>47350*0.8</f>
        <v>37880</v>
      </c>
      <c r="G561" s="90">
        <f t="shared" si="9"/>
        <v>151520</v>
      </c>
      <c r="H561" s="158">
        <v>46141</v>
      </c>
      <c r="I561" s="119" t="s">
        <v>851</v>
      </c>
      <c r="J561" s="119"/>
    </row>
    <row r="562" spans="1:10" customFormat="1" ht="15" hidden="1" customHeight="1">
      <c r="A562" s="157" t="s">
        <v>1561</v>
      </c>
      <c r="B562" s="119" t="s">
        <v>13</v>
      </c>
      <c r="C562" s="119" t="s">
        <v>860</v>
      </c>
      <c r="D562" s="157">
        <v>7</v>
      </c>
      <c r="E562" s="1" t="s">
        <v>791</v>
      </c>
      <c r="F562" s="134">
        <f>54180*0.89</f>
        <v>48220.2</v>
      </c>
      <c r="G562" s="90">
        <f t="shared" si="9"/>
        <v>337541.39999999997</v>
      </c>
      <c r="H562" s="158">
        <v>46141</v>
      </c>
      <c r="I562" s="119" t="s">
        <v>851</v>
      </c>
      <c r="J562" s="119"/>
    </row>
    <row r="563" spans="1:10" customFormat="1" ht="15" hidden="1" customHeight="1">
      <c r="A563" s="96" t="s">
        <v>1562</v>
      </c>
      <c r="B563" s="1" t="s">
        <v>321</v>
      </c>
      <c r="C563" s="1" t="s">
        <v>860</v>
      </c>
      <c r="D563" s="96">
        <v>7</v>
      </c>
      <c r="E563" s="1" t="s">
        <v>791</v>
      </c>
      <c r="F563" s="134">
        <f>5720*0.8</f>
        <v>4576</v>
      </c>
      <c r="G563" s="90">
        <f t="shared" si="9"/>
        <v>32032</v>
      </c>
      <c r="H563" s="125">
        <v>46141</v>
      </c>
      <c r="I563" s="114" t="s">
        <v>960</v>
      </c>
      <c r="J563" s="1"/>
    </row>
    <row r="564" spans="1:10" customFormat="1" ht="15" hidden="1" customHeight="1">
      <c r="A564" s="96" t="s">
        <v>1563</v>
      </c>
      <c r="B564" s="1" t="s">
        <v>321</v>
      </c>
      <c r="C564" s="1" t="s">
        <v>860</v>
      </c>
      <c r="D564" s="96">
        <v>24</v>
      </c>
      <c r="E564" s="1" t="s">
        <v>791</v>
      </c>
      <c r="F564" s="134">
        <f>2330*0.8</f>
        <v>1864</v>
      </c>
      <c r="G564" s="90">
        <f t="shared" si="9"/>
        <v>44736</v>
      </c>
      <c r="H564" s="125">
        <v>46141</v>
      </c>
      <c r="I564" s="114" t="s">
        <v>960</v>
      </c>
      <c r="J564" s="1"/>
    </row>
    <row r="565" spans="1:10" customFormat="1" ht="15" hidden="1" customHeight="1">
      <c r="A565" s="96" t="s">
        <v>1564</v>
      </c>
      <c r="B565" s="1" t="s">
        <v>321</v>
      </c>
      <c r="C565" s="1" t="s">
        <v>860</v>
      </c>
      <c r="D565" s="96">
        <v>1</v>
      </c>
      <c r="E565" s="1" t="s">
        <v>791</v>
      </c>
      <c r="F565" s="134">
        <f>2740*0.8</f>
        <v>2192</v>
      </c>
      <c r="G565" s="90">
        <f t="shared" si="9"/>
        <v>2192</v>
      </c>
      <c r="H565" s="125">
        <v>46141</v>
      </c>
      <c r="I565" s="114" t="s">
        <v>1565</v>
      </c>
      <c r="J565" s="1"/>
    </row>
    <row r="566" spans="1:10" customFormat="1" ht="15" hidden="1" customHeight="1">
      <c r="A566" s="96" t="s">
        <v>1566</v>
      </c>
      <c r="B566" s="1" t="s">
        <v>321</v>
      </c>
      <c r="C566" s="1" t="s">
        <v>860</v>
      </c>
      <c r="D566" s="96">
        <v>4</v>
      </c>
      <c r="E566" s="1" t="s">
        <v>791</v>
      </c>
      <c r="F566" s="134">
        <f>11390*0.8</f>
        <v>9112</v>
      </c>
      <c r="G566" s="90">
        <f t="shared" si="9"/>
        <v>36448</v>
      </c>
      <c r="H566" s="125">
        <v>46141</v>
      </c>
      <c r="I566" s="114" t="s">
        <v>1567</v>
      </c>
      <c r="J566" s="1"/>
    </row>
    <row r="567" spans="1:10" customFormat="1" ht="15" hidden="1" customHeight="1">
      <c r="A567" s="96" t="s">
        <v>1568</v>
      </c>
      <c r="B567" s="1" t="s">
        <v>321</v>
      </c>
      <c r="C567" s="1" t="s">
        <v>860</v>
      </c>
      <c r="D567" s="96">
        <v>2</v>
      </c>
      <c r="E567" s="1" t="s">
        <v>791</v>
      </c>
      <c r="F567" s="134">
        <v>5893</v>
      </c>
      <c r="G567" s="90">
        <f t="shared" si="9"/>
        <v>11786</v>
      </c>
      <c r="H567" s="125">
        <v>46141</v>
      </c>
      <c r="I567" s="114" t="s">
        <v>1223</v>
      </c>
      <c r="J567" s="1"/>
    </row>
    <row r="568" spans="1:10" customFormat="1" ht="15" hidden="1" customHeight="1">
      <c r="A568" s="96" t="s">
        <v>1569</v>
      </c>
      <c r="B568" s="1" t="s">
        <v>321</v>
      </c>
      <c r="C568" s="1" t="s">
        <v>860</v>
      </c>
      <c r="D568" s="96">
        <v>1</v>
      </c>
      <c r="E568" s="1" t="s">
        <v>791</v>
      </c>
      <c r="F568" s="134">
        <f>21250*0.8</f>
        <v>17000</v>
      </c>
      <c r="G568" s="90">
        <f t="shared" si="9"/>
        <v>17000</v>
      </c>
      <c r="H568" s="125">
        <v>46141</v>
      </c>
      <c r="I568" s="114" t="s">
        <v>1567</v>
      </c>
      <c r="J568" s="1"/>
    </row>
    <row r="569" spans="1:10" customFormat="1" ht="15" hidden="1" customHeight="1">
      <c r="A569" s="96" t="s">
        <v>1570</v>
      </c>
      <c r="B569" s="1" t="s">
        <v>321</v>
      </c>
      <c r="C569" s="1" t="s">
        <v>860</v>
      </c>
      <c r="D569" s="96">
        <v>1</v>
      </c>
      <c r="E569" s="1" t="s">
        <v>791</v>
      </c>
      <c r="F569" s="134">
        <v>27200</v>
      </c>
      <c r="G569" s="90">
        <f t="shared" si="9"/>
        <v>27200</v>
      </c>
      <c r="H569" s="125">
        <v>46141</v>
      </c>
      <c r="I569" s="114" t="s">
        <v>973</v>
      </c>
      <c r="J569" s="1"/>
    </row>
    <row r="570" spans="1:10" customFormat="1" ht="15" hidden="1" customHeight="1">
      <c r="A570" s="96" t="s">
        <v>1571</v>
      </c>
      <c r="B570" s="1" t="s">
        <v>460</v>
      </c>
      <c r="C570" s="1" t="s">
        <v>860</v>
      </c>
      <c r="D570" s="96">
        <v>2</v>
      </c>
      <c r="E570" s="1" t="s">
        <v>791</v>
      </c>
      <c r="F570" s="134">
        <v>2100</v>
      </c>
      <c r="G570" s="90">
        <f t="shared" si="9"/>
        <v>4200</v>
      </c>
      <c r="H570" s="125">
        <v>46142</v>
      </c>
      <c r="I570" s="1" t="s">
        <v>976</v>
      </c>
      <c r="J570" s="1"/>
    </row>
    <row r="571" spans="1:10" customFormat="1" ht="15" hidden="1" customHeight="1">
      <c r="A571" s="96" t="s">
        <v>1572</v>
      </c>
      <c r="B571" s="1" t="s">
        <v>460</v>
      </c>
      <c r="C571" s="1" t="s">
        <v>860</v>
      </c>
      <c r="D571" s="96">
        <v>3</v>
      </c>
      <c r="E571" s="1" t="s">
        <v>791</v>
      </c>
      <c r="F571" s="134">
        <f>12350*0.8</f>
        <v>9880</v>
      </c>
      <c r="G571" s="90">
        <f t="shared" si="9"/>
        <v>29640</v>
      </c>
      <c r="H571" s="125">
        <v>46142</v>
      </c>
      <c r="I571" s="1" t="s">
        <v>1567</v>
      </c>
      <c r="J571" s="1"/>
    </row>
    <row r="572" spans="1:10" customFormat="1" ht="15" hidden="1" customHeight="1">
      <c r="A572" s="96" t="s">
        <v>1573</v>
      </c>
      <c r="B572" s="1" t="s">
        <v>460</v>
      </c>
      <c r="C572" s="1" t="s">
        <v>860</v>
      </c>
      <c r="D572" s="96">
        <v>4</v>
      </c>
      <c r="E572" s="1" t="s">
        <v>791</v>
      </c>
      <c r="F572" s="134">
        <v>16220</v>
      </c>
      <c r="G572" s="90">
        <f t="shared" si="9"/>
        <v>64880</v>
      </c>
      <c r="H572" s="125">
        <v>46142</v>
      </c>
      <c r="I572" s="1" t="s">
        <v>1574</v>
      </c>
      <c r="J572" s="1"/>
    </row>
    <row r="573" spans="1:10" customFormat="1" ht="15" hidden="1" customHeight="1">
      <c r="A573" s="96" t="s">
        <v>1575</v>
      </c>
      <c r="B573" s="1" t="s">
        <v>32</v>
      </c>
      <c r="C573" s="1" t="s">
        <v>860</v>
      </c>
      <c r="D573" s="96">
        <v>4</v>
      </c>
      <c r="E573" s="1" t="s">
        <v>791</v>
      </c>
      <c r="F573" s="134">
        <f>11765*0.48</f>
        <v>5647.2</v>
      </c>
      <c r="G573" s="90">
        <f t="shared" si="9"/>
        <v>22588.799999999999</v>
      </c>
      <c r="H573" s="125">
        <v>46134</v>
      </c>
      <c r="I573" s="1" t="s">
        <v>873</v>
      </c>
      <c r="J573" s="1"/>
    </row>
    <row r="574" spans="1:10" customFormat="1" ht="15" hidden="1" customHeight="1">
      <c r="A574" s="96" t="s">
        <v>1576</v>
      </c>
      <c r="B574" s="1" t="s">
        <v>32</v>
      </c>
      <c r="C574" s="1" t="s">
        <v>887</v>
      </c>
      <c r="D574" s="96">
        <v>4</v>
      </c>
      <c r="E574" s="1" t="s">
        <v>791</v>
      </c>
      <c r="F574" s="134">
        <v>42240</v>
      </c>
      <c r="G574" s="90">
        <f t="shared" si="9"/>
        <v>168960</v>
      </c>
      <c r="H574" s="125">
        <v>46134</v>
      </c>
      <c r="I574" s="1" t="s">
        <v>908</v>
      </c>
      <c r="J574" s="1"/>
    </row>
    <row r="575" spans="1:10" customFormat="1" ht="15" hidden="1" customHeight="1">
      <c r="A575" s="96" t="s">
        <v>1577</v>
      </c>
      <c r="B575" s="1" t="s">
        <v>32</v>
      </c>
      <c r="C575" s="1" t="s">
        <v>887</v>
      </c>
      <c r="D575" s="96">
        <v>1</v>
      </c>
      <c r="E575" s="1" t="s">
        <v>791</v>
      </c>
      <c r="F575" s="134">
        <f>92720*0.8</f>
        <v>74176</v>
      </c>
      <c r="G575" s="90">
        <f t="shared" si="9"/>
        <v>74176</v>
      </c>
      <c r="H575" s="125">
        <v>46134</v>
      </c>
      <c r="I575" s="119" t="s">
        <v>820</v>
      </c>
      <c r="J575" s="1"/>
    </row>
    <row r="576" spans="1:10" customFormat="1" ht="15" hidden="1" customHeight="1">
      <c r="A576" s="96" t="s">
        <v>1578</v>
      </c>
      <c r="B576" s="1" t="s">
        <v>32</v>
      </c>
      <c r="C576" s="1" t="s">
        <v>860</v>
      </c>
      <c r="D576" s="96">
        <v>14</v>
      </c>
      <c r="E576" s="1" t="s">
        <v>791</v>
      </c>
      <c r="F576" s="134">
        <f>44436*0.48</f>
        <v>21329.279999999999</v>
      </c>
      <c r="G576" s="90">
        <f t="shared" si="9"/>
        <v>298609.91999999998</v>
      </c>
      <c r="H576" s="125">
        <v>46134</v>
      </c>
      <c r="I576" s="1" t="s">
        <v>873</v>
      </c>
      <c r="J576" s="1"/>
    </row>
    <row r="577" spans="1:10" customFormat="1" ht="15" hidden="1" customHeight="1">
      <c r="A577" s="96" t="s">
        <v>1579</v>
      </c>
      <c r="B577" s="1" t="s">
        <v>32</v>
      </c>
      <c r="C577" s="1" t="s">
        <v>860</v>
      </c>
      <c r="D577" s="96">
        <v>3</v>
      </c>
      <c r="E577" s="1" t="s">
        <v>791</v>
      </c>
      <c r="F577" s="134">
        <f>70686*0.48</f>
        <v>33929.279999999999</v>
      </c>
      <c r="G577" s="90">
        <f t="shared" si="9"/>
        <v>101787.84</v>
      </c>
      <c r="H577" s="125">
        <v>46134</v>
      </c>
      <c r="I577" s="1" t="s">
        <v>873</v>
      </c>
      <c r="J577" s="1"/>
    </row>
    <row r="578" spans="1:10" customFormat="1" ht="15" hidden="1" customHeight="1">
      <c r="A578" s="96" t="s">
        <v>1580</v>
      </c>
      <c r="B578" s="1" t="s">
        <v>32</v>
      </c>
      <c r="C578" s="1" t="s">
        <v>860</v>
      </c>
      <c r="D578" s="96">
        <v>2</v>
      </c>
      <c r="E578" s="1" t="s">
        <v>791</v>
      </c>
      <c r="F578" s="134">
        <f>154252*0.48</f>
        <v>74040.959999999992</v>
      </c>
      <c r="G578" s="90">
        <f t="shared" si="9"/>
        <v>148081.91999999998</v>
      </c>
      <c r="H578" s="125">
        <v>46134</v>
      </c>
      <c r="I578" s="1" t="s">
        <v>873</v>
      </c>
      <c r="J578" s="1"/>
    </row>
    <row r="579" spans="1:10" customFormat="1" ht="15" hidden="1" customHeight="1">
      <c r="A579" s="96" t="s">
        <v>1581</v>
      </c>
      <c r="B579" s="1" t="s">
        <v>32</v>
      </c>
      <c r="C579" s="1" t="s">
        <v>860</v>
      </c>
      <c r="D579" s="96">
        <v>4</v>
      </c>
      <c r="E579" s="1" t="s">
        <v>791</v>
      </c>
      <c r="F579" s="134">
        <f>122280*0.8</f>
        <v>97824</v>
      </c>
      <c r="G579" s="90">
        <f t="shared" si="9"/>
        <v>391296</v>
      </c>
      <c r="H579" s="125">
        <v>46134</v>
      </c>
      <c r="I579" s="1" t="s">
        <v>1157</v>
      </c>
      <c r="J579" s="1"/>
    </row>
    <row r="580" spans="1:10" customFormat="1" ht="15" customHeight="1">
      <c r="A580" s="157" t="s">
        <v>1582</v>
      </c>
      <c r="B580" s="157" t="s">
        <v>915</v>
      </c>
      <c r="C580" s="210">
        <v>93</v>
      </c>
      <c r="D580" s="207">
        <v>63</v>
      </c>
      <c r="E580" s="1" t="s">
        <v>791</v>
      </c>
      <c r="F580" s="159"/>
      <c r="G580" s="133">
        <f t="shared" ref="G580:G611" si="10">+D580*F580</f>
        <v>0</v>
      </c>
      <c r="H580" s="209" t="s">
        <v>1583</v>
      </c>
      <c r="I580" s="208"/>
      <c r="J580" s="119"/>
    </row>
    <row r="581" spans="1:10" customFormat="1" ht="15" hidden="1" customHeight="1">
      <c r="A581" s="157" t="s">
        <v>1584</v>
      </c>
      <c r="B581" s="157" t="s">
        <v>915</v>
      </c>
      <c r="C581" s="119"/>
      <c r="D581" s="157">
        <f>62+10</f>
        <v>72</v>
      </c>
      <c r="E581" s="1" t="s">
        <v>791</v>
      </c>
      <c r="F581" s="134">
        <v>3333</v>
      </c>
      <c r="G581" s="133">
        <f t="shared" si="10"/>
        <v>239976</v>
      </c>
      <c r="H581" s="158">
        <v>46211</v>
      </c>
      <c r="I581" s="208" t="s">
        <v>1585</v>
      </c>
      <c r="J581" s="119"/>
    </row>
    <row r="582" spans="1:10" customFormat="1" ht="15" hidden="1" customHeight="1">
      <c r="A582" s="157" t="s">
        <v>1586</v>
      </c>
      <c r="B582" s="119" t="s">
        <v>915</v>
      </c>
      <c r="C582" s="119"/>
      <c r="D582" s="157">
        <v>1</v>
      </c>
      <c r="E582" s="1" t="s">
        <v>791</v>
      </c>
      <c r="F582" s="134">
        <v>2310</v>
      </c>
      <c r="G582" s="133">
        <f t="shared" si="10"/>
        <v>2310</v>
      </c>
      <c r="H582" s="158">
        <v>46154</v>
      </c>
      <c r="I582" s="208" t="s">
        <v>1587</v>
      </c>
      <c r="J582" s="119"/>
    </row>
    <row r="583" spans="1:10" customFormat="1" ht="15" hidden="1" customHeight="1">
      <c r="A583" s="221" t="s">
        <v>1588</v>
      </c>
      <c r="B583" s="96" t="s">
        <v>919</v>
      </c>
      <c r="C583" s="1"/>
      <c r="D583" s="108">
        <v>13</v>
      </c>
      <c r="E583" s="1" t="s">
        <v>791</v>
      </c>
      <c r="F583" s="159"/>
      <c r="G583" s="90">
        <f t="shared" si="10"/>
        <v>0</v>
      </c>
      <c r="H583" s="125">
        <v>46212</v>
      </c>
      <c r="I583" s="109"/>
      <c r="J583" s="1"/>
    </row>
    <row r="584" spans="1:10" customFormat="1" ht="15" customHeight="1">
      <c r="A584" s="157" t="s">
        <v>1589</v>
      </c>
      <c r="B584" s="96" t="s">
        <v>919</v>
      </c>
      <c r="C584" s="1"/>
      <c r="D584" s="107">
        <v>1</v>
      </c>
      <c r="E584" s="1" t="s">
        <v>791</v>
      </c>
      <c r="F584" s="223"/>
      <c r="G584" s="90">
        <f t="shared" si="10"/>
        <v>0</v>
      </c>
      <c r="H584" s="125">
        <v>46218</v>
      </c>
      <c r="I584" s="109"/>
      <c r="J584" s="1"/>
    </row>
    <row r="585" spans="1:10" customFormat="1" ht="15" customHeight="1">
      <c r="A585" s="157" t="s">
        <v>1590</v>
      </c>
      <c r="B585" s="96" t="s">
        <v>919</v>
      </c>
      <c r="C585" s="1"/>
      <c r="D585" s="107">
        <v>5</v>
      </c>
      <c r="E585" s="1" t="s">
        <v>791</v>
      </c>
      <c r="F585" s="159"/>
      <c r="G585" s="90">
        <f t="shared" si="10"/>
        <v>0</v>
      </c>
      <c r="H585" s="125">
        <v>46153</v>
      </c>
      <c r="I585" s="109"/>
      <c r="J585" s="1"/>
    </row>
    <row r="586" spans="1:10" customFormat="1" ht="15" customHeight="1">
      <c r="A586" s="157" t="s">
        <v>1591</v>
      </c>
      <c r="B586" s="96" t="s">
        <v>919</v>
      </c>
      <c r="C586" s="119"/>
      <c r="D586" s="207">
        <v>1</v>
      </c>
      <c r="E586" s="1" t="s">
        <v>791</v>
      </c>
      <c r="F586" s="223"/>
      <c r="G586" s="133">
        <f t="shared" si="10"/>
        <v>0</v>
      </c>
      <c r="H586" s="158">
        <v>46218</v>
      </c>
      <c r="I586" s="208"/>
      <c r="J586" s="119"/>
    </row>
    <row r="587" spans="1:10" customFormat="1" ht="15" hidden="1" customHeight="1">
      <c r="A587" s="157" t="s">
        <v>1592</v>
      </c>
      <c r="B587" s="96" t="s">
        <v>919</v>
      </c>
      <c r="C587" s="1"/>
      <c r="D587" s="96">
        <f>95+38</f>
        <v>133</v>
      </c>
      <c r="E587" s="1" t="s">
        <v>791</v>
      </c>
      <c r="F587" s="134">
        <v>3333</v>
      </c>
      <c r="G587" s="90">
        <f t="shared" si="10"/>
        <v>443289</v>
      </c>
      <c r="H587" s="125">
        <v>46211</v>
      </c>
      <c r="I587" s="208" t="s">
        <v>1585</v>
      </c>
      <c r="J587" s="1"/>
    </row>
    <row r="588" spans="1:10" customFormat="1" ht="15" hidden="1" customHeight="1">
      <c r="A588" s="157" t="s">
        <v>1593</v>
      </c>
      <c r="B588" s="96" t="s">
        <v>919</v>
      </c>
      <c r="C588" s="1"/>
      <c r="D588" s="96">
        <f>12+12</f>
        <v>24</v>
      </c>
      <c r="E588" s="1" t="s">
        <v>791</v>
      </c>
      <c r="F588" s="134">
        <v>2855.07</v>
      </c>
      <c r="G588" s="90">
        <f t="shared" si="10"/>
        <v>68521.680000000008</v>
      </c>
      <c r="H588" s="125">
        <v>46211</v>
      </c>
      <c r="I588" s="1" t="s">
        <v>1594</v>
      </c>
      <c r="J588" s="1"/>
    </row>
    <row r="589" spans="1:10" customFormat="1" ht="15" hidden="1" customHeight="1">
      <c r="A589" s="157" t="s">
        <v>1595</v>
      </c>
      <c r="B589" s="96" t="s">
        <v>919</v>
      </c>
      <c r="C589" s="1"/>
      <c r="D589" s="96">
        <v>45</v>
      </c>
      <c r="E589" s="1" t="s">
        <v>791</v>
      </c>
      <c r="F589" s="134">
        <v>3260.5</v>
      </c>
      <c r="G589" s="90">
        <f t="shared" si="10"/>
        <v>146722.5</v>
      </c>
      <c r="H589" s="125">
        <v>46211</v>
      </c>
      <c r="I589" s="1" t="s">
        <v>930</v>
      </c>
      <c r="J589" s="1"/>
    </row>
    <row r="590" spans="1:10" customFormat="1" ht="15" hidden="1" customHeight="1">
      <c r="A590" s="157" t="s">
        <v>1596</v>
      </c>
      <c r="B590" s="96" t="s">
        <v>919</v>
      </c>
      <c r="C590" s="1"/>
      <c r="D590" s="96">
        <v>29</v>
      </c>
      <c r="E590" s="1" t="s">
        <v>791</v>
      </c>
      <c r="F590" s="134">
        <v>2825</v>
      </c>
      <c r="G590" s="90">
        <f t="shared" si="10"/>
        <v>81925</v>
      </c>
      <c r="H590" s="125">
        <v>46211</v>
      </c>
      <c r="I590" s="114" t="s">
        <v>933</v>
      </c>
      <c r="J590" s="1"/>
    </row>
    <row r="591" spans="1:10" customFormat="1" ht="15" hidden="1" customHeight="1">
      <c r="A591" s="157" t="s">
        <v>1597</v>
      </c>
      <c r="B591" s="96" t="s">
        <v>919</v>
      </c>
      <c r="C591" s="1"/>
      <c r="D591" s="96">
        <v>143</v>
      </c>
      <c r="E591" s="1" t="s">
        <v>791</v>
      </c>
      <c r="F591" s="134">
        <v>2207</v>
      </c>
      <c r="G591" s="90">
        <f t="shared" si="10"/>
        <v>315601</v>
      </c>
      <c r="H591" s="125">
        <v>46211</v>
      </c>
      <c r="I591" s="114" t="s">
        <v>1553</v>
      </c>
      <c r="J591" s="1"/>
    </row>
    <row r="592" spans="1:10" customFormat="1" ht="15" hidden="1" customHeight="1">
      <c r="A592" s="157" t="s">
        <v>1598</v>
      </c>
      <c r="B592" s="96" t="s">
        <v>919</v>
      </c>
      <c r="C592" s="1"/>
      <c r="D592" s="96">
        <v>10</v>
      </c>
      <c r="E592" s="1" t="s">
        <v>791</v>
      </c>
      <c r="F592" s="134">
        <v>2310</v>
      </c>
      <c r="G592" s="90">
        <f t="shared" si="10"/>
        <v>23100</v>
      </c>
      <c r="H592" s="125">
        <v>46211</v>
      </c>
      <c r="I592" s="1" t="s">
        <v>1587</v>
      </c>
      <c r="J592" s="1"/>
    </row>
    <row r="593" spans="1:10" customFormat="1" ht="15" hidden="1" customHeight="1">
      <c r="A593" s="157" t="s">
        <v>1599</v>
      </c>
      <c r="B593" s="96" t="s">
        <v>919</v>
      </c>
      <c r="C593" s="1"/>
      <c r="D593" s="96">
        <f>5+3</f>
        <v>8</v>
      </c>
      <c r="E593" s="1" t="s">
        <v>791</v>
      </c>
      <c r="F593" s="134">
        <v>1784.83</v>
      </c>
      <c r="G593" s="90">
        <f t="shared" si="10"/>
        <v>14278.64</v>
      </c>
      <c r="H593" s="125">
        <v>46211</v>
      </c>
      <c r="I593" s="1" t="s">
        <v>1594</v>
      </c>
      <c r="J593" s="1"/>
    </row>
    <row r="594" spans="1:10" customFormat="1" ht="15" hidden="1" customHeight="1">
      <c r="A594" s="157" t="s">
        <v>1600</v>
      </c>
      <c r="B594" s="96" t="s">
        <v>919</v>
      </c>
      <c r="C594" s="1"/>
      <c r="D594" s="96">
        <v>21</v>
      </c>
      <c r="E594" s="1" t="s">
        <v>791</v>
      </c>
      <c r="F594" s="134">
        <v>1187</v>
      </c>
      <c r="G594" s="90">
        <f t="shared" si="10"/>
        <v>24927</v>
      </c>
      <c r="H594" s="125">
        <v>46211</v>
      </c>
      <c r="I594" s="114" t="s">
        <v>1601</v>
      </c>
      <c r="J594" s="1"/>
    </row>
    <row r="595" spans="1:10" customFormat="1" ht="15" customHeight="1">
      <c r="A595" s="157" t="s">
        <v>1602</v>
      </c>
      <c r="B595" s="96" t="s">
        <v>919</v>
      </c>
      <c r="C595" s="1"/>
      <c r="D595" s="107">
        <v>2</v>
      </c>
      <c r="E595" s="1" t="s">
        <v>791</v>
      </c>
      <c r="F595" s="159"/>
      <c r="G595" s="90">
        <f t="shared" si="10"/>
        <v>0</v>
      </c>
      <c r="H595" s="125">
        <v>46211</v>
      </c>
      <c r="I595" s="114"/>
      <c r="J595" s="1"/>
    </row>
    <row r="596" spans="1:10" customFormat="1" ht="15" customHeight="1">
      <c r="A596" s="157" t="s">
        <v>1603</v>
      </c>
      <c r="B596" s="96" t="s">
        <v>919</v>
      </c>
      <c r="C596" s="1"/>
      <c r="D596" s="107">
        <v>17</v>
      </c>
      <c r="E596" s="1" t="s">
        <v>791</v>
      </c>
      <c r="F596" s="159"/>
      <c r="G596" s="90">
        <f t="shared" si="10"/>
        <v>0</v>
      </c>
      <c r="H596" s="125">
        <v>46211</v>
      </c>
      <c r="I596" s="109"/>
      <c r="J596" s="1"/>
    </row>
    <row r="597" spans="1:10" customFormat="1" ht="15" hidden="1" customHeight="1">
      <c r="A597" s="157" t="s">
        <v>1604</v>
      </c>
      <c r="B597" s="96" t="s">
        <v>919</v>
      </c>
      <c r="C597" s="1"/>
      <c r="D597" s="96">
        <v>17</v>
      </c>
      <c r="E597" s="1" t="s">
        <v>791</v>
      </c>
      <c r="F597" s="134">
        <v>4905</v>
      </c>
      <c r="G597" s="90">
        <f t="shared" si="10"/>
        <v>83385</v>
      </c>
      <c r="H597" s="125">
        <v>46212</v>
      </c>
      <c r="I597" s="114" t="s">
        <v>927</v>
      </c>
      <c r="J597" s="1"/>
    </row>
    <row r="598" spans="1:10" customFormat="1" ht="15" hidden="1" customHeight="1">
      <c r="A598" s="157" t="s">
        <v>1605</v>
      </c>
      <c r="B598" s="96" t="s">
        <v>919</v>
      </c>
      <c r="C598" s="109">
        <v>111</v>
      </c>
      <c r="D598" s="96">
        <v>58</v>
      </c>
      <c r="E598" s="1" t="s">
        <v>791</v>
      </c>
      <c r="F598" s="134">
        <v>4003</v>
      </c>
      <c r="G598" s="90">
        <f t="shared" si="10"/>
        <v>232174</v>
      </c>
      <c r="H598" s="125">
        <v>46212</v>
      </c>
      <c r="I598" s="1" t="s">
        <v>927</v>
      </c>
      <c r="J598" s="1"/>
    </row>
    <row r="599" spans="1:10" customFormat="1" ht="15" hidden="1" customHeight="1">
      <c r="A599" s="96" t="s">
        <v>1606</v>
      </c>
      <c r="B599" s="96" t="s">
        <v>919</v>
      </c>
      <c r="C599" s="1"/>
      <c r="D599" s="96">
        <v>51</v>
      </c>
      <c r="E599" s="1" t="s">
        <v>791</v>
      </c>
      <c r="F599" s="134">
        <v>3738.4</v>
      </c>
      <c r="G599" s="90">
        <f t="shared" si="10"/>
        <v>190658.4</v>
      </c>
      <c r="H599" s="125">
        <v>46212</v>
      </c>
      <c r="I599" s="1" t="s">
        <v>1607</v>
      </c>
      <c r="J599" s="1"/>
    </row>
    <row r="600" spans="1:10" customFormat="1" ht="15" hidden="1" customHeight="1">
      <c r="A600" s="157" t="s">
        <v>1608</v>
      </c>
      <c r="B600" s="96" t="s">
        <v>919</v>
      </c>
      <c r="C600" s="1"/>
      <c r="D600" s="96">
        <v>9</v>
      </c>
      <c r="E600" s="1" t="s">
        <v>791</v>
      </c>
      <c r="F600" s="134">
        <v>5573</v>
      </c>
      <c r="G600" s="90">
        <f t="shared" si="10"/>
        <v>50157</v>
      </c>
      <c r="H600" s="125">
        <v>46212</v>
      </c>
      <c r="I600" s="1" t="s">
        <v>920</v>
      </c>
      <c r="J600" s="1"/>
    </row>
    <row r="601" spans="1:10" customFormat="1" ht="15" hidden="1" customHeight="1">
      <c r="A601" s="119" t="s">
        <v>1609</v>
      </c>
      <c r="B601" s="1" t="s">
        <v>919</v>
      </c>
      <c r="C601" s="1"/>
      <c r="D601" s="1"/>
      <c r="E601" s="1" t="s">
        <v>791</v>
      </c>
      <c r="F601" s="134">
        <v>4480.3</v>
      </c>
      <c r="G601" s="90">
        <f t="shared" si="10"/>
        <v>0</v>
      </c>
      <c r="H601" s="125">
        <v>46154</v>
      </c>
      <c r="I601" s="1" t="s">
        <v>923</v>
      </c>
      <c r="J601" s="1"/>
    </row>
    <row r="602" spans="1:10" customFormat="1" ht="15" hidden="1" customHeight="1">
      <c r="A602" s="157" t="s">
        <v>1610</v>
      </c>
      <c r="B602" s="96" t="s">
        <v>919</v>
      </c>
      <c r="C602" s="1"/>
      <c r="D602" s="96">
        <f>28+3+1</f>
        <v>32</v>
      </c>
      <c r="E602" s="1" t="s">
        <v>791</v>
      </c>
      <c r="F602" s="134">
        <v>2782.64</v>
      </c>
      <c r="G602" s="90">
        <f t="shared" si="10"/>
        <v>89044.479999999996</v>
      </c>
      <c r="H602" s="125">
        <v>46212</v>
      </c>
      <c r="I602" s="1" t="s">
        <v>1607</v>
      </c>
      <c r="J602" s="1"/>
    </row>
    <row r="603" spans="1:10" customFormat="1" ht="15" hidden="1" customHeight="1">
      <c r="A603" s="157" t="s">
        <v>1611</v>
      </c>
      <c r="B603" s="96" t="s">
        <v>919</v>
      </c>
      <c r="C603" s="1"/>
      <c r="D603" s="96">
        <v>22</v>
      </c>
      <c r="E603" s="1" t="s">
        <v>791</v>
      </c>
      <c r="F603" s="134">
        <v>2099.8000000000002</v>
      </c>
      <c r="G603" s="90">
        <f t="shared" si="10"/>
        <v>46195.600000000006</v>
      </c>
      <c r="H603" s="125">
        <v>46212</v>
      </c>
      <c r="I603" s="1" t="s">
        <v>923</v>
      </c>
      <c r="J603" s="1"/>
    </row>
    <row r="604" spans="1:10" customFormat="1" ht="15" customHeight="1">
      <c r="A604" s="157" t="s">
        <v>1612</v>
      </c>
      <c r="B604" s="96" t="s">
        <v>919</v>
      </c>
      <c r="C604" s="1"/>
      <c r="D604" s="107">
        <v>20</v>
      </c>
      <c r="E604" s="1" t="s">
        <v>791</v>
      </c>
      <c r="F604" s="159"/>
      <c r="G604" s="90">
        <f t="shared" si="10"/>
        <v>0</v>
      </c>
      <c r="H604" s="125">
        <v>46212</v>
      </c>
      <c r="I604" s="109"/>
      <c r="J604" s="1"/>
    </row>
    <row r="605" spans="1:10" customFormat="1" ht="15" hidden="1" customHeight="1">
      <c r="A605" s="1" t="s">
        <v>1613</v>
      </c>
      <c r="B605" s="1" t="s">
        <v>919</v>
      </c>
      <c r="C605" s="1"/>
      <c r="D605" s="1">
        <v>20</v>
      </c>
      <c r="E605" s="1" t="s">
        <v>791</v>
      </c>
      <c r="F605" s="135"/>
      <c r="G605" s="90">
        <f t="shared" si="10"/>
        <v>0</v>
      </c>
      <c r="H605" s="61"/>
      <c r="I605" s="109" t="s">
        <v>1012</v>
      </c>
      <c r="J605" s="1"/>
    </row>
    <row r="606" spans="1:10" customFormat="1" ht="15" customHeight="1">
      <c r="A606" s="157" t="s">
        <v>1614</v>
      </c>
      <c r="B606" s="96" t="s">
        <v>919</v>
      </c>
      <c r="C606" s="1"/>
      <c r="D606" s="107">
        <v>1</v>
      </c>
      <c r="E606" s="1" t="s">
        <v>791</v>
      </c>
      <c r="F606" s="159"/>
      <c r="G606" s="90">
        <f t="shared" si="10"/>
        <v>0</v>
      </c>
      <c r="H606" s="125">
        <v>46218</v>
      </c>
      <c r="I606" s="109"/>
      <c r="J606" s="1"/>
    </row>
    <row r="607" spans="1:10" customFormat="1" ht="15" hidden="1" customHeight="1">
      <c r="A607" s="1" t="s">
        <v>1615</v>
      </c>
      <c r="B607" s="1" t="s">
        <v>919</v>
      </c>
      <c r="C607" s="1"/>
      <c r="D607" s="1">
        <v>13</v>
      </c>
      <c r="E607" s="1" t="s">
        <v>791</v>
      </c>
      <c r="F607" s="135"/>
      <c r="G607" s="90">
        <f t="shared" si="10"/>
        <v>0</v>
      </c>
      <c r="H607" s="61"/>
      <c r="I607" s="109" t="s">
        <v>1012</v>
      </c>
      <c r="J607" s="1"/>
    </row>
    <row r="608" spans="1:10" customFormat="1" ht="15" hidden="1" customHeight="1">
      <c r="A608" s="1" t="s">
        <v>1616</v>
      </c>
      <c r="B608" s="1" t="s">
        <v>919</v>
      </c>
      <c r="C608" s="1"/>
      <c r="D608" s="1">
        <v>1</v>
      </c>
      <c r="E608" s="1" t="s">
        <v>791</v>
      </c>
      <c r="F608" s="135"/>
      <c r="G608" s="90">
        <f t="shared" si="10"/>
        <v>0</v>
      </c>
      <c r="H608" s="61"/>
      <c r="I608" s="109" t="s">
        <v>1012</v>
      </c>
      <c r="J608" s="1"/>
    </row>
    <row r="609" spans="1:10" customFormat="1" ht="15" hidden="1" customHeight="1">
      <c r="A609" s="1" t="s">
        <v>1617</v>
      </c>
      <c r="B609" s="1" t="s">
        <v>919</v>
      </c>
      <c r="C609" s="1"/>
      <c r="D609" s="1">
        <v>6</v>
      </c>
      <c r="E609" s="1" t="s">
        <v>791</v>
      </c>
      <c r="F609" s="135"/>
      <c r="G609" s="90">
        <f t="shared" si="10"/>
        <v>0</v>
      </c>
      <c r="H609" s="61"/>
      <c r="I609" s="109" t="s">
        <v>1012</v>
      </c>
      <c r="J609" s="1"/>
    </row>
    <row r="610" spans="1:10" customFormat="1" ht="15" customHeight="1">
      <c r="A610" s="157" t="s">
        <v>1618</v>
      </c>
      <c r="B610" s="96" t="s">
        <v>919</v>
      </c>
      <c r="C610" s="1"/>
      <c r="D610" s="107">
        <f>8+8+3</f>
        <v>19</v>
      </c>
      <c r="E610" s="1" t="s">
        <v>791</v>
      </c>
      <c r="F610" s="159"/>
      <c r="G610" s="90">
        <f t="shared" si="10"/>
        <v>0</v>
      </c>
      <c r="H610" s="125">
        <v>46212</v>
      </c>
      <c r="I610" s="109"/>
      <c r="J610" s="1"/>
    </row>
    <row r="611" spans="1:10" customFormat="1" ht="15" customHeight="1">
      <c r="A611" s="157" t="s">
        <v>1619</v>
      </c>
      <c r="B611" s="96" t="s">
        <v>919</v>
      </c>
      <c r="C611" s="1"/>
      <c r="D611" s="107">
        <v>106</v>
      </c>
      <c r="E611" s="1" t="s">
        <v>791</v>
      </c>
      <c r="F611" s="159"/>
      <c r="G611" s="90">
        <f t="shared" si="10"/>
        <v>0</v>
      </c>
      <c r="H611" s="125">
        <v>46219</v>
      </c>
      <c r="I611" s="109"/>
      <c r="J611" s="1"/>
    </row>
    <row r="612" spans="1:10" customFormat="1" ht="15" customHeight="1">
      <c r="A612" s="157" t="s">
        <v>1620</v>
      </c>
      <c r="B612" s="96" t="s">
        <v>919</v>
      </c>
      <c r="C612" s="1"/>
      <c r="D612" s="107">
        <v>2</v>
      </c>
      <c r="E612" s="1" t="s">
        <v>791</v>
      </c>
      <c r="F612" s="159"/>
      <c r="G612" s="90">
        <f t="shared" ref="G612:G643" si="11">+D612*F612</f>
        <v>0</v>
      </c>
      <c r="H612" s="125">
        <v>46211</v>
      </c>
      <c r="I612" s="109"/>
      <c r="J612" s="1"/>
    </row>
    <row r="613" spans="1:10" customFormat="1" ht="15" hidden="1" customHeight="1">
      <c r="A613" s="221" t="s">
        <v>1621</v>
      </c>
      <c r="B613" s="96" t="s">
        <v>919</v>
      </c>
      <c r="C613" s="1"/>
      <c r="D613" s="108">
        <f>24</f>
        <v>24</v>
      </c>
      <c r="E613" s="1" t="s">
        <v>791</v>
      </c>
      <c r="F613" s="159">
        <v>809</v>
      </c>
      <c r="G613" s="90">
        <f t="shared" si="11"/>
        <v>19416</v>
      </c>
      <c r="H613" s="125">
        <v>46211</v>
      </c>
      <c r="I613" s="109" t="s">
        <v>927</v>
      </c>
      <c r="J613" s="1"/>
    </row>
    <row r="614" spans="1:10" customFormat="1" ht="15" hidden="1" customHeight="1">
      <c r="A614" s="157" t="s">
        <v>1622</v>
      </c>
      <c r="B614" s="96" t="s">
        <v>919</v>
      </c>
      <c r="C614" s="1"/>
      <c r="D614" s="96">
        <v>1</v>
      </c>
      <c r="E614" s="1" t="s">
        <v>791</v>
      </c>
      <c r="F614" s="134">
        <v>1800</v>
      </c>
      <c r="G614" s="90">
        <f t="shared" si="11"/>
        <v>1800</v>
      </c>
      <c r="H614" s="125">
        <v>46211</v>
      </c>
      <c r="I614" s="114" t="s">
        <v>1601</v>
      </c>
      <c r="J614" s="1"/>
    </row>
    <row r="615" spans="1:10" customFormat="1" ht="15" customHeight="1">
      <c r="A615" s="157" t="s">
        <v>1623</v>
      </c>
      <c r="B615" s="96" t="s">
        <v>919</v>
      </c>
      <c r="C615" s="1"/>
      <c r="D615" s="107">
        <v>4</v>
      </c>
      <c r="E615" s="1" t="s">
        <v>791</v>
      </c>
      <c r="F615" s="159"/>
      <c r="G615" s="90">
        <f t="shared" si="11"/>
        <v>0</v>
      </c>
      <c r="H615" s="125">
        <v>46211</v>
      </c>
      <c r="I615" s="109"/>
      <c r="J615" s="1"/>
    </row>
    <row r="616" spans="1:10" customFormat="1" ht="15" hidden="1" customHeight="1">
      <c r="A616" s="157" t="s">
        <v>1624</v>
      </c>
      <c r="B616" s="96" t="s">
        <v>919</v>
      </c>
      <c r="C616" s="1"/>
      <c r="D616" s="96">
        <v>111</v>
      </c>
      <c r="E616" s="1" t="s">
        <v>791</v>
      </c>
      <c r="F616" s="134">
        <v>1988</v>
      </c>
      <c r="G616" s="90">
        <f t="shared" si="11"/>
        <v>220668</v>
      </c>
      <c r="H616" s="125">
        <v>46211</v>
      </c>
      <c r="I616" s="114" t="s">
        <v>930</v>
      </c>
      <c r="J616" s="1"/>
    </row>
    <row r="617" spans="1:10" customFormat="1" ht="23.25" hidden="1" customHeight="1">
      <c r="A617" s="1" t="s">
        <v>1625</v>
      </c>
      <c r="B617" s="1" t="s">
        <v>13</v>
      </c>
      <c r="C617" s="1"/>
      <c r="D617" s="1">
        <v>3</v>
      </c>
      <c r="E617" s="1" t="s">
        <v>791</v>
      </c>
      <c r="F617" s="135"/>
      <c r="G617" s="90">
        <f t="shared" si="11"/>
        <v>0</v>
      </c>
      <c r="H617" s="61"/>
      <c r="I617" s="1"/>
      <c r="J617" s="1"/>
    </row>
    <row r="618" spans="1:10" customFormat="1" ht="23.25" hidden="1" customHeight="1">
      <c r="A618" s="1" t="s">
        <v>1626</v>
      </c>
      <c r="B618" s="1" t="s">
        <v>13</v>
      </c>
      <c r="C618" s="1"/>
      <c r="D618" s="1">
        <v>32</v>
      </c>
      <c r="E618" s="1" t="s">
        <v>791</v>
      </c>
      <c r="F618" s="135"/>
      <c r="G618" s="90">
        <f t="shared" si="11"/>
        <v>0</v>
      </c>
      <c r="H618" s="61"/>
      <c r="I618" s="1"/>
      <c r="J618" s="1"/>
    </row>
    <row r="619" spans="1:10" customFormat="1" ht="23.25" hidden="1" customHeight="1">
      <c r="A619" s="1" t="s">
        <v>1627</v>
      </c>
      <c r="B619" s="1" t="s">
        <v>13</v>
      </c>
      <c r="C619" s="1"/>
      <c r="D619" s="1">
        <v>6</v>
      </c>
      <c r="E619" s="1" t="s">
        <v>791</v>
      </c>
      <c r="F619" s="135"/>
      <c r="G619" s="90">
        <f t="shared" si="11"/>
        <v>0</v>
      </c>
      <c r="H619" s="61"/>
      <c r="I619" s="1"/>
      <c r="J619" s="1"/>
    </row>
    <row r="620" spans="1:10" customFormat="1" ht="18.600000000000001" hidden="1" customHeight="1">
      <c r="A620" s="1" t="s">
        <v>1628</v>
      </c>
      <c r="B620" s="1" t="s">
        <v>13</v>
      </c>
      <c r="C620" s="1"/>
      <c r="D620" s="1">
        <v>27</v>
      </c>
      <c r="E620" s="1" t="s">
        <v>791</v>
      </c>
      <c r="F620" s="135"/>
      <c r="G620" s="90">
        <f t="shared" si="11"/>
        <v>0</v>
      </c>
      <c r="H620" s="61"/>
      <c r="I620" s="1"/>
      <c r="J620" s="1"/>
    </row>
    <row r="621" spans="1:10" customFormat="1" ht="18.600000000000001" hidden="1" customHeight="1">
      <c r="A621" s="1" t="s">
        <v>1629</v>
      </c>
      <c r="B621" s="1" t="s">
        <v>13</v>
      </c>
      <c r="C621" s="1"/>
      <c r="D621" s="1">
        <v>21</v>
      </c>
      <c r="E621" s="1" t="s">
        <v>791</v>
      </c>
      <c r="F621" s="135"/>
      <c r="G621" s="90">
        <f t="shared" si="11"/>
        <v>0</v>
      </c>
      <c r="H621" s="61"/>
      <c r="I621" s="1"/>
      <c r="J621" s="1"/>
    </row>
    <row r="622" spans="1:10" customFormat="1" ht="18.600000000000001" hidden="1" customHeight="1">
      <c r="A622" s="1" t="s">
        <v>1630</v>
      </c>
      <c r="B622" s="1" t="s">
        <v>13</v>
      </c>
      <c r="C622" s="1"/>
      <c r="D622" s="1">
        <v>6</v>
      </c>
      <c r="E622" s="1" t="s">
        <v>791</v>
      </c>
      <c r="F622" s="135"/>
      <c r="G622" s="90">
        <f t="shared" si="11"/>
        <v>0</v>
      </c>
      <c r="H622" s="61"/>
      <c r="I622" s="1"/>
      <c r="J622" s="1"/>
    </row>
    <row r="623" spans="1:10" customFormat="1" ht="18.600000000000001" hidden="1" customHeight="1">
      <c r="A623" s="1" t="s">
        <v>1631</v>
      </c>
      <c r="B623" s="1" t="s">
        <v>13</v>
      </c>
      <c r="C623" s="1"/>
      <c r="D623" s="1">
        <v>6</v>
      </c>
      <c r="E623" s="1" t="s">
        <v>791</v>
      </c>
      <c r="F623" s="135"/>
      <c r="G623" s="90">
        <f t="shared" si="11"/>
        <v>0</v>
      </c>
      <c r="H623" s="61"/>
      <c r="I623" s="1"/>
    </row>
    <row r="624" spans="1:10" customFormat="1" ht="18.600000000000001" customHeight="1">
      <c r="A624" s="96" t="s">
        <v>1632</v>
      </c>
      <c r="B624" s="96" t="s">
        <v>13</v>
      </c>
      <c r="C624" s="1"/>
      <c r="D624" s="107">
        <v>23</v>
      </c>
      <c r="E624" s="1" t="s">
        <v>791</v>
      </c>
      <c r="F624" s="159"/>
      <c r="G624" s="90">
        <f t="shared" si="11"/>
        <v>0</v>
      </c>
      <c r="H624" s="125">
        <v>46219</v>
      </c>
      <c r="I624" s="1"/>
    </row>
    <row r="625" spans="1:10" ht="18.600000000000001" hidden="1" customHeight="1">
      <c r="A625" s="119" t="s">
        <v>1633</v>
      </c>
      <c r="B625" s="119" t="s">
        <v>13</v>
      </c>
      <c r="C625" s="119"/>
      <c r="D625" s="119">
        <v>3</v>
      </c>
      <c r="E625" s="119" t="s">
        <v>791</v>
      </c>
      <c r="F625" s="135"/>
      <c r="G625" s="133">
        <f t="shared" si="11"/>
        <v>0</v>
      </c>
      <c r="H625" s="160"/>
      <c r="I625" s="119"/>
      <c r="J625" s="119"/>
    </row>
    <row r="626" spans="1:10" ht="18.600000000000001" hidden="1" customHeight="1">
      <c r="A626" s="157" t="s">
        <v>1634</v>
      </c>
      <c r="B626" s="157" t="s">
        <v>13</v>
      </c>
      <c r="C626" s="210">
        <v>26</v>
      </c>
      <c r="D626" s="157">
        <v>6</v>
      </c>
      <c r="E626" s="119" t="s">
        <v>791</v>
      </c>
      <c r="F626" s="134">
        <v>6744.49</v>
      </c>
      <c r="G626" s="133">
        <f t="shared" si="11"/>
        <v>40466.94</v>
      </c>
      <c r="H626" s="158">
        <v>46219</v>
      </c>
      <c r="I626" s="119"/>
      <c r="J626" s="119"/>
    </row>
    <row r="627" spans="1:10" ht="15" hidden="1" customHeight="1">
      <c r="A627" s="119" t="s">
        <v>1635</v>
      </c>
      <c r="B627" s="119" t="s">
        <v>13</v>
      </c>
      <c r="C627" s="119"/>
      <c r="D627" s="119">
        <v>1</v>
      </c>
      <c r="E627" s="119" t="s">
        <v>791</v>
      </c>
      <c r="F627" s="135"/>
      <c r="G627" s="133">
        <f t="shared" si="11"/>
        <v>0</v>
      </c>
      <c r="H627" s="160"/>
      <c r="I627" s="119"/>
      <c r="J627" s="119"/>
    </row>
    <row r="628" spans="1:10" ht="15" customHeight="1">
      <c r="A628" s="157" t="s">
        <v>1636</v>
      </c>
      <c r="B628" s="157" t="s">
        <v>13</v>
      </c>
      <c r="C628" s="119"/>
      <c r="D628" s="207">
        <v>6</v>
      </c>
      <c r="E628" s="119" t="s">
        <v>791</v>
      </c>
      <c r="F628" s="159"/>
      <c r="G628" s="133">
        <f t="shared" si="11"/>
        <v>0</v>
      </c>
      <c r="H628" s="158">
        <v>46219</v>
      </c>
      <c r="I628" s="119"/>
      <c r="J628" s="119"/>
    </row>
    <row r="629" spans="1:10" customFormat="1" ht="15" hidden="1" customHeight="1">
      <c r="A629" s="9" t="s">
        <v>1637</v>
      </c>
      <c r="B629" s="1" t="s">
        <v>13</v>
      </c>
      <c r="C629" s="9"/>
      <c r="D629" s="9">
        <v>32</v>
      </c>
      <c r="E629" s="1" t="s">
        <v>791</v>
      </c>
      <c r="F629" s="135"/>
      <c r="G629" s="90">
        <f t="shared" si="11"/>
        <v>0</v>
      </c>
      <c r="H629" s="62"/>
      <c r="I629" s="1"/>
      <c r="J629" s="1"/>
    </row>
    <row r="630" spans="1:10" customFormat="1" ht="18.600000000000001" hidden="1" customHeight="1">
      <c r="A630" s="1" t="s">
        <v>1638</v>
      </c>
      <c r="B630" s="1" t="s">
        <v>13</v>
      </c>
      <c r="C630" s="1"/>
      <c r="D630" s="1">
        <v>20</v>
      </c>
      <c r="E630" s="1" t="s">
        <v>791</v>
      </c>
      <c r="F630" s="135"/>
      <c r="G630" s="90">
        <f t="shared" si="11"/>
        <v>0</v>
      </c>
      <c r="H630" s="61"/>
      <c r="I630" s="1"/>
      <c r="J630" s="1" t="s">
        <v>776</v>
      </c>
    </row>
    <row r="631" spans="1:10" customFormat="1" ht="15" hidden="1" customHeight="1">
      <c r="A631" s="13" t="s">
        <v>1639</v>
      </c>
      <c r="B631" s="1" t="s">
        <v>13</v>
      </c>
      <c r="C631" s="13"/>
      <c r="D631" s="13">
        <v>23</v>
      </c>
      <c r="E631" s="1" t="s">
        <v>791</v>
      </c>
      <c r="F631" s="135"/>
      <c r="G631" s="90">
        <f t="shared" si="11"/>
        <v>0</v>
      </c>
      <c r="H631" s="64"/>
      <c r="I631" s="1"/>
      <c r="J631" s="1"/>
    </row>
    <row r="632" spans="1:10" ht="15.75" hidden="1" customHeight="1">
      <c r="A632" s="1" t="s">
        <v>1640</v>
      </c>
      <c r="B632" s="1" t="s">
        <v>13</v>
      </c>
      <c r="C632" s="1"/>
      <c r="D632" s="1">
        <v>21</v>
      </c>
      <c r="E632" s="1" t="s">
        <v>791</v>
      </c>
      <c r="F632" s="135"/>
      <c r="G632" s="90">
        <f t="shared" si="11"/>
        <v>0</v>
      </c>
      <c r="H632" s="61"/>
      <c r="I632" s="1"/>
      <c r="J632" s="1"/>
    </row>
    <row r="633" spans="1:10" customFormat="1" ht="18.600000000000001" hidden="1" customHeight="1">
      <c r="A633" s="1" t="s">
        <v>1641</v>
      </c>
      <c r="B633" s="1" t="s">
        <v>13</v>
      </c>
      <c r="C633" s="1"/>
      <c r="D633" s="1">
        <v>27</v>
      </c>
      <c r="E633" s="1" t="s">
        <v>791</v>
      </c>
      <c r="F633" s="135"/>
      <c r="G633" s="90">
        <f t="shared" si="11"/>
        <v>0</v>
      </c>
      <c r="H633" s="61"/>
      <c r="I633" s="1"/>
      <c r="J633" s="1"/>
    </row>
    <row r="634" spans="1:10" customFormat="1" ht="18.600000000000001" hidden="1" customHeight="1">
      <c r="A634" s="1" t="s">
        <v>1642</v>
      </c>
      <c r="B634" s="1" t="s">
        <v>13</v>
      </c>
      <c r="C634" s="1"/>
      <c r="D634" s="1">
        <v>7</v>
      </c>
      <c r="E634" s="1" t="s">
        <v>791</v>
      </c>
      <c r="F634" s="135"/>
      <c r="G634" s="90">
        <f t="shared" si="11"/>
        <v>0</v>
      </c>
      <c r="H634" s="61"/>
      <c r="I634" s="1"/>
      <c r="J634" s="1"/>
    </row>
    <row r="635" spans="1:10" customFormat="1" ht="18.600000000000001" customHeight="1">
      <c r="A635" s="157" t="s">
        <v>1643</v>
      </c>
      <c r="B635" s="119" t="s">
        <v>13</v>
      </c>
      <c r="C635" s="119"/>
      <c r="D635" s="207">
        <v>4</v>
      </c>
      <c r="E635" s="1" t="s">
        <v>791</v>
      </c>
      <c r="F635" s="159"/>
      <c r="G635" s="90">
        <f t="shared" si="11"/>
        <v>0</v>
      </c>
      <c r="H635" s="158">
        <v>46154</v>
      </c>
      <c r="I635" s="119"/>
      <c r="J635" s="119"/>
    </row>
    <row r="636" spans="1:10" ht="18.600000000000001" customHeight="1">
      <c r="A636" s="157" t="s">
        <v>1644</v>
      </c>
      <c r="B636" s="157" t="s">
        <v>13</v>
      </c>
      <c r="C636" s="119"/>
      <c r="D636" s="207">
        <v>10</v>
      </c>
      <c r="E636" s="119"/>
      <c r="F636" s="223"/>
      <c r="G636" s="133">
        <f t="shared" si="11"/>
        <v>0</v>
      </c>
      <c r="H636" s="158">
        <v>46219</v>
      </c>
      <c r="I636" s="119"/>
      <c r="J636" s="119"/>
    </row>
    <row r="637" spans="1:10" ht="26.45" customHeight="1">
      <c r="A637" s="157" t="s">
        <v>1645</v>
      </c>
      <c r="B637" s="157" t="s">
        <v>13</v>
      </c>
      <c r="C637" s="210">
        <v>28</v>
      </c>
      <c r="D637" s="207">
        <v>15</v>
      </c>
      <c r="E637" s="119" t="s">
        <v>791</v>
      </c>
      <c r="F637" s="159"/>
      <c r="G637" s="133">
        <f t="shared" si="11"/>
        <v>0</v>
      </c>
      <c r="H637" s="158">
        <v>46219</v>
      </c>
      <c r="I637" s="119"/>
      <c r="J637" s="119"/>
    </row>
    <row r="638" spans="1:10" hidden="1">
      <c r="A638" s="1" t="s">
        <v>1646</v>
      </c>
      <c r="B638" s="1" t="s">
        <v>13</v>
      </c>
      <c r="C638" s="1"/>
      <c r="D638" s="1">
        <v>32</v>
      </c>
      <c r="E638" s="1" t="s">
        <v>791</v>
      </c>
      <c r="F638" s="135"/>
      <c r="G638" s="90">
        <f t="shared" si="11"/>
        <v>0</v>
      </c>
      <c r="H638" s="61"/>
      <c r="I638" s="1"/>
      <c r="J638" s="1"/>
    </row>
    <row r="639" spans="1:10" customFormat="1" ht="18.600000000000001" hidden="1" customHeight="1">
      <c r="A639" s="1" t="s">
        <v>1647</v>
      </c>
      <c r="B639" s="1" t="s">
        <v>13</v>
      </c>
      <c r="C639" s="1"/>
      <c r="D639" s="1">
        <v>38</v>
      </c>
      <c r="E639" s="1" t="s">
        <v>791</v>
      </c>
      <c r="F639" s="135"/>
      <c r="G639" s="90">
        <f t="shared" si="11"/>
        <v>0</v>
      </c>
      <c r="H639" s="61"/>
      <c r="I639" s="1"/>
      <c r="J639" s="1"/>
    </row>
    <row r="640" spans="1:10" customFormat="1" ht="18.600000000000001" hidden="1" customHeight="1">
      <c r="A640" s="1" t="s">
        <v>1648</v>
      </c>
      <c r="B640" s="1" t="s">
        <v>13</v>
      </c>
      <c r="C640" s="1"/>
      <c r="D640" s="1">
        <v>3</v>
      </c>
      <c r="E640" s="1" t="s">
        <v>791</v>
      </c>
      <c r="F640" s="135"/>
      <c r="G640" s="90">
        <f t="shared" si="11"/>
        <v>0</v>
      </c>
      <c r="H640" s="61"/>
      <c r="I640" s="1"/>
      <c r="J640" s="1"/>
    </row>
    <row r="641" spans="1:10" customFormat="1" hidden="1">
      <c r="A641" s="1" t="s">
        <v>1649</v>
      </c>
      <c r="B641" s="1" t="s">
        <v>13</v>
      </c>
      <c r="C641" s="1"/>
      <c r="D641" s="1">
        <v>39</v>
      </c>
      <c r="E641" s="1" t="s">
        <v>791</v>
      </c>
      <c r="F641" s="135"/>
      <c r="G641" s="90">
        <f t="shared" si="11"/>
        <v>0</v>
      </c>
      <c r="H641" s="61"/>
      <c r="I641" s="1"/>
      <c r="J641" s="1"/>
    </row>
    <row r="642" spans="1:10" customFormat="1" ht="18.600000000000001" hidden="1" customHeight="1">
      <c r="A642" s="1" t="s">
        <v>1650</v>
      </c>
      <c r="B642" s="1" t="s">
        <v>13</v>
      </c>
      <c r="C642" s="123"/>
      <c r="D642" s="123">
        <v>1</v>
      </c>
      <c r="E642" s="1" t="s">
        <v>791</v>
      </c>
      <c r="F642" s="135"/>
      <c r="G642" s="90">
        <f t="shared" si="11"/>
        <v>0</v>
      </c>
      <c r="H642" s="128"/>
      <c r="I642" s="123"/>
      <c r="J642" s="1"/>
    </row>
    <row r="643" spans="1:10" customFormat="1" ht="18.600000000000001" hidden="1" customHeight="1">
      <c r="A643" s="1" t="s">
        <v>1651</v>
      </c>
      <c r="B643" s="1" t="s">
        <v>13</v>
      </c>
      <c r="C643" s="1"/>
      <c r="D643" s="1">
        <v>6</v>
      </c>
      <c r="E643" s="1" t="s">
        <v>791</v>
      </c>
      <c r="F643" s="135"/>
      <c r="G643" s="90">
        <f t="shared" si="11"/>
        <v>0</v>
      </c>
      <c r="H643" s="61"/>
      <c r="I643" s="1"/>
      <c r="J643" s="1"/>
    </row>
    <row r="644" spans="1:10" customFormat="1" ht="18.600000000000001" hidden="1" customHeight="1">
      <c r="A644" s="1" t="s">
        <v>1652</v>
      </c>
      <c r="B644" s="1" t="s">
        <v>13</v>
      </c>
      <c r="C644" s="123"/>
      <c r="D644" s="123">
        <v>3</v>
      </c>
      <c r="E644" s="1" t="s">
        <v>791</v>
      </c>
      <c r="F644" s="135"/>
      <c r="G644" s="90">
        <f t="shared" ref="G644:G675" si="12">+D644*F644</f>
        <v>0</v>
      </c>
      <c r="H644" s="128"/>
      <c r="I644" s="123"/>
      <c r="J644" s="1"/>
    </row>
    <row r="645" spans="1:10" customFormat="1" ht="18.600000000000001" hidden="1" customHeight="1">
      <c r="A645" s="1" t="s">
        <v>1653</v>
      </c>
      <c r="B645" s="1" t="s">
        <v>13</v>
      </c>
      <c r="C645" s="123"/>
      <c r="D645" s="123">
        <v>6</v>
      </c>
      <c r="E645" s="1" t="s">
        <v>791</v>
      </c>
      <c r="F645" s="135"/>
      <c r="G645" s="90">
        <f t="shared" si="12"/>
        <v>0</v>
      </c>
      <c r="H645" s="128"/>
      <c r="I645" s="123"/>
      <c r="J645" s="1"/>
    </row>
    <row r="646" spans="1:10" customFormat="1" ht="18.600000000000001" hidden="1" customHeight="1">
      <c r="A646" s="1" t="s">
        <v>1654</v>
      </c>
      <c r="B646" s="1" t="s">
        <v>13</v>
      </c>
      <c r="C646" s="123"/>
      <c r="D646" s="123">
        <v>3</v>
      </c>
      <c r="E646" s="1" t="s">
        <v>791</v>
      </c>
      <c r="F646" s="135"/>
      <c r="G646" s="90">
        <f t="shared" si="12"/>
        <v>0</v>
      </c>
      <c r="H646" s="128"/>
      <c r="I646" s="123"/>
      <c r="J646" s="1"/>
    </row>
    <row r="647" spans="1:10" customFormat="1" ht="18.600000000000001" hidden="1" customHeight="1">
      <c r="A647" s="1" t="s">
        <v>1655</v>
      </c>
      <c r="B647" s="1" t="s">
        <v>13</v>
      </c>
      <c r="C647" s="1"/>
      <c r="D647" s="1">
        <v>6</v>
      </c>
      <c r="E647" s="1" t="s">
        <v>791</v>
      </c>
      <c r="F647" s="135"/>
      <c r="G647" s="90">
        <f t="shared" si="12"/>
        <v>0</v>
      </c>
      <c r="H647" s="61"/>
      <c r="I647" s="1"/>
      <c r="J647" s="1"/>
    </row>
    <row r="648" spans="1:10" customFormat="1" ht="18.600000000000001" hidden="1" customHeight="1">
      <c r="A648" s="1" t="s">
        <v>1656</v>
      </c>
      <c r="B648" s="1" t="s">
        <v>13</v>
      </c>
      <c r="C648" s="1"/>
      <c r="D648" s="1">
        <v>1</v>
      </c>
      <c r="E648" s="1" t="s">
        <v>791</v>
      </c>
      <c r="F648" s="135"/>
      <c r="G648" s="90">
        <f t="shared" si="12"/>
        <v>0</v>
      </c>
      <c r="H648" s="61"/>
      <c r="I648" s="1"/>
      <c r="J648" s="1"/>
    </row>
    <row r="649" spans="1:10" customFormat="1" hidden="1">
      <c r="A649" s="1" t="s">
        <v>1657</v>
      </c>
      <c r="B649" s="1" t="s">
        <v>13</v>
      </c>
      <c r="C649" s="123"/>
      <c r="D649" s="123">
        <v>4</v>
      </c>
      <c r="E649" s="1" t="s">
        <v>791</v>
      </c>
      <c r="F649" s="135">
        <v>5849.53</v>
      </c>
      <c r="G649" s="90">
        <f t="shared" si="12"/>
        <v>23398.12</v>
      </c>
      <c r="H649" s="128"/>
      <c r="I649" s="123"/>
      <c r="J649" s="1"/>
    </row>
    <row r="650" spans="1:10" ht="18.600000000000001" hidden="1" customHeight="1">
      <c r="A650" s="1" t="s">
        <v>1658</v>
      </c>
      <c r="B650" s="1" t="s">
        <v>13</v>
      </c>
      <c r="C650" s="1"/>
      <c r="D650" s="1">
        <v>1</v>
      </c>
      <c r="E650" s="1" t="s">
        <v>791</v>
      </c>
      <c r="F650" s="135"/>
      <c r="G650" s="90">
        <f t="shared" si="12"/>
        <v>0</v>
      </c>
      <c r="H650" s="61"/>
      <c r="I650" s="1"/>
      <c r="J650" s="1"/>
    </row>
    <row r="651" spans="1:10" customFormat="1" ht="18.600000000000001" hidden="1" customHeight="1">
      <c r="A651" s="1" t="s">
        <v>1659</v>
      </c>
      <c r="B651" s="1" t="s">
        <v>13</v>
      </c>
      <c r="C651" s="1"/>
      <c r="D651" s="1">
        <v>1</v>
      </c>
      <c r="E651" s="1" t="s">
        <v>791</v>
      </c>
      <c r="F651" s="135"/>
      <c r="G651" s="90">
        <f t="shared" si="12"/>
        <v>0</v>
      </c>
      <c r="H651" s="61"/>
      <c r="I651" s="1"/>
      <c r="J651" s="1"/>
    </row>
    <row r="652" spans="1:10" customFormat="1" ht="18.600000000000001" hidden="1" customHeight="1">
      <c r="A652" s="1" t="s">
        <v>1660</v>
      </c>
      <c r="B652" s="1" t="s">
        <v>13</v>
      </c>
      <c r="C652" s="1"/>
      <c r="D652" s="1">
        <v>1</v>
      </c>
      <c r="E652" s="1" t="s">
        <v>791</v>
      </c>
      <c r="F652" s="135"/>
      <c r="G652" s="90">
        <f t="shared" si="12"/>
        <v>0</v>
      </c>
      <c r="H652" s="61"/>
      <c r="I652" s="1"/>
      <c r="J652" s="1"/>
    </row>
    <row r="653" spans="1:10" customFormat="1" ht="18.600000000000001" hidden="1" customHeight="1">
      <c r="A653" s="1" t="s">
        <v>1661</v>
      </c>
      <c r="B653" s="1" t="s">
        <v>13</v>
      </c>
      <c r="C653" s="123"/>
      <c r="D653" s="123">
        <v>2</v>
      </c>
      <c r="E653" s="1" t="s">
        <v>791</v>
      </c>
      <c r="F653" s="135"/>
      <c r="G653" s="90">
        <f t="shared" si="12"/>
        <v>0</v>
      </c>
      <c r="H653" s="128"/>
      <c r="I653" s="123"/>
      <c r="J653" s="1"/>
    </row>
    <row r="654" spans="1:10" customFormat="1" hidden="1">
      <c r="A654" s="1" t="s">
        <v>1662</v>
      </c>
      <c r="B654" s="1" t="s">
        <v>13</v>
      </c>
      <c r="C654" s="1"/>
      <c r="D654" s="1">
        <v>1</v>
      </c>
      <c r="E654" s="1" t="s">
        <v>791</v>
      </c>
      <c r="F654" s="135"/>
      <c r="G654" s="90">
        <f t="shared" si="12"/>
        <v>0</v>
      </c>
      <c r="H654" s="61"/>
      <c r="I654" s="1"/>
      <c r="J654" s="1"/>
    </row>
    <row r="655" spans="1:10" ht="18.600000000000001" hidden="1" customHeight="1">
      <c r="A655" s="1" t="s">
        <v>1663</v>
      </c>
      <c r="B655" s="1" t="s">
        <v>13</v>
      </c>
      <c r="C655" s="123"/>
      <c r="D655" s="123">
        <v>5</v>
      </c>
      <c r="E655" s="1" t="s">
        <v>791</v>
      </c>
      <c r="F655" s="135"/>
      <c r="G655" s="90">
        <f t="shared" si="12"/>
        <v>0</v>
      </c>
      <c r="H655" s="128"/>
      <c r="I655" s="1" t="s">
        <v>1553</v>
      </c>
      <c r="J655" s="1"/>
    </row>
    <row r="656" spans="1:10" ht="18.600000000000001" hidden="1" customHeight="1">
      <c r="A656" s="1" t="s">
        <v>1664</v>
      </c>
      <c r="B656" s="1" t="s">
        <v>13</v>
      </c>
      <c r="C656" s="1"/>
      <c r="D656" s="1">
        <v>2</v>
      </c>
      <c r="E656" s="1" t="s">
        <v>791</v>
      </c>
      <c r="F656" s="135"/>
      <c r="G656" s="90">
        <f t="shared" si="12"/>
        <v>0</v>
      </c>
      <c r="H656" s="61"/>
      <c r="I656" s="1"/>
      <c r="J656" s="1"/>
    </row>
    <row r="657" spans="1:10" customFormat="1" ht="18.600000000000001" hidden="1" customHeight="1">
      <c r="A657" s="1" t="s">
        <v>1665</v>
      </c>
      <c r="B657" s="1" t="s">
        <v>13</v>
      </c>
      <c r="C657" s="123"/>
      <c r="D657" s="123">
        <v>11</v>
      </c>
      <c r="E657" s="1" t="s">
        <v>791</v>
      </c>
      <c r="F657" s="135"/>
      <c r="G657" s="90">
        <f t="shared" si="12"/>
        <v>0</v>
      </c>
      <c r="H657" s="61"/>
      <c r="I657" s="1"/>
      <c r="J657" s="1"/>
    </row>
    <row r="658" spans="1:10" customFormat="1" ht="18.600000000000001" hidden="1" customHeight="1">
      <c r="A658" s="1" t="s">
        <v>1666</v>
      </c>
      <c r="B658" s="1" t="s">
        <v>13</v>
      </c>
      <c r="C658" s="123"/>
      <c r="D658" s="123">
        <v>5</v>
      </c>
      <c r="E658" s="1" t="s">
        <v>791</v>
      </c>
      <c r="F658" s="135">
        <v>237</v>
      </c>
      <c r="G658" s="90">
        <f t="shared" si="12"/>
        <v>1185</v>
      </c>
      <c r="H658" s="128"/>
      <c r="I658" s="123"/>
      <c r="J658" s="1"/>
    </row>
    <row r="659" spans="1:10" customFormat="1" hidden="1">
      <c r="A659" s="1" t="s">
        <v>1667</v>
      </c>
      <c r="B659" s="1" t="s">
        <v>13</v>
      </c>
      <c r="C659" s="123"/>
      <c r="D659" s="123">
        <v>25</v>
      </c>
      <c r="E659" s="1" t="s">
        <v>791</v>
      </c>
      <c r="F659" s="135"/>
      <c r="G659" s="90">
        <f t="shared" si="12"/>
        <v>0</v>
      </c>
      <c r="H659" s="128"/>
      <c r="I659" s="123"/>
    </row>
    <row r="660" spans="1:10" customFormat="1" hidden="1">
      <c r="A660" s="1" t="s">
        <v>1668</v>
      </c>
      <c r="B660" s="1" t="s">
        <v>13</v>
      </c>
      <c r="C660" s="123"/>
      <c r="D660" s="123">
        <v>7</v>
      </c>
      <c r="E660" s="1" t="s">
        <v>791</v>
      </c>
      <c r="F660" s="135"/>
      <c r="G660" s="90">
        <f t="shared" si="12"/>
        <v>0</v>
      </c>
      <c r="H660" s="128"/>
      <c r="I660" s="123"/>
      <c r="J660" s="1"/>
    </row>
    <row r="661" spans="1:10" customFormat="1">
      <c r="A661" s="96" t="s">
        <v>1669</v>
      </c>
      <c r="B661" s="96" t="s">
        <v>13</v>
      </c>
      <c r="C661" s="123"/>
      <c r="D661" s="107">
        <v>1</v>
      </c>
      <c r="E661" s="1" t="s">
        <v>791</v>
      </c>
      <c r="F661" s="223"/>
      <c r="G661" s="90">
        <f t="shared" si="12"/>
        <v>0</v>
      </c>
      <c r="H661" s="253">
        <v>46219</v>
      </c>
      <c r="I661" s="123"/>
      <c r="J661" s="1"/>
    </row>
    <row r="662" spans="1:10" customFormat="1" hidden="1">
      <c r="A662" s="1" t="s">
        <v>1670</v>
      </c>
      <c r="B662" s="1" t="s">
        <v>13</v>
      </c>
      <c r="C662" s="1"/>
      <c r="D662" s="1">
        <v>1</v>
      </c>
      <c r="E662" s="1" t="s">
        <v>791</v>
      </c>
      <c r="F662" s="135"/>
      <c r="G662" s="90">
        <f t="shared" si="12"/>
        <v>0</v>
      </c>
      <c r="H662" s="61"/>
      <c r="I662" s="1"/>
      <c r="J662" s="1"/>
    </row>
    <row r="663" spans="1:10" customFormat="1">
      <c r="A663" s="96" t="s">
        <v>1671</v>
      </c>
      <c r="B663" s="96" t="s">
        <v>13</v>
      </c>
      <c r="C663" s="1"/>
      <c r="D663" s="107">
        <v>1</v>
      </c>
      <c r="E663" s="1" t="s">
        <v>791</v>
      </c>
      <c r="F663" s="223"/>
      <c r="G663" s="90">
        <f t="shared" si="12"/>
        <v>0</v>
      </c>
      <c r="H663" s="125">
        <v>46219</v>
      </c>
      <c r="I663" s="1"/>
      <c r="J663" s="1"/>
    </row>
    <row r="664" spans="1:10" customFormat="1">
      <c r="A664" s="96" t="s">
        <v>1672</v>
      </c>
      <c r="B664" s="96" t="s">
        <v>13</v>
      </c>
      <c r="C664" s="1"/>
      <c r="D664" s="107">
        <v>1</v>
      </c>
      <c r="E664" s="1" t="s">
        <v>791</v>
      </c>
      <c r="F664" s="159"/>
      <c r="G664" s="90">
        <f t="shared" si="12"/>
        <v>0</v>
      </c>
      <c r="H664" s="125">
        <v>46219</v>
      </c>
      <c r="I664" s="1"/>
      <c r="J664" s="1"/>
    </row>
    <row r="665" spans="1:10" customFormat="1" hidden="1">
      <c r="A665" s="1" t="s">
        <v>1673</v>
      </c>
      <c r="B665" s="1" t="s">
        <v>13</v>
      </c>
      <c r="C665" s="1"/>
      <c r="D665" s="1">
        <v>8</v>
      </c>
      <c r="E665" s="1" t="s">
        <v>791</v>
      </c>
      <c r="F665" s="135"/>
      <c r="G665" s="90">
        <f t="shared" si="12"/>
        <v>0</v>
      </c>
      <c r="H665" s="61"/>
      <c r="I665" s="1"/>
    </row>
    <row r="666" spans="1:10" customFormat="1">
      <c r="A666" s="96" t="s">
        <v>1674</v>
      </c>
      <c r="B666" s="96" t="s">
        <v>13</v>
      </c>
      <c r="C666" s="1"/>
      <c r="D666" s="107">
        <v>10</v>
      </c>
      <c r="E666" s="1" t="s">
        <v>791</v>
      </c>
      <c r="F666" s="159"/>
      <c r="G666" s="90">
        <f t="shared" si="12"/>
        <v>0</v>
      </c>
      <c r="H666" s="125">
        <v>46219</v>
      </c>
      <c r="I666" s="1"/>
      <c r="J666" s="1"/>
    </row>
    <row r="667" spans="1:10" customFormat="1">
      <c r="A667" s="96" t="s">
        <v>1675</v>
      </c>
      <c r="B667" s="96" t="s">
        <v>13</v>
      </c>
      <c r="C667" s="1"/>
      <c r="D667" s="107">
        <f>31+2</f>
        <v>33</v>
      </c>
      <c r="E667" s="1" t="s">
        <v>791</v>
      </c>
      <c r="F667" s="159"/>
      <c r="G667" s="90">
        <f t="shared" si="12"/>
        <v>0</v>
      </c>
      <c r="H667" s="125">
        <v>46219</v>
      </c>
      <c r="I667" s="1"/>
    </row>
    <row r="668" spans="1:10" customFormat="1" hidden="1">
      <c r="A668" s="1" t="s">
        <v>1676</v>
      </c>
      <c r="B668" s="1" t="s">
        <v>915</v>
      </c>
      <c r="C668" s="1"/>
      <c r="D668" s="1">
        <v>1</v>
      </c>
      <c r="E668" s="1" t="s">
        <v>791</v>
      </c>
      <c r="F668" s="135"/>
      <c r="G668" s="90">
        <f t="shared" si="12"/>
        <v>0</v>
      </c>
      <c r="H668" s="61"/>
      <c r="I668" s="1"/>
      <c r="J668" s="1"/>
    </row>
    <row r="669" spans="1:10" customFormat="1" hidden="1">
      <c r="A669" s="1" t="s">
        <v>1677</v>
      </c>
      <c r="B669" s="1" t="s">
        <v>915</v>
      </c>
      <c r="C669" s="1"/>
      <c r="D669" s="1">
        <v>1</v>
      </c>
      <c r="E669" s="1" t="s">
        <v>791</v>
      </c>
      <c r="F669" s="135"/>
      <c r="G669" s="90">
        <f t="shared" si="12"/>
        <v>0</v>
      </c>
      <c r="H669" s="61"/>
      <c r="I669" s="1"/>
    </row>
    <row r="670" spans="1:10" customFormat="1" hidden="1">
      <c r="A670" s="1" t="s">
        <v>1678</v>
      </c>
      <c r="B670" s="1" t="s">
        <v>915</v>
      </c>
      <c r="C670" s="1"/>
      <c r="D670" s="1">
        <v>24</v>
      </c>
      <c r="E670" s="1" t="s">
        <v>791</v>
      </c>
      <c r="F670" s="135"/>
      <c r="G670" s="90">
        <f t="shared" si="12"/>
        <v>0</v>
      </c>
      <c r="H670" s="61"/>
      <c r="I670" s="1"/>
    </row>
    <row r="671" spans="1:10" customFormat="1" hidden="1">
      <c r="A671" s="1" t="s">
        <v>1679</v>
      </c>
      <c r="B671" s="1" t="s">
        <v>915</v>
      </c>
      <c r="C671" s="1"/>
      <c r="D671" s="1">
        <v>4</v>
      </c>
      <c r="E671" s="1" t="s">
        <v>791</v>
      </c>
      <c r="F671" s="135"/>
      <c r="G671" s="90">
        <f t="shared" si="12"/>
        <v>0</v>
      </c>
      <c r="H671" s="61"/>
      <c r="I671" s="1"/>
      <c r="J671" s="1"/>
    </row>
    <row r="672" spans="1:10" customFormat="1" hidden="1">
      <c r="A672" s="1" t="s">
        <v>1680</v>
      </c>
      <c r="B672" s="1" t="s">
        <v>915</v>
      </c>
      <c r="C672" s="1"/>
      <c r="D672" s="1">
        <v>6</v>
      </c>
      <c r="E672" s="1" t="s">
        <v>791</v>
      </c>
      <c r="F672" s="135">
        <v>233</v>
      </c>
      <c r="G672" s="90">
        <f t="shared" si="12"/>
        <v>1398</v>
      </c>
      <c r="H672" s="61"/>
      <c r="I672" s="1" t="s">
        <v>1587</v>
      </c>
      <c r="J672" s="1"/>
    </row>
    <row r="673" spans="1:10" customFormat="1" hidden="1">
      <c r="A673" s="1" t="s">
        <v>1681</v>
      </c>
      <c r="B673" s="1" t="s">
        <v>915</v>
      </c>
      <c r="C673" s="1"/>
      <c r="D673" s="1">
        <v>5</v>
      </c>
      <c r="E673" s="1" t="s">
        <v>791</v>
      </c>
      <c r="F673" s="135"/>
      <c r="G673" s="90">
        <f t="shared" si="12"/>
        <v>0</v>
      </c>
      <c r="H673" s="61"/>
      <c r="I673" s="1"/>
    </row>
    <row r="674" spans="1:10" customFormat="1">
      <c r="A674" s="157" t="s">
        <v>1682</v>
      </c>
      <c r="B674" s="119" t="s">
        <v>915</v>
      </c>
      <c r="C674" s="119"/>
      <c r="D674" s="207">
        <v>1</v>
      </c>
      <c r="E674" s="1" t="s">
        <v>791</v>
      </c>
      <c r="F674" s="159"/>
      <c r="G674" s="133">
        <f t="shared" si="12"/>
        <v>0</v>
      </c>
      <c r="H674" s="158">
        <v>46154</v>
      </c>
      <c r="I674" s="210"/>
      <c r="J674" s="118"/>
    </row>
    <row r="675" spans="1:10" customFormat="1" hidden="1">
      <c r="A675" s="1" t="s">
        <v>1683</v>
      </c>
      <c r="B675" s="1" t="s">
        <v>915</v>
      </c>
      <c r="C675" s="1"/>
      <c r="D675" s="1">
        <v>14</v>
      </c>
      <c r="E675" s="1" t="s">
        <v>791</v>
      </c>
      <c r="F675" s="135"/>
      <c r="G675" s="90">
        <f t="shared" si="12"/>
        <v>0</v>
      </c>
      <c r="H675" s="61"/>
      <c r="I675" s="1"/>
      <c r="J675" s="1"/>
    </row>
    <row r="676" spans="1:10" customFormat="1" hidden="1">
      <c r="A676" s="1" t="s">
        <v>1684</v>
      </c>
      <c r="B676" s="1" t="s">
        <v>919</v>
      </c>
      <c r="C676" s="1"/>
      <c r="D676" s="1">
        <v>1</v>
      </c>
      <c r="E676" s="1" t="s">
        <v>791</v>
      </c>
      <c r="F676" s="135"/>
      <c r="G676" s="90">
        <f t="shared" ref="G676:G707" si="13">+D676*F676</f>
        <v>0</v>
      </c>
      <c r="H676" s="61"/>
      <c r="I676" s="1"/>
      <c r="J676" s="1"/>
    </row>
    <row r="677" spans="1:10" customFormat="1" hidden="1">
      <c r="A677" s="1" t="s">
        <v>1685</v>
      </c>
      <c r="B677" s="1" t="s">
        <v>919</v>
      </c>
      <c r="C677" s="1"/>
      <c r="D677" s="1">
        <v>60</v>
      </c>
      <c r="E677" s="1" t="s">
        <v>791</v>
      </c>
      <c r="F677" s="135">
        <v>233.2</v>
      </c>
      <c r="G677" s="90">
        <f t="shared" si="13"/>
        <v>13992</v>
      </c>
      <c r="H677" s="61"/>
      <c r="I677" s="1" t="s">
        <v>1587</v>
      </c>
      <c r="J677" s="1"/>
    </row>
    <row r="678" spans="1:10" customFormat="1" hidden="1">
      <c r="A678" s="96" t="s">
        <v>1686</v>
      </c>
      <c r="B678" s="96" t="s">
        <v>919</v>
      </c>
      <c r="C678" s="1"/>
      <c r="D678" s="96">
        <v>32</v>
      </c>
      <c r="E678" s="1" t="s">
        <v>791</v>
      </c>
      <c r="F678" s="134">
        <v>2703</v>
      </c>
      <c r="G678" s="90">
        <f t="shared" si="13"/>
        <v>86496</v>
      </c>
      <c r="H678" s="125">
        <v>46212</v>
      </c>
      <c r="I678" s="114" t="s">
        <v>933</v>
      </c>
      <c r="J678" s="1"/>
    </row>
    <row r="679" spans="1:10" hidden="1">
      <c r="A679" s="1" t="s">
        <v>1687</v>
      </c>
      <c r="B679" s="1" t="s">
        <v>919</v>
      </c>
      <c r="C679" s="1"/>
      <c r="D679" s="1">
        <v>1</v>
      </c>
      <c r="E679" s="1" t="s">
        <v>791</v>
      </c>
      <c r="F679" s="135"/>
      <c r="G679" s="90">
        <f t="shared" si="13"/>
        <v>0</v>
      </c>
      <c r="H679" s="61"/>
      <c r="I679" s="1"/>
      <c r="J679" s="1"/>
    </row>
    <row r="680" spans="1:10" hidden="1">
      <c r="A680" s="1" t="s">
        <v>1688</v>
      </c>
      <c r="B680" s="1" t="s">
        <v>919</v>
      </c>
      <c r="C680" s="1"/>
      <c r="D680" s="1">
        <v>1</v>
      </c>
      <c r="E680" s="1" t="s">
        <v>791</v>
      </c>
      <c r="F680" s="135"/>
      <c r="G680" s="90">
        <f t="shared" si="13"/>
        <v>0</v>
      </c>
      <c r="H680" s="61"/>
      <c r="I680" s="1"/>
      <c r="J680" s="1"/>
    </row>
    <row r="681" spans="1:10">
      <c r="A681" s="96" t="s">
        <v>1689</v>
      </c>
      <c r="B681" s="96" t="s">
        <v>13</v>
      </c>
      <c r="C681" s="1"/>
      <c r="D681" s="107">
        <v>2</v>
      </c>
      <c r="E681" s="1" t="s">
        <v>791</v>
      </c>
      <c r="F681" s="223"/>
      <c r="G681" s="90">
        <f t="shared" si="13"/>
        <v>0</v>
      </c>
      <c r="H681" s="125">
        <v>46219</v>
      </c>
      <c r="I681" s="1"/>
      <c r="J681" s="1"/>
    </row>
    <row r="682" spans="1:10" customFormat="1">
      <c r="A682" s="157" t="s">
        <v>1690</v>
      </c>
      <c r="B682" s="96" t="s">
        <v>13</v>
      </c>
      <c r="C682" s="1"/>
      <c r="D682" s="107">
        <v>2</v>
      </c>
      <c r="E682" s="1" t="s">
        <v>791</v>
      </c>
      <c r="F682" s="223"/>
      <c r="G682" s="90">
        <f t="shared" si="13"/>
        <v>0</v>
      </c>
      <c r="H682" s="125">
        <v>46219</v>
      </c>
      <c r="I682" s="109"/>
      <c r="J682" s="1"/>
    </row>
    <row r="683" spans="1:10" customFormat="1">
      <c r="A683" s="96" t="s">
        <v>1691</v>
      </c>
      <c r="B683" s="96" t="s">
        <v>13</v>
      </c>
      <c r="C683" s="1"/>
      <c r="D683" s="107">
        <v>9</v>
      </c>
      <c r="E683" s="1" t="s">
        <v>791</v>
      </c>
      <c r="F683" s="159"/>
      <c r="G683" s="90">
        <f t="shared" si="13"/>
        <v>0</v>
      </c>
      <c r="H683" s="125">
        <v>46217</v>
      </c>
      <c r="I683" s="1"/>
      <c r="J683" s="1"/>
    </row>
    <row r="684" spans="1:10" customFormat="1">
      <c r="A684" s="96" t="s">
        <v>1692</v>
      </c>
      <c r="B684" s="96" t="s">
        <v>13</v>
      </c>
      <c r="C684" s="1"/>
      <c r="D684" s="107">
        <v>68</v>
      </c>
      <c r="E684" s="1" t="s">
        <v>791</v>
      </c>
      <c r="F684" s="223"/>
      <c r="G684" s="90">
        <f t="shared" si="13"/>
        <v>0</v>
      </c>
      <c r="H684" s="125">
        <v>46217</v>
      </c>
      <c r="I684" s="1"/>
      <c r="J684" s="1"/>
    </row>
    <row r="685" spans="1:10" customFormat="1" hidden="1">
      <c r="A685" s="1" t="s">
        <v>1693</v>
      </c>
      <c r="B685" s="1" t="s">
        <v>13</v>
      </c>
      <c r="C685" s="1"/>
      <c r="D685" s="1">
        <v>6</v>
      </c>
      <c r="E685" s="1" t="s">
        <v>791</v>
      </c>
      <c r="F685" s="135"/>
      <c r="G685" s="90">
        <f t="shared" si="13"/>
        <v>0</v>
      </c>
      <c r="H685" s="61"/>
      <c r="I685" s="1"/>
      <c r="J685" s="1"/>
    </row>
    <row r="686" spans="1:10">
      <c r="A686" s="157" t="s">
        <v>1694</v>
      </c>
      <c r="B686" s="157" t="s">
        <v>13</v>
      </c>
      <c r="C686" s="119"/>
      <c r="D686" s="207">
        <v>20</v>
      </c>
      <c r="E686" s="119" t="s">
        <v>791</v>
      </c>
      <c r="F686" s="223"/>
      <c r="G686" s="133">
        <f t="shared" si="13"/>
        <v>0</v>
      </c>
      <c r="H686" s="158">
        <v>46219</v>
      </c>
      <c r="I686" s="119"/>
      <c r="J686" s="119"/>
    </row>
    <row r="687" spans="1:10" customFormat="1">
      <c r="A687" s="96" t="s">
        <v>1695</v>
      </c>
      <c r="B687" s="96" t="s">
        <v>13</v>
      </c>
      <c r="C687" s="1"/>
      <c r="D687" s="107">
        <v>2</v>
      </c>
      <c r="E687" s="119" t="s">
        <v>791</v>
      </c>
      <c r="F687" s="223"/>
      <c r="G687" s="90">
        <f t="shared" si="13"/>
        <v>0</v>
      </c>
      <c r="H687" s="125">
        <v>46219</v>
      </c>
      <c r="I687" s="1"/>
      <c r="J687" s="1"/>
    </row>
    <row r="688" spans="1:10" customFormat="1">
      <c r="A688" s="96" t="s">
        <v>1696</v>
      </c>
      <c r="B688" s="96" t="s">
        <v>13</v>
      </c>
      <c r="C688" s="1"/>
      <c r="D688" s="107">
        <v>1</v>
      </c>
      <c r="E688" s="119" t="s">
        <v>791</v>
      </c>
      <c r="F688" s="223"/>
      <c r="G688" s="90">
        <f t="shared" si="13"/>
        <v>0</v>
      </c>
      <c r="H688" s="125">
        <v>46219</v>
      </c>
      <c r="I688" s="1"/>
      <c r="J688" s="1"/>
    </row>
    <row r="689" spans="1:10" customFormat="1" hidden="1">
      <c r="A689" s="96" t="s">
        <v>1697</v>
      </c>
      <c r="B689" s="96" t="s">
        <v>13</v>
      </c>
      <c r="C689" s="1"/>
      <c r="D689" s="96">
        <v>116</v>
      </c>
      <c r="E689" s="1" t="s">
        <v>791</v>
      </c>
      <c r="F689" s="251">
        <v>362</v>
      </c>
      <c r="G689" s="90">
        <f t="shared" si="13"/>
        <v>41992</v>
      </c>
      <c r="H689" s="125">
        <v>46217</v>
      </c>
      <c r="I689" s="1" t="s">
        <v>1698</v>
      </c>
      <c r="J689" s="1"/>
    </row>
    <row r="690" spans="1:10" customFormat="1" hidden="1">
      <c r="A690" s="96" t="s">
        <v>1699</v>
      </c>
      <c r="B690" s="96" t="s">
        <v>13</v>
      </c>
      <c r="C690" s="1"/>
      <c r="D690" s="96">
        <v>152</v>
      </c>
      <c r="E690" s="1" t="s">
        <v>791</v>
      </c>
      <c r="F690" s="251">
        <v>237</v>
      </c>
      <c r="G690" s="90">
        <f t="shared" si="13"/>
        <v>36024</v>
      </c>
      <c r="H690" s="125">
        <v>46217</v>
      </c>
      <c r="I690" s="1" t="s">
        <v>1553</v>
      </c>
      <c r="J690" s="1"/>
    </row>
    <row r="691" spans="1:10" customFormat="1" hidden="1">
      <c r="A691" s="96" t="s">
        <v>1700</v>
      </c>
      <c r="B691" s="96" t="s">
        <v>13</v>
      </c>
      <c r="C691" s="1"/>
      <c r="D691" s="96">
        <v>43</v>
      </c>
      <c r="E691" s="1" t="s">
        <v>791</v>
      </c>
      <c r="F691" s="251">
        <v>325</v>
      </c>
      <c r="G691" s="90">
        <f t="shared" si="13"/>
        <v>13975</v>
      </c>
      <c r="H691" s="125">
        <v>46217</v>
      </c>
      <c r="I691" s="1" t="s">
        <v>930</v>
      </c>
      <c r="J691" s="1"/>
    </row>
    <row r="692" spans="1:10" customFormat="1" hidden="1">
      <c r="A692" s="1" t="s">
        <v>1701</v>
      </c>
      <c r="B692" s="1" t="s">
        <v>13</v>
      </c>
      <c r="C692" s="123"/>
      <c r="D692" s="123">
        <v>151</v>
      </c>
      <c r="E692" s="1" t="s">
        <v>791</v>
      </c>
      <c r="F692" s="135"/>
      <c r="G692" s="90">
        <f t="shared" si="13"/>
        <v>0</v>
      </c>
      <c r="H692" s="61"/>
      <c r="I692" s="1"/>
      <c r="J692" s="1"/>
    </row>
    <row r="693" spans="1:10" customFormat="1">
      <c r="A693" s="96" t="s">
        <v>1702</v>
      </c>
      <c r="B693" s="96" t="s">
        <v>13</v>
      </c>
      <c r="C693" s="1"/>
      <c r="D693" s="107">
        <v>1</v>
      </c>
      <c r="E693" s="1" t="s">
        <v>791</v>
      </c>
      <c r="F693" s="223"/>
      <c r="G693" s="90">
        <f t="shared" si="13"/>
        <v>0</v>
      </c>
      <c r="H693" s="125">
        <v>46217</v>
      </c>
      <c r="I693" s="1"/>
      <c r="J693" s="1"/>
    </row>
    <row r="694" spans="1:10" customFormat="1">
      <c r="A694" s="96" t="s">
        <v>1703</v>
      </c>
      <c r="B694" s="96" t="s">
        <v>13</v>
      </c>
      <c r="C694" s="1"/>
      <c r="D694" s="107">
        <v>6</v>
      </c>
      <c r="E694" s="1" t="s">
        <v>791</v>
      </c>
      <c r="F694" s="159"/>
      <c r="G694" s="90">
        <f t="shared" si="13"/>
        <v>0</v>
      </c>
      <c r="H694" s="125">
        <v>46217</v>
      </c>
      <c r="I694" s="1"/>
      <c r="J694" s="1"/>
    </row>
    <row r="695" spans="1:10" customFormat="1">
      <c r="A695" s="96" t="s">
        <v>1704</v>
      </c>
      <c r="B695" s="96" t="s">
        <v>13</v>
      </c>
      <c r="C695" s="1"/>
      <c r="D695" s="107">
        <v>3</v>
      </c>
      <c r="E695" s="1" t="s">
        <v>791</v>
      </c>
      <c r="F695" s="223"/>
      <c r="G695" s="90">
        <f t="shared" si="13"/>
        <v>0</v>
      </c>
      <c r="H695" s="125">
        <v>46217</v>
      </c>
      <c r="I695" s="1"/>
      <c r="J695" s="1"/>
    </row>
    <row r="696" spans="1:10" customFormat="1">
      <c r="A696" s="96" t="s">
        <v>1705</v>
      </c>
      <c r="B696" s="96" t="s">
        <v>13</v>
      </c>
      <c r="C696" s="1"/>
      <c r="D696" s="107">
        <v>14</v>
      </c>
      <c r="E696" s="1" t="s">
        <v>791</v>
      </c>
      <c r="F696" s="159"/>
      <c r="G696" s="90">
        <f t="shared" si="13"/>
        <v>0</v>
      </c>
      <c r="H696" s="125">
        <v>46217</v>
      </c>
      <c r="I696" s="1"/>
      <c r="J696" s="1"/>
    </row>
    <row r="697" spans="1:10" customFormat="1" hidden="1">
      <c r="A697" s="1" t="s">
        <v>1706</v>
      </c>
      <c r="B697" s="1" t="s">
        <v>460</v>
      </c>
      <c r="C697" s="1" t="s">
        <v>860</v>
      </c>
      <c r="D697" s="39"/>
      <c r="E697" s="1" t="s">
        <v>791</v>
      </c>
      <c r="F697" s="135"/>
      <c r="G697" s="90">
        <f t="shared" ref="G697:G706" si="14">+D697*F697</f>
        <v>0</v>
      </c>
      <c r="H697" s="127"/>
      <c r="I697" s="1" t="s">
        <v>1707</v>
      </c>
      <c r="J697" s="107" t="s">
        <v>779</v>
      </c>
    </row>
    <row r="698" spans="1:10" customFormat="1" hidden="1">
      <c r="A698" s="96" t="s">
        <v>1708</v>
      </c>
      <c r="B698" s="1" t="s">
        <v>172</v>
      </c>
      <c r="C698" s="1" t="s">
        <v>1709</v>
      </c>
      <c r="D698" s="96">
        <v>1</v>
      </c>
      <c r="E698" s="1" t="s">
        <v>791</v>
      </c>
      <c r="F698" s="134">
        <v>231221</v>
      </c>
      <c r="G698" s="90">
        <f t="shared" si="14"/>
        <v>231221</v>
      </c>
      <c r="H698" s="125">
        <v>46135</v>
      </c>
      <c r="I698" s="1" t="s">
        <v>890</v>
      </c>
      <c r="J698" s="1"/>
    </row>
    <row r="699" spans="1:10" hidden="1">
      <c r="A699" s="1" t="s">
        <v>1710</v>
      </c>
      <c r="B699" s="1" t="s">
        <v>13</v>
      </c>
      <c r="C699" s="1" t="s">
        <v>1131</v>
      </c>
      <c r="D699" s="1">
        <v>1</v>
      </c>
      <c r="E699" s="1" t="s">
        <v>791</v>
      </c>
      <c r="F699" s="135"/>
      <c r="G699" s="90">
        <f t="shared" si="14"/>
        <v>0</v>
      </c>
      <c r="H699" s="61"/>
      <c r="I699" s="1"/>
      <c r="J699" s="1"/>
    </row>
    <row r="700" spans="1:10" customFormat="1" hidden="1">
      <c r="A700" s="96" t="s">
        <v>1711</v>
      </c>
      <c r="B700" s="1" t="s">
        <v>333</v>
      </c>
      <c r="C700" s="1" t="s">
        <v>860</v>
      </c>
      <c r="D700" s="96">
        <v>1</v>
      </c>
      <c r="E700" s="1" t="s">
        <v>791</v>
      </c>
      <c r="F700" s="134">
        <v>4286</v>
      </c>
      <c r="G700" s="90">
        <f t="shared" si="14"/>
        <v>4286</v>
      </c>
      <c r="H700" s="129">
        <v>46135</v>
      </c>
      <c r="I700" s="1" t="s">
        <v>1712</v>
      </c>
      <c r="J700" s="1"/>
    </row>
    <row r="701" spans="1:10" customFormat="1" hidden="1">
      <c r="A701" s="96" t="s">
        <v>1713</v>
      </c>
      <c r="B701" s="1" t="s">
        <v>333</v>
      </c>
      <c r="C701" s="1" t="s">
        <v>860</v>
      </c>
      <c r="D701" s="96">
        <v>2</v>
      </c>
      <c r="E701" s="1" t="s">
        <v>791</v>
      </c>
      <c r="F701" s="134">
        <v>5588</v>
      </c>
      <c r="G701" s="90">
        <f t="shared" si="14"/>
        <v>11176</v>
      </c>
      <c r="H701" s="129">
        <v>46135</v>
      </c>
      <c r="I701" s="1" t="s">
        <v>1712</v>
      </c>
      <c r="J701" s="1"/>
    </row>
    <row r="702" spans="1:10" customFormat="1" hidden="1">
      <c r="A702" s="96" t="s">
        <v>1714</v>
      </c>
      <c r="B702" s="1" t="s">
        <v>333</v>
      </c>
      <c r="C702" s="1" t="s">
        <v>860</v>
      </c>
      <c r="D702" s="96">
        <v>5</v>
      </c>
      <c r="E702" s="1" t="s">
        <v>791</v>
      </c>
      <c r="F702" s="134">
        <v>5630</v>
      </c>
      <c r="G702" s="90">
        <f t="shared" si="14"/>
        <v>28150</v>
      </c>
      <c r="H702" s="129">
        <v>46135</v>
      </c>
      <c r="I702" s="1" t="s">
        <v>1346</v>
      </c>
      <c r="J702" s="1"/>
    </row>
    <row r="703" spans="1:10" customFormat="1" hidden="1">
      <c r="A703" s="96" t="s">
        <v>1715</v>
      </c>
      <c r="B703" s="1" t="s">
        <v>333</v>
      </c>
      <c r="C703" s="1" t="s">
        <v>860</v>
      </c>
      <c r="D703" s="96">
        <v>7</v>
      </c>
      <c r="E703" s="1" t="s">
        <v>791</v>
      </c>
      <c r="F703" s="115">
        <v>7563</v>
      </c>
      <c r="G703" s="90">
        <f t="shared" si="14"/>
        <v>52941</v>
      </c>
      <c r="H703" s="129">
        <v>46135</v>
      </c>
      <c r="I703" s="1" t="s">
        <v>1716</v>
      </c>
      <c r="J703" s="1"/>
    </row>
    <row r="704" spans="1:10" customFormat="1" hidden="1">
      <c r="A704" s="96" t="s">
        <v>1717</v>
      </c>
      <c r="B704" s="1" t="s">
        <v>32</v>
      </c>
      <c r="C704" s="1" t="s">
        <v>1718</v>
      </c>
      <c r="D704" s="96">
        <v>4</v>
      </c>
      <c r="E704" s="1" t="s">
        <v>791</v>
      </c>
      <c r="F704" s="115">
        <f>20598*0.48</f>
        <v>9887.0399999999991</v>
      </c>
      <c r="G704" s="90">
        <f t="shared" si="14"/>
        <v>39548.159999999996</v>
      </c>
      <c r="H704" s="129">
        <v>46135</v>
      </c>
      <c r="I704" s="1" t="s">
        <v>873</v>
      </c>
      <c r="J704" s="1"/>
    </row>
    <row r="705" spans="1:10" customFormat="1" hidden="1">
      <c r="A705" s="96" t="s">
        <v>1719</v>
      </c>
      <c r="B705" s="1" t="s">
        <v>32</v>
      </c>
      <c r="C705" s="1" t="s">
        <v>1720</v>
      </c>
      <c r="D705" s="96">
        <v>1</v>
      </c>
      <c r="E705" s="1" t="s">
        <v>791</v>
      </c>
      <c r="F705" s="115">
        <f>247406*0.48</f>
        <v>118754.87999999999</v>
      </c>
      <c r="G705" s="90">
        <f t="shared" si="14"/>
        <v>118754.87999999999</v>
      </c>
      <c r="H705" s="129">
        <v>46135</v>
      </c>
      <c r="I705" s="1" t="s">
        <v>873</v>
      </c>
      <c r="J705" s="1"/>
    </row>
    <row r="706" spans="1:10" customFormat="1" hidden="1">
      <c r="A706" s="96" t="s">
        <v>1721</v>
      </c>
      <c r="B706" s="1" t="s">
        <v>32</v>
      </c>
      <c r="C706" s="1" t="s">
        <v>1720</v>
      </c>
      <c r="D706" s="96">
        <v>6</v>
      </c>
      <c r="E706" s="1" t="s">
        <v>791</v>
      </c>
      <c r="F706" s="115">
        <f>129170*0.48</f>
        <v>62001.599999999999</v>
      </c>
      <c r="G706" s="90">
        <f t="shared" si="14"/>
        <v>372009.6</v>
      </c>
      <c r="H706" s="129">
        <v>46135</v>
      </c>
      <c r="I706" s="1" t="s">
        <v>873</v>
      </c>
      <c r="J706" s="1"/>
    </row>
    <row r="707" spans="1:10" customFormat="1" hidden="1">
      <c r="A707" s="96" t="s">
        <v>1722</v>
      </c>
      <c r="B707" s="1" t="s">
        <v>360</v>
      </c>
      <c r="C707" s="1" t="s">
        <v>1720</v>
      </c>
      <c r="D707" s="96">
        <v>1</v>
      </c>
      <c r="E707" s="1" t="s">
        <v>791</v>
      </c>
      <c r="F707" s="115">
        <f>84235*0.48</f>
        <v>40432.799999999996</v>
      </c>
      <c r="G707" s="90">
        <f t="shared" ref="G707:G753" si="15">+D707*F707</f>
        <v>40432.799999999996</v>
      </c>
      <c r="H707" s="129">
        <v>46135</v>
      </c>
      <c r="I707" s="1" t="s">
        <v>873</v>
      </c>
      <c r="J707" s="1"/>
    </row>
    <row r="708" spans="1:10" customFormat="1" hidden="1">
      <c r="A708" s="96" t="s">
        <v>1723</v>
      </c>
      <c r="B708" s="1" t="s">
        <v>32</v>
      </c>
      <c r="C708" s="1" t="s">
        <v>1720</v>
      </c>
      <c r="D708" s="96">
        <v>1</v>
      </c>
      <c r="E708" s="1" t="s">
        <v>791</v>
      </c>
      <c r="F708" s="115">
        <f>64512*0.48</f>
        <v>30965.759999999998</v>
      </c>
      <c r="G708" s="90">
        <f t="shared" si="15"/>
        <v>30965.759999999998</v>
      </c>
      <c r="H708" s="129">
        <v>46135</v>
      </c>
      <c r="I708" s="1" t="s">
        <v>873</v>
      </c>
      <c r="J708" s="1"/>
    </row>
    <row r="709" spans="1:10" customFormat="1" hidden="1">
      <c r="A709" s="96" t="s">
        <v>1724</v>
      </c>
      <c r="B709" s="1" t="s">
        <v>360</v>
      </c>
      <c r="C709" s="1" t="s">
        <v>1720</v>
      </c>
      <c r="D709" s="96">
        <v>2</v>
      </c>
      <c r="E709" s="1" t="s">
        <v>791</v>
      </c>
      <c r="F709" s="115">
        <f>290594*0.48</f>
        <v>139485.12</v>
      </c>
      <c r="G709" s="90">
        <f t="shared" si="15"/>
        <v>278970.23999999999</v>
      </c>
      <c r="H709" s="129">
        <v>46135</v>
      </c>
      <c r="I709" s="1" t="s">
        <v>873</v>
      </c>
      <c r="J709" s="1"/>
    </row>
    <row r="710" spans="1:10" customFormat="1" hidden="1">
      <c r="A710" s="96" t="s">
        <v>1725</v>
      </c>
      <c r="B710" s="1" t="s">
        <v>32</v>
      </c>
      <c r="C710" s="1" t="s">
        <v>1720</v>
      </c>
      <c r="D710" s="96">
        <v>3</v>
      </c>
      <c r="E710" s="1" t="s">
        <v>791</v>
      </c>
      <c r="F710" s="115">
        <f>25523*0.48</f>
        <v>12251.039999999999</v>
      </c>
      <c r="G710" s="90">
        <f t="shared" si="15"/>
        <v>36753.119999999995</v>
      </c>
      <c r="H710" s="129">
        <v>46135</v>
      </c>
      <c r="I710" s="1" t="s">
        <v>873</v>
      </c>
      <c r="J710" s="1"/>
    </row>
    <row r="711" spans="1:10" customFormat="1" hidden="1">
      <c r="A711" s="96" t="s">
        <v>1726</v>
      </c>
      <c r="B711" s="1" t="s">
        <v>360</v>
      </c>
      <c r="C711" s="1" t="s">
        <v>1720</v>
      </c>
      <c r="D711" s="96">
        <v>4</v>
      </c>
      <c r="E711" s="1" t="s">
        <v>791</v>
      </c>
      <c r="F711" s="115">
        <f>494531*0.48</f>
        <v>237374.88</v>
      </c>
      <c r="G711" s="90">
        <f t="shared" si="15"/>
        <v>949499.52</v>
      </c>
      <c r="H711" s="129">
        <v>46135</v>
      </c>
      <c r="I711" s="1" t="s">
        <v>873</v>
      </c>
      <c r="J711" s="1"/>
    </row>
    <row r="712" spans="1:10" customFormat="1" hidden="1">
      <c r="A712" s="96" t="s">
        <v>1727</v>
      </c>
      <c r="B712" s="1" t="s">
        <v>32</v>
      </c>
      <c r="C712" s="1" t="s">
        <v>1720</v>
      </c>
      <c r="D712" s="96">
        <v>3</v>
      </c>
      <c r="E712" s="1" t="s">
        <v>791</v>
      </c>
      <c r="F712" s="115">
        <f>1054245*0.48</f>
        <v>506037.6</v>
      </c>
      <c r="G712" s="90">
        <f t="shared" si="15"/>
        <v>1518112.7999999998</v>
      </c>
      <c r="H712" s="129">
        <v>46135</v>
      </c>
      <c r="I712" s="1" t="s">
        <v>873</v>
      </c>
      <c r="J712" s="1"/>
    </row>
    <row r="713" spans="1:10" customFormat="1" hidden="1">
      <c r="A713" s="96" t="s">
        <v>1728</v>
      </c>
      <c r="B713" s="1" t="s">
        <v>193</v>
      </c>
      <c r="C713" s="1" t="s">
        <v>1059</v>
      </c>
      <c r="D713" s="96">
        <v>10</v>
      </c>
      <c r="E713" s="1" t="s">
        <v>791</v>
      </c>
      <c r="F713" s="115">
        <f>406654*0.5</f>
        <v>203327</v>
      </c>
      <c r="G713" s="90">
        <f t="shared" si="15"/>
        <v>2033270</v>
      </c>
      <c r="H713" s="129">
        <v>46135</v>
      </c>
      <c r="I713" s="1" t="s">
        <v>873</v>
      </c>
      <c r="J713" s="1"/>
    </row>
    <row r="714" spans="1:10" customFormat="1" ht="18.600000000000001" hidden="1" customHeight="1">
      <c r="A714" s="1" t="s">
        <v>1729</v>
      </c>
      <c r="B714" s="1" t="s">
        <v>460</v>
      </c>
      <c r="C714" s="1"/>
      <c r="D714" s="1"/>
      <c r="E714" s="1" t="s">
        <v>791</v>
      </c>
      <c r="F714" s="111"/>
      <c r="G714" s="90">
        <f t="shared" si="15"/>
        <v>0</v>
      </c>
      <c r="H714" s="126"/>
      <c r="I714" s="1"/>
      <c r="J714" s="1"/>
    </row>
    <row r="715" spans="1:10" customFormat="1" ht="18.600000000000001" hidden="1" customHeight="1">
      <c r="A715" s="221" t="s">
        <v>1730</v>
      </c>
      <c r="B715" s="96" t="s">
        <v>919</v>
      </c>
      <c r="C715" s="1"/>
      <c r="D715" s="108">
        <v>45</v>
      </c>
      <c r="E715" s="1" t="s">
        <v>791</v>
      </c>
      <c r="F715" s="159"/>
      <c r="G715" s="90">
        <f>+D715*F715</f>
        <v>0</v>
      </c>
      <c r="H715" s="126">
        <v>46212</v>
      </c>
      <c r="I715" s="1"/>
      <c r="J715" s="1"/>
    </row>
    <row r="716" spans="1:10" customFormat="1" ht="18.600000000000001" hidden="1" customHeight="1">
      <c r="A716" s="119" t="s">
        <v>1731</v>
      </c>
      <c r="B716" s="1" t="s">
        <v>919</v>
      </c>
      <c r="C716" s="1"/>
      <c r="D716" s="107"/>
      <c r="E716" s="1" t="s">
        <v>791</v>
      </c>
      <c r="F716" s="159"/>
      <c r="G716" s="90">
        <f t="shared" si="15"/>
        <v>0</v>
      </c>
      <c r="H716" s="126">
        <v>46154</v>
      </c>
      <c r="I716" s="1"/>
      <c r="J716" s="1"/>
    </row>
    <row r="717" spans="1:10" customFormat="1" ht="18.600000000000001" hidden="1" customHeight="1">
      <c r="A717" s="157" t="s">
        <v>1732</v>
      </c>
      <c r="B717" s="96" t="s">
        <v>919</v>
      </c>
      <c r="C717" s="1"/>
      <c r="D717" s="96">
        <v>339</v>
      </c>
      <c r="E717" s="1" t="s">
        <v>791</v>
      </c>
      <c r="F717" s="134">
        <f>557*0.8</f>
        <v>445.6</v>
      </c>
      <c r="G717" s="90">
        <f t="shared" si="15"/>
        <v>151058.4</v>
      </c>
      <c r="H717" s="125">
        <v>46211</v>
      </c>
      <c r="I717" s="113" t="s">
        <v>1733</v>
      </c>
      <c r="J717" s="1"/>
    </row>
    <row r="718" spans="1:10">
      <c r="A718" s="157" t="s">
        <v>1734</v>
      </c>
      <c r="B718" s="119" t="s">
        <v>915</v>
      </c>
      <c r="C718" s="119"/>
      <c r="D718" s="207">
        <f>43+2</f>
        <v>45</v>
      </c>
      <c r="E718" s="1" t="s">
        <v>791</v>
      </c>
      <c r="F718" s="159"/>
      <c r="G718" s="133">
        <f t="shared" si="15"/>
        <v>0</v>
      </c>
      <c r="H718" s="209">
        <v>46153</v>
      </c>
      <c r="I718" s="119"/>
      <c r="J718" s="119"/>
    </row>
    <row r="719" spans="1:10" customFormat="1" ht="18.600000000000001" hidden="1" customHeight="1">
      <c r="A719" s="1" t="s">
        <v>1735</v>
      </c>
      <c r="B719" s="1" t="s">
        <v>321</v>
      </c>
      <c r="C719" s="1"/>
      <c r="D719" s="1">
        <v>10</v>
      </c>
      <c r="E719" s="1" t="s">
        <v>791</v>
      </c>
      <c r="F719" s="111"/>
      <c r="G719" s="90">
        <f t="shared" si="15"/>
        <v>0</v>
      </c>
      <c r="H719" s="61"/>
      <c r="I719" s="109" t="s">
        <v>1012</v>
      </c>
      <c r="J719" s="1"/>
    </row>
    <row r="720" spans="1:10" customFormat="1" ht="18.600000000000001" hidden="1" customHeight="1">
      <c r="A720" s="157" t="s">
        <v>1736</v>
      </c>
      <c r="B720" s="96" t="s">
        <v>919</v>
      </c>
      <c r="C720" s="1"/>
      <c r="D720" s="96">
        <v>142</v>
      </c>
      <c r="E720" s="1" t="s">
        <v>791</v>
      </c>
      <c r="F720" s="134">
        <v>870</v>
      </c>
      <c r="G720" s="90">
        <f t="shared" si="15"/>
        <v>123540</v>
      </c>
      <c r="H720" s="126">
        <v>46212</v>
      </c>
      <c r="I720" s="1" t="s">
        <v>927</v>
      </c>
      <c r="J720" s="1"/>
    </row>
    <row r="721" spans="1:10" customFormat="1" ht="18.600000000000001" hidden="1" customHeight="1">
      <c r="A721" s="157" t="s">
        <v>1737</v>
      </c>
      <c r="B721" s="96" t="s">
        <v>919</v>
      </c>
      <c r="C721" s="1"/>
      <c r="D721" s="96">
        <v>135</v>
      </c>
      <c r="E721" s="1" t="s">
        <v>791</v>
      </c>
      <c r="F721" s="134">
        <v>562.11</v>
      </c>
      <c r="G721" s="90">
        <f t="shared" si="15"/>
        <v>75884.850000000006</v>
      </c>
      <c r="H721" s="126" t="s">
        <v>1583</v>
      </c>
      <c r="I721" s="1" t="s">
        <v>1594</v>
      </c>
      <c r="J721" s="1"/>
    </row>
    <row r="722" spans="1:10" hidden="1">
      <c r="A722" s="157" t="s">
        <v>1738</v>
      </c>
      <c r="B722" s="96" t="s">
        <v>919</v>
      </c>
      <c r="C722" s="1"/>
      <c r="D722" s="96">
        <v>12</v>
      </c>
      <c r="E722" s="1" t="s">
        <v>791</v>
      </c>
      <c r="F722" s="134">
        <v>2241</v>
      </c>
      <c r="G722" s="90">
        <f t="shared" si="15"/>
        <v>26892</v>
      </c>
      <c r="H722" s="126">
        <v>46212</v>
      </c>
      <c r="I722" s="1" t="s">
        <v>920</v>
      </c>
      <c r="J722" s="1"/>
    </row>
    <row r="723" spans="1:10" customFormat="1" hidden="1">
      <c r="A723" s="157" t="s">
        <v>1739</v>
      </c>
      <c r="B723" s="119" t="s">
        <v>13</v>
      </c>
      <c r="C723" s="119"/>
      <c r="D723" s="157">
        <v>218</v>
      </c>
      <c r="E723" s="1" t="s">
        <v>791</v>
      </c>
      <c r="F723" s="122">
        <v>137.78</v>
      </c>
      <c r="G723" s="90">
        <f t="shared" si="15"/>
        <v>30036.04</v>
      </c>
      <c r="H723" s="160"/>
      <c r="I723" s="119"/>
      <c r="J723" s="119"/>
    </row>
    <row r="724" spans="1:10" hidden="1">
      <c r="A724" s="157" t="s">
        <v>1740</v>
      </c>
      <c r="B724" s="119" t="s">
        <v>915</v>
      </c>
      <c r="C724" s="119"/>
      <c r="D724" s="157">
        <v>62</v>
      </c>
      <c r="E724" s="1" t="s">
        <v>791</v>
      </c>
      <c r="F724" s="122">
        <v>263</v>
      </c>
      <c r="G724" s="133">
        <f t="shared" si="15"/>
        <v>16306</v>
      </c>
      <c r="H724" s="209">
        <v>46153</v>
      </c>
      <c r="I724" s="119" t="s">
        <v>933</v>
      </c>
      <c r="J724" s="119"/>
    </row>
    <row r="725" spans="1:10" hidden="1">
      <c r="A725" s="157" t="s">
        <v>1741</v>
      </c>
      <c r="B725" s="119" t="s">
        <v>915</v>
      </c>
      <c r="C725" s="119"/>
      <c r="D725" s="157">
        <v>5</v>
      </c>
      <c r="E725" s="1" t="s">
        <v>791</v>
      </c>
      <c r="F725" s="122">
        <v>685</v>
      </c>
      <c r="G725" s="133">
        <f t="shared" si="15"/>
        <v>3425</v>
      </c>
      <c r="H725" s="209">
        <v>46153</v>
      </c>
      <c r="I725" s="208" t="s">
        <v>933</v>
      </c>
      <c r="J725" s="119"/>
    </row>
    <row r="726" spans="1:10" hidden="1">
      <c r="A726" s="221" t="s">
        <v>1742</v>
      </c>
      <c r="B726" s="119" t="s">
        <v>13</v>
      </c>
      <c r="C726" s="119"/>
      <c r="D726" s="207">
        <v>15</v>
      </c>
      <c r="E726" s="1" t="s">
        <v>791</v>
      </c>
      <c r="F726" s="213"/>
      <c r="G726" s="90">
        <f t="shared" si="15"/>
        <v>0</v>
      </c>
      <c r="H726" s="160"/>
      <c r="I726" s="119"/>
      <c r="J726" s="119"/>
    </row>
    <row r="727" spans="1:10">
      <c r="A727" s="157" t="s">
        <v>1743</v>
      </c>
      <c r="B727" s="119" t="s">
        <v>13</v>
      </c>
      <c r="C727" s="119"/>
      <c r="D727" s="207">
        <v>5</v>
      </c>
      <c r="E727" s="1" t="s">
        <v>791</v>
      </c>
      <c r="F727" s="213"/>
      <c r="G727" s="90">
        <f t="shared" si="15"/>
        <v>0</v>
      </c>
      <c r="H727" s="160"/>
      <c r="I727" s="119"/>
      <c r="J727" s="119"/>
    </row>
    <row r="728" spans="1:10" hidden="1">
      <c r="A728" s="157" t="s">
        <v>1744</v>
      </c>
      <c r="B728" s="119" t="s">
        <v>13</v>
      </c>
      <c r="C728" s="119"/>
      <c r="D728" s="157">
        <v>5</v>
      </c>
      <c r="E728" s="1" t="s">
        <v>791</v>
      </c>
      <c r="F728" s="122">
        <v>11616</v>
      </c>
      <c r="G728" s="90">
        <f t="shared" si="15"/>
        <v>58080</v>
      </c>
      <c r="H728" s="126">
        <v>46154</v>
      </c>
      <c r="I728" s="1" t="s">
        <v>920</v>
      </c>
      <c r="J728" s="119"/>
    </row>
    <row r="729" spans="1:10" customFormat="1" hidden="1">
      <c r="A729" s="157" t="s">
        <v>1745</v>
      </c>
      <c r="B729" s="119" t="s">
        <v>13</v>
      </c>
      <c r="C729" s="119"/>
      <c r="D729" s="157">
        <v>40</v>
      </c>
      <c r="E729" s="1" t="s">
        <v>791</v>
      </c>
      <c r="F729" s="122">
        <v>188</v>
      </c>
      <c r="G729" s="90">
        <f t="shared" si="15"/>
        <v>7520</v>
      </c>
      <c r="H729" s="160"/>
      <c r="I729" s="119" t="s">
        <v>1746</v>
      </c>
      <c r="J729" s="119"/>
    </row>
    <row r="730" spans="1:10" hidden="1">
      <c r="A730" s="1" t="s">
        <v>1747</v>
      </c>
      <c r="B730" s="78" t="s">
        <v>448</v>
      </c>
      <c r="C730" s="1"/>
      <c r="D730" s="1">
        <v>18</v>
      </c>
      <c r="E730" s="1" t="s">
        <v>791</v>
      </c>
      <c r="F730" s="111"/>
      <c r="G730" s="90">
        <f t="shared" si="15"/>
        <v>0</v>
      </c>
      <c r="H730" s="61"/>
      <c r="I730" s="1"/>
      <c r="J730" s="1"/>
    </row>
    <row r="731" spans="1:10" hidden="1">
      <c r="A731" s="157" t="s">
        <v>1748</v>
      </c>
      <c r="B731" s="119" t="s">
        <v>13</v>
      </c>
      <c r="C731" s="119"/>
      <c r="D731" s="157">
        <f>65+26+33</f>
        <v>124</v>
      </c>
      <c r="E731" s="119" t="s">
        <v>791</v>
      </c>
      <c r="F731" s="134">
        <v>1417.88</v>
      </c>
      <c r="G731" s="133">
        <f t="shared" si="15"/>
        <v>175817.12000000002</v>
      </c>
      <c r="H731" s="158">
        <v>46149</v>
      </c>
      <c r="I731" s="119"/>
      <c r="J731" s="119"/>
    </row>
    <row r="732" spans="1:10" customFormat="1" hidden="1">
      <c r="A732" s="1" t="s">
        <v>1749</v>
      </c>
      <c r="B732" s="78" t="s">
        <v>448</v>
      </c>
      <c r="C732" s="1"/>
      <c r="D732" s="1">
        <v>6</v>
      </c>
      <c r="E732" s="1" t="s">
        <v>791</v>
      </c>
      <c r="F732" s="111"/>
      <c r="G732" s="90">
        <f t="shared" si="15"/>
        <v>0</v>
      </c>
      <c r="H732" s="61"/>
      <c r="I732" s="1"/>
      <c r="J732" s="1"/>
    </row>
    <row r="733" spans="1:10" customFormat="1" hidden="1">
      <c r="A733" s="1" t="s">
        <v>1750</v>
      </c>
      <c r="B733" s="78" t="s">
        <v>448</v>
      </c>
      <c r="C733" s="1"/>
      <c r="D733" s="1">
        <v>5</v>
      </c>
      <c r="E733" s="1" t="s">
        <v>791</v>
      </c>
      <c r="F733" s="111"/>
      <c r="G733" s="90">
        <f t="shared" si="15"/>
        <v>0</v>
      </c>
      <c r="H733" s="61"/>
      <c r="I733" s="1"/>
      <c r="J733" s="1"/>
    </row>
    <row r="734" spans="1:10" customFormat="1" hidden="1">
      <c r="A734" s="112" t="s">
        <v>1751</v>
      </c>
      <c r="B734" s="109" t="s">
        <v>172</v>
      </c>
      <c r="C734" s="1" t="s">
        <v>887</v>
      </c>
      <c r="D734" s="96">
        <v>6</v>
      </c>
      <c r="E734" s="1" t="s">
        <v>791</v>
      </c>
      <c r="F734" s="117">
        <f>23660*0.8</f>
        <v>18928</v>
      </c>
      <c r="G734" s="90">
        <f t="shared" si="15"/>
        <v>113568</v>
      </c>
      <c r="H734" s="125">
        <v>46134</v>
      </c>
      <c r="I734" s="119" t="s">
        <v>820</v>
      </c>
      <c r="J734" s="1"/>
    </row>
    <row r="735" spans="1:10" customFormat="1" hidden="1">
      <c r="A735" s="96" t="s">
        <v>1752</v>
      </c>
      <c r="B735" s="1" t="s">
        <v>172</v>
      </c>
      <c r="C735" s="1" t="s">
        <v>860</v>
      </c>
      <c r="D735" s="96">
        <v>6</v>
      </c>
      <c r="E735" s="1" t="s">
        <v>791</v>
      </c>
      <c r="F735" s="115">
        <v>4151</v>
      </c>
      <c r="G735" s="90">
        <f t="shared" si="15"/>
        <v>24906</v>
      </c>
      <c r="H735" s="125">
        <v>46148</v>
      </c>
      <c r="I735" s="1" t="s">
        <v>863</v>
      </c>
      <c r="J735" s="1"/>
    </row>
    <row r="736" spans="1:10" customFormat="1" hidden="1">
      <c r="A736" s="96" t="s">
        <v>1753</v>
      </c>
      <c r="B736" s="1" t="s">
        <v>172</v>
      </c>
      <c r="C736" s="1" t="s">
        <v>860</v>
      </c>
      <c r="D736" s="96">
        <v>6</v>
      </c>
      <c r="E736" s="1" t="s">
        <v>791</v>
      </c>
      <c r="F736" s="115">
        <v>840</v>
      </c>
      <c r="G736" s="90">
        <f t="shared" si="15"/>
        <v>5040</v>
      </c>
      <c r="H736" s="125">
        <v>46148</v>
      </c>
      <c r="I736" s="1" t="s">
        <v>1136</v>
      </c>
      <c r="J736" s="1"/>
    </row>
    <row r="737" spans="1:10" s="153" customFormat="1" hidden="1">
      <c r="A737" s="96" t="s">
        <v>1754</v>
      </c>
      <c r="B737" s="1" t="s">
        <v>172</v>
      </c>
      <c r="C737" s="1" t="s">
        <v>860</v>
      </c>
      <c r="D737" s="96">
        <v>7</v>
      </c>
      <c r="E737" s="1" t="s">
        <v>791</v>
      </c>
      <c r="F737" s="115">
        <v>16833</v>
      </c>
      <c r="G737" s="90">
        <f t="shared" si="15"/>
        <v>117831</v>
      </c>
      <c r="H737" s="125">
        <v>46148</v>
      </c>
      <c r="I737" s="1" t="s">
        <v>1182</v>
      </c>
      <c r="J737" s="1"/>
    </row>
    <row r="738" spans="1:10" customFormat="1" hidden="1">
      <c r="A738" s="1" t="s">
        <v>1755</v>
      </c>
      <c r="B738" s="1" t="s">
        <v>172</v>
      </c>
      <c r="C738" s="1" t="s">
        <v>860</v>
      </c>
      <c r="D738" s="1"/>
      <c r="E738" s="1" t="s">
        <v>791</v>
      </c>
      <c r="F738" s="111"/>
      <c r="G738" s="111">
        <f t="shared" si="15"/>
        <v>0</v>
      </c>
      <c r="H738" s="125"/>
      <c r="I738" s="1"/>
      <c r="J738" s="1" t="s">
        <v>1756</v>
      </c>
    </row>
    <row r="739" spans="1:10" customFormat="1" hidden="1">
      <c r="A739" s="1" t="s">
        <v>1757</v>
      </c>
      <c r="B739" s="1" t="s">
        <v>172</v>
      </c>
      <c r="C739" s="1" t="s">
        <v>860</v>
      </c>
      <c r="D739" s="1"/>
      <c r="E739" s="1" t="s">
        <v>791</v>
      </c>
      <c r="F739" s="111"/>
      <c r="G739" s="111">
        <f t="shared" si="15"/>
        <v>0</v>
      </c>
      <c r="H739" s="125"/>
      <c r="I739" s="1"/>
      <c r="J739" s="1" t="s">
        <v>1756</v>
      </c>
    </row>
    <row r="740" spans="1:10" customFormat="1" hidden="1">
      <c r="A740" s="1" t="s">
        <v>1758</v>
      </c>
      <c r="B740" s="1" t="s">
        <v>830</v>
      </c>
      <c r="C740" s="1"/>
      <c r="D740" s="1"/>
      <c r="E740" s="1" t="s">
        <v>791</v>
      </c>
      <c r="F740" s="90"/>
      <c r="G740" s="90">
        <f t="shared" si="15"/>
        <v>0</v>
      </c>
      <c r="H740" s="125"/>
      <c r="I740" s="1"/>
      <c r="J740" s="1"/>
    </row>
    <row r="741" spans="1:10" customFormat="1" hidden="1">
      <c r="A741" s="96" t="s">
        <v>1759</v>
      </c>
      <c r="B741" s="1" t="s">
        <v>830</v>
      </c>
      <c r="C741" s="1" t="s">
        <v>831</v>
      </c>
      <c r="D741" s="96">
        <v>11</v>
      </c>
      <c r="E741" s="1" t="s">
        <v>791</v>
      </c>
      <c r="F741" s="115">
        <f>2892*0.8</f>
        <v>2313.6</v>
      </c>
      <c r="G741" s="90">
        <f t="shared" si="15"/>
        <v>25449.599999999999</v>
      </c>
      <c r="H741" s="125">
        <v>46146</v>
      </c>
      <c r="I741" s="1" t="s">
        <v>1760</v>
      </c>
      <c r="J741" s="1"/>
    </row>
    <row r="742" spans="1:10" customFormat="1" hidden="1">
      <c r="A742" s="96" t="s">
        <v>1761</v>
      </c>
      <c r="B742" s="1" t="s">
        <v>830</v>
      </c>
      <c r="C742" s="1" t="s">
        <v>831</v>
      </c>
      <c r="D742" s="96">
        <v>12</v>
      </c>
      <c r="E742" s="1" t="s">
        <v>791</v>
      </c>
      <c r="F742" s="117">
        <f>2320*0.8</f>
        <v>1856</v>
      </c>
      <c r="G742" s="90">
        <f t="shared" si="15"/>
        <v>22272</v>
      </c>
      <c r="H742" s="125">
        <v>46146</v>
      </c>
      <c r="I742" s="1" t="s">
        <v>1541</v>
      </c>
      <c r="J742" s="1"/>
    </row>
    <row r="743" spans="1:10" customFormat="1" hidden="1">
      <c r="A743" s="96" t="s">
        <v>1762</v>
      </c>
      <c r="B743" s="1" t="s">
        <v>32</v>
      </c>
      <c r="C743" s="1" t="s">
        <v>887</v>
      </c>
      <c r="D743" s="96">
        <v>2</v>
      </c>
      <c r="E743" s="1" t="s">
        <v>791</v>
      </c>
      <c r="F743" s="117">
        <f>9300*0.8</f>
        <v>7440</v>
      </c>
      <c r="G743" s="90">
        <f t="shared" si="15"/>
        <v>14880</v>
      </c>
      <c r="H743" s="125">
        <v>46134</v>
      </c>
      <c r="I743" s="119" t="s">
        <v>820</v>
      </c>
      <c r="J743" s="1"/>
    </row>
    <row r="744" spans="1:10" customFormat="1" hidden="1">
      <c r="A744" s="96" t="s">
        <v>1763</v>
      </c>
      <c r="B744" s="1" t="s">
        <v>32</v>
      </c>
      <c r="C744" s="1" t="s">
        <v>887</v>
      </c>
      <c r="D744" s="96">
        <v>13</v>
      </c>
      <c r="E744" s="1" t="s">
        <v>791</v>
      </c>
      <c r="F744" s="115">
        <f>11864*0.8</f>
        <v>9491.2000000000007</v>
      </c>
      <c r="G744" s="90">
        <f t="shared" si="15"/>
        <v>123385.60000000001</v>
      </c>
      <c r="H744" s="125">
        <v>46134</v>
      </c>
      <c r="I744" s="1" t="s">
        <v>1210</v>
      </c>
      <c r="J744" s="1"/>
    </row>
    <row r="745" spans="1:10" customFormat="1" hidden="1">
      <c r="A745" s="96" t="s">
        <v>1764</v>
      </c>
      <c r="B745" s="1" t="s">
        <v>32</v>
      </c>
      <c r="C745" s="1" t="s">
        <v>887</v>
      </c>
      <c r="D745" s="96">
        <v>4</v>
      </c>
      <c r="E745" s="1" t="s">
        <v>791</v>
      </c>
      <c r="F745" s="115">
        <v>16160</v>
      </c>
      <c r="G745" s="90">
        <f t="shared" si="15"/>
        <v>64640</v>
      </c>
      <c r="H745" s="125">
        <v>46134</v>
      </c>
      <c r="I745" s="1" t="s">
        <v>908</v>
      </c>
      <c r="J745" s="1"/>
    </row>
    <row r="746" spans="1:10" customFormat="1" hidden="1">
      <c r="A746" s="96" t="s">
        <v>1765</v>
      </c>
      <c r="B746" s="1" t="s">
        <v>32</v>
      </c>
      <c r="C746" s="1" t="s">
        <v>887</v>
      </c>
      <c r="D746" s="96">
        <v>1</v>
      </c>
      <c r="E746" s="1" t="s">
        <v>791</v>
      </c>
      <c r="F746" s="115">
        <f>145200*0.8</f>
        <v>116160</v>
      </c>
      <c r="G746" s="90">
        <f t="shared" si="15"/>
        <v>116160</v>
      </c>
      <c r="H746" s="125">
        <v>46134</v>
      </c>
      <c r="I746" s="119" t="s">
        <v>820</v>
      </c>
      <c r="J746" s="1"/>
    </row>
    <row r="747" spans="1:10" customFormat="1" hidden="1">
      <c r="A747" s="96" t="s">
        <v>1766</v>
      </c>
      <c r="B747" s="1" t="s">
        <v>32</v>
      </c>
      <c r="C747" s="1" t="s">
        <v>860</v>
      </c>
      <c r="D747" s="96">
        <v>6</v>
      </c>
      <c r="E747" s="1" t="s">
        <v>791</v>
      </c>
      <c r="F747" s="115">
        <f>1316*0.48</f>
        <v>631.67999999999995</v>
      </c>
      <c r="G747" s="90">
        <f t="shared" si="15"/>
        <v>3790.08</v>
      </c>
      <c r="H747" s="125">
        <v>46134</v>
      </c>
      <c r="I747" s="1" t="s">
        <v>873</v>
      </c>
      <c r="J747" s="1"/>
    </row>
    <row r="748" spans="1:10" customFormat="1" hidden="1">
      <c r="A748" s="96" t="s">
        <v>1767</v>
      </c>
      <c r="B748" s="1" t="s">
        <v>32</v>
      </c>
      <c r="C748" s="1" t="s">
        <v>860</v>
      </c>
      <c r="D748" s="96">
        <f>22+13</f>
        <v>35</v>
      </c>
      <c r="E748" s="1" t="s">
        <v>791</v>
      </c>
      <c r="F748" s="115">
        <f>509*0.48</f>
        <v>244.32</v>
      </c>
      <c r="G748" s="90">
        <f t="shared" si="15"/>
        <v>8551.1999999999989</v>
      </c>
      <c r="H748" s="125">
        <v>46134</v>
      </c>
      <c r="I748" s="1" t="s">
        <v>873</v>
      </c>
      <c r="J748" s="1"/>
    </row>
    <row r="749" spans="1:10" customFormat="1" hidden="1">
      <c r="A749" s="96" t="s">
        <v>1768</v>
      </c>
      <c r="B749" s="1" t="s">
        <v>32</v>
      </c>
      <c r="C749" s="1" t="s">
        <v>860</v>
      </c>
      <c r="D749" s="96">
        <v>13</v>
      </c>
      <c r="E749" s="1" t="s">
        <v>791</v>
      </c>
      <c r="F749" s="115">
        <f>3292*0.48</f>
        <v>1580.1599999999999</v>
      </c>
      <c r="G749" s="90">
        <f t="shared" si="15"/>
        <v>20542.079999999998</v>
      </c>
      <c r="H749" s="125">
        <v>46134</v>
      </c>
      <c r="I749" s="1" t="s">
        <v>873</v>
      </c>
      <c r="J749" s="1"/>
    </row>
    <row r="750" spans="1:10" customFormat="1" hidden="1">
      <c r="A750" s="96" t="s">
        <v>1769</v>
      </c>
      <c r="B750" s="1" t="s">
        <v>32</v>
      </c>
      <c r="C750" s="1" t="s">
        <v>860</v>
      </c>
      <c r="D750" s="96">
        <v>36</v>
      </c>
      <c r="E750" s="1" t="s">
        <v>791</v>
      </c>
      <c r="F750" s="115">
        <f>2410*0.48</f>
        <v>1156.8</v>
      </c>
      <c r="G750" s="90">
        <f t="shared" si="15"/>
        <v>41644.799999999996</v>
      </c>
      <c r="H750" s="125">
        <v>46134</v>
      </c>
      <c r="I750" s="1" t="s">
        <v>873</v>
      </c>
      <c r="J750" s="1"/>
    </row>
    <row r="751" spans="1:10" customFormat="1" hidden="1">
      <c r="A751" s="96" t="s">
        <v>1770</v>
      </c>
      <c r="B751" s="1" t="s">
        <v>32</v>
      </c>
      <c r="C751" s="1" t="s">
        <v>860</v>
      </c>
      <c r="D751" s="96">
        <v>4</v>
      </c>
      <c r="E751" s="1" t="s">
        <v>791</v>
      </c>
      <c r="F751" s="117">
        <f>5394*0.48</f>
        <v>2589.12</v>
      </c>
      <c r="G751" s="90">
        <f t="shared" si="15"/>
        <v>10356.48</v>
      </c>
      <c r="H751" s="125">
        <v>46134</v>
      </c>
      <c r="I751" s="1" t="s">
        <v>873</v>
      </c>
      <c r="J751" s="1"/>
    </row>
    <row r="752" spans="1:10" customFormat="1" hidden="1">
      <c r="A752" s="97" t="s">
        <v>1771</v>
      </c>
      <c r="B752" s="9" t="s">
        <v>32</v>
      </c>
      <c r="C752" s="9" t="s">
        <v>860</v>
      </c>
      <c r="D752" s="97">
        <v>73</v>
      </c>
      <c r="E752" s="1" t="s">
        <v>791</v>
      </c>
      <c r="F752" s="147">
        <f>803*0.48</f>
        <v>385.44</v>
      </c>
      <c r="G752" s="90">
        <f t="shared" si="15"/>
        <v>28137.119999999999</v>
      </c>
      <c r="H752" s="130">
        <v>46134</v>
      </c>
      <c r="I752" s="1" t="s">
        <v>873</v>
      </c>
      <c r="J752" s="1"/>
    </row>
    <row r="753" spans="1:10" customFormat="1" hidden="1">
      <c r="A753" s="96" t="s">
        <v>1772</v>
      </c>
      <c r="B753" s="1" t="s">
        <v>32</v>
      </c>
      <c r="C753" s="1" t="s">
        <v>860</v>
      </c>
      <c r="D753" s="96">
        <v>18</v>
      </c>
      <c r="E753" s="1" t="s">
        <v>791</v>
      </c>
      <c r="F753" s="115">
        <f>57429*0.48</f>
        <v>27565.919999999998</v>
      </c>
      <c r="G753" s="90">
        <f t="shared" si="15"/>
        <v>496186.55999999994</v>
      </c>
      <c r="H753" s="125">
        <v>46134</v>
      </c>
      <c r="I753" s="1" t="s">
        <v>873</v>
      </c>
      <c r="J753" s="1"/>
    </row>
    <row r="754" spans="1:10" customFormat="1" hidden="1">
      <c r="A754" s="96" t="s">
        <v>1773</v>
      </c>
      <c r="B754" s="1" t="s">
        <v>32</v>
      </c>
      <c r="C754" s="1" t="s">
        <v>860</v>
      </c>
      <c r="D754" s="96">
        <v>1</v>
      </c>
      <c r="E754" s="1" t="s">
        <v>791</v>
      </c>
      <c r="F754" s="115">
        <f>96796*0.8</f>
        <v>77436.800000000003</v>
      </c>
      <c r="G754" s="90">
        <f t="shared" ref="G754:G818" si="16">+D754*F754</f>
        <v>77436.800000000003</v>
      </c>
      <c r="H754" s="125">
        <v>46134</v>
      </c>
      <c r="I754" s="1" t="s">
        <v>960</v>
      </c>
      <c r="J754" s="1"/>
    </row>
    <row r="755" spans="1:10" customFormat="1" hidden="1">
      <c r="A755" s="113" t="s">
        <v>1774</v>
      </c>
      <c r="B755" s="109" t="s">
        <v>360</v>
      </c>
      <c r="C755" s="109" t="s">
        <v>860</v>
      </c>
      <c r="D755" s="96">
        <v>20</v>
      </c>
      <c r="E755" s="1" t="s">
        <v>791</v>
      </c>
      <c r="F755" s="117">
        <f>23436*0.48</f>
        <v>11249.279999999999</v>
      </c>
      <c r="G755" s="90">
        <f t="shared" si="16"/>
        <v>224985.59999999998</v>
      </c>
      <c r="H755" s="125">
        <v>46134</v>
      </c>
      <c r="I755" s="1" t="s">
        <v>873</v>
      </c>
      <c r="J755" s="1"/>
    </row>
    <row r="756" spans="1:10" customFormat="1" hidden="1">
      <c r="A756" s="96" t="s">
        <v>713</v>
      </c>
      <c r="B756" s="1" t="s">
        <v>193</v>
      </c>
      <c r="C756" s="1" t="s">
        <v>1059</v>
      </c>
      <c r="D756" s="96">
        <v>3</v>
      </c>
      <c r="E756" s="1" t="s">
        <v>791</v>
      </c>
      <c r="F756" s="117">
        <f>2887*0.5</f>
        <v>1443.5</v>
      </c>
      <c r="G756" s="90">
        <f t="shared" si="16"/>
        <v>4330.5</v>
      </c>
      <c r="H756" s="125">
        <v>46146</v>
      </c>
      <c r="I756" s="1" t="s">
        <v>873</v>
      </c>
      <c r="J756" s="1"/>
    </row>
    <row r="757" spans="1:10" customFormat="1" hidden="1">
      <c r="A757" s="96" t="s">
        <v>714</v>
      </c>
      <c r="B757" s="1" t="s">
        <v>193</v>
      </c>
      <c r="C757" s="1" t="s">
        <v>1059</v>
      </c>
      <c r="D757" s="96">
        <v>13</v>
      </c>
      <c r="E757" s="1" t="s">
        <v>791</v>
      </c>
      <c r="F757" s="117">
        <f>3306*0.5</f>
        <v>1653</v>
      </c>
      <c r="G757" s="90">
        <f t="shared" si="16"/>
        <v>21489</v>
      </c>
      <c r="H757" s="125">
        <v>46146</v>
      </c>
      <c r="I757" s="1" t="s">
        <v>873</v>
      </c>
      <c r="J757" s="1"/>
    </row>
    <row r="758" spans="1:10" customFormat="1" hidden="1">
      <c r="A758" s="96" t="s">
        <v>197</v>
      </c>
      <c r="B758" s="1" t="s">
        <v>193</v>
      </c>
      <c r="C758" s="1" t="s">
        <v>1059</v>
      </c>
      <c r="D758" s="96">
        <v>11</v>
      </c>
      <c r="E758" s="1" t="s">
        <v>791</v>
      </c>
      <c r="F758" s="115">
        <f>9618*0.5</f>
        <v>4809</v>
      </c>
      <c r="G758" s="90">
        <f t="shared" si="16"/>
        <v>52899</v>
      </c>
      <c r="H758" s="125">
        <v>46146</v>
      </c>
      <c r="I758" s="1" t="s">
        <v>873</v>
      </c>
      <c r="J758" s="1"/>
    </row>
    <row r="759" spans="1:10" customFormat="1" hidden="1">
      <c r="A759" s="96" t="s">
        <v>198</v>
      </c>
      <c r="B759" s="1" t="s">
        <v>193</v>
      </c>
      <c r="C759" s="1" t="s">
        <v>1059</v>
      </c>
      <c r="D759" s="96">
        <v>8</v>
      </c>
      <c r="E759" s="1" t="s">
        <v>791</v>
      </c>
      <c r="F759" s="115">
        <f>41780*0.5</f>
        <v>20890</v>
      </c>
      <c r="G759" s="90">
        <f t="shared" si="16"/>
        <v>167120</v>
      </c>
      <c r="H759" s="125">
        <v>46146</v>
      </c>
      <c r="I759" s="1" t="s">
        <v>873</v>
      </c>
      <c r="J759" s="1"/>
    </row>
    <row r="760" spans="1:10" customFormat="1" hidden="1">
      <c r="A760" s="96" t="s">
        <v>1775</v>
      </c>
      <c r="B760" s="1" t="s">
        <v>193</v>
      </c>
      <c r="C760" s="1" t="s">
        <v>1059</v>
      </c>
      <c r="D760" s="96">
        <v>1</v>
      </c>
      <c r="E760" s="1" t="s">
        <v>791</v>
      </c>
      <c r="F760" s="115">
        <f>120246*0.5</f>
        <v>60123</v>
      </c>
      <c r="G760" s="90">
        <f t="shared" si="16"/>
        <v>60123</v>
      </c>
      <c r="H760" s="125">
        <v>46146</v>
      </c>
      <c r="I760" s="1" t="s">
        <v>873</v>
      </c>
      <c r="J760" s="1"/>
    </row>
    <row r="761" spans="1:10" customFormat="1" hidden="1">
      <c r="A761" s="1" t="s">
        <v>1776</v>
      </c>
      <c r="B761" s="1" t="s">
        <v>460</v>
      </c>
      <c r="C761" s="1" t="s">
        <v>860</v>
      </c>
      <c r="D761" s="1"/>
      <c r="E761" s="1" t="s">
        <v>791</v>
      </c>
      <c r="F761" s="90"/>
      <c r="G761" s="90">
        <f t="shared" si="16"/>
        <v>0</v>
      </c>
      <c r="H761" s="127"/>
      <c r="I761" s="1"/>
      <c r="J761" s="1"/>
    </row>
    <row r="762" spans="1:10" customFormat="1" hidden="1">
      <c r="A762" s="96" t="s">
        <v>1777</v>
      </c>
      <c r="B762" s="9" t="s">
        <v>321</v>
      </c>
      <c r="C762" s="1" t="s">
        <v>860</v>
      </c>
      <c r="D762" s="96">
        <v>12</v>
      </c>
      <c r="E762" s="1" t="s">
        <v>791</v>
      </c>
      <c r="F762" s="117">
        <v>1618</v>
      </c>
      <c r="G762" s="90">
        <f t="shared" si="16"/>
        <v>19416</v>
      </c>
      <c r="H762" s="125">
        <v>46141</v>
      </c>
      <c r="I762" s="114" t="s">
        <v>1778</v>
      </c>
      <c r="J762" s="1"/>
    </row>
    <row r="763" spans="1:10" customFormat="1" hidden="1">
      <c r="A763" s="96" t="s">
        <v>1779</v>
      </c>
      <c r="B763" s="9" t="s">
        <v>321</v>
      </c>
      <c r="C763" s="1" t="s">
        <v>860</v>
      </c>
      <c r="D763" s="96">
        <v>2</v>
      </c>
      <c r="E763" s="1" t="s">
        <v>791</v>
      </c>
      <c r="F763" s="117">
        <f>1750*0.8</f>
        <v>1400</v>
      </c>
      <c r="G763" s="90">
        <f t="shared" si="16"/>
        <v>2800</v>
      </c>
      <c r="H763" s="125">
        <v>46141</v>
      </c>
      <c r="I763" s="119" t="s">
        <v>820</v>
      </c>
      <c r="J763" s="1" t="s">
        <v>739</v>
      </c>
    </row>
    <row r="764" spans="1:10" customFormat="1" hidden="1">
      <c r="A764" s="96" t="s">
        <v>1780</v>
      </c>
      <c r="B764" s="9" t="s">
        <v>321</v>
      </c>
      <c r="C764" s="1" t="s">
        <v>860</v>
      </c>
      <c r="D764" s="96">
        <v>7</v>
      </c>
      <c r="E764" s="1" t="s">
        <v>791</v>
      </c>
      <c r="F764" s="117">
        <v>4880</v>
      </c>
      <c r="G764" s="90">
        <f t="shared" si="16"/>
        <v>34160</v>
      </c>
      <c r="H764" s="125">
        <v>46141</v>
      </c>
      <c r="I764" s="114" t="s">
        <v>973</v>
      </c>
      <c r="J764" s="1" t="s">
        <v>739</v>
      </c>
    </row>
    <row r="765" spans="1:10" customFormat="1" hidden="1">
      <c r="A765" s="96" t="s">
        <v>1781</v>
      </c>
      <c r="B765" s="9" t="s">
        <v>321</v>
      </c>
      <c r="C765" s="1" t="s">
        <v>860</v>
      </c>
      <c r="D765" s="96">
        <v>2</v>
      </c>
      <c r="E765" s="1" t="s">
        <v>791</v>
      </c>
      <c r="F765" s="117">
        <v>3689</v>
      </c>
      <c r="G765" s="90">
        <f t="shared" si="16"/>
        <v>7378</v>
      </c>
      <c r="H765" s="125">
        <v>46141</v>
      </c>
      <c r="I765" s="114" t="s">
        <v>1223</v>
      </c>
      <c r="J765" s="1"/>
    </row>
    <row r="766" spans="1:10" customFormat="1" hidden="1">
      <c r="A766" s="96" t="s">
        <v>1782</v>
      </c>
      <c r="B766" s="9" t="s">
        <v>321</v>
      </c>
      <c r="C766" s="1" t="s">
        <v>860</v>
      </c>
      <c r="D766" s="96">
        <v>3</v>
      </c>
      <c r="E766" s="1" t="s">
        <v>791</v>
      </c>
      <c r="F766" s="117">
        <v>8480</v>
      </c>
      <c r="G766" s="90">
        <f t="shared" si="16"/>
        <v>25440</v>
      </c>
      <c r="H766" s="125">
        <v>46141</v>
      </c>
      <c r="I766" s="114" t="s">
        <v>973</v>
      </c>
      <c r="J766" s="1"/>
    </row>
    <row r="767" spans="1:10" customFormat="1" hidden="1">
      <c r="A767" s="96" t="s">
        <v>1783</v>
      </c>
      <c r="B767" s="9" t="s">
        <v>321</v>
      </c>
      <c r="C767" s="1" t="s">
        <v>860</v>
      </c>
      <c r="D767" s="96">
        <v>4</v>
      </c>
      <c r="E767" s="1" t="s">
        <v>791</v>
      </c>
      <c r="F767" s="117">
        <v>11775</v>
      </c>
      <c r="G767" s="90">
        <f t="shared" si="16"/>
        <v>47100</v>
      </c>
      <c r="H767" s="125">
        <v>46141</v>
      </c>
      <c r="I767" s="114" t="s">
        <v>1784</v>
      </c>
      <c r="J767" s="1"/>
    </row>
    <row r="768" spans="1:10" customFormat="1" hidden="1">
      <c r="A768" s="96" t="s">
        <v>1785</v>
      </c>
      <c r="B768" s="9" t="s">
        <v>321</v>
      </c>
      <c r="C768" s="1" t="s">
        <v>860</v>
      </c>
      <c r="D768" s="96">
        <v>6</v>
      </c>
      <c r="E768" s="1" t="s">
        <v>791</v>
      </c>
      <c r="F768" s="117">
        <v>2700</v>
      </c>
      <c r="G768" s="90">
        <f t="shared" si="16"/>
        <v>16200</v>
      </c>
      <c r="H768" s="125">
        <v>46141</v>
      </c>
      <c r="I768" s="114"/>
      <c r="J768" s="1"/>
    </row>
    <row r="769" spans="1:10" hidden="1">
      <c r="A769" s="1" t="s">
        <v>1786</v>
      </c>
      <c r="B769" s="1" t="s">
        <v>13</v>
      </c>
      <c r="C769" s="78" t="s">
        <v>860</v>
      </c>
      <c r="D769" s="1"/>
      <c r="E769" s="1" t="s">
        <v>791</v>
      </c>
      <c r="F769" s="72"/>
      <c r="G769" s="90">
        <f t="shared" si="16"/>
        <v>0</v>
      </c>
      <c r="H769" s="125"/>
      <c r="I769" s="1"/>
      <c r="J769" s="1"/>
    </row>
    <row r="770" spans="1:10" hidden="1">
      <c r="A770" s="157" t="s">
        <v>1787</v>
      </c>
      <c r="B770" s="119" t="s">
        <v>13</v>
      </c>
      <c r="C770" s="119" t="s">
        <v>1106</v>
      </c>
      <c r="D770" s="157">
        <v>3</v>
      </c>
      <c r="E770" s="1" t="s">
        <v>791</v>
      </c>
      <c r="F770" s="122">
        <f>8210*0.8</f>
        <v>6568</v>
      </c>
      <c r="G770" s="90">
        <f t="shared" si="16"/>
        <v>19704</v>
      </c>
      <c r="H770" s="158">
        <v>46141</v>
      </c>
      <c r="I770" s="119" t="s">
        <v>960</v>
      </c>
      <c r="J770" s="119"/>
    </row>
    <row r="771" spans="1:10" hidden="1">
      <c r="A771" s="157" t="s">
        <v>1788</v>
      </c>
      <c r="B771" s="119" t="s">
        <v>13</v>
      </c>
      <c r="C771" s="119" t="s">
        <v>1106</v>
      </c>
      <c r="D771" s="157">
        <v>3</v>
      </c>
      <c r="E771" s="1" t="s">
        <v>791</v>
      </c>
      <c r="F771" s="122">
        <f>4050*0.8</f>
        <v>3240</v>
      </c>
      <c r="G771" s="90">
        <f t="shared" si="16"/>
        <v>9720</v>
      </c>
      <c r="H771" s="158">
        <v>46141</v>
      </c>
      <c r="I771" s="119" t="s">
        <v>960</v>
      </c>
      <c r="J771" s="119"/>
    </row>
    <row r="772" spans="1:10" hidden="1">
      <c r="A772" s="157" t="s">
        <v>1789</v>
      </c>
      <c r="B772" s="119" t="s">
        <v>13</v>
      </c>
      <c r="C772" s="119" t="s">
        <v>1106</v>
      </c>
      <c r="D772" s="157">
        <v>6</v>
      </c>
      <c r="E772" s="1" t="s">
        <v>791</v>
      </c>
      <c r="F772" s="122">
        <f>14940*0.8</f>
        <v>11952</v>
      </c>
      <c r="G772" s="90">
        <f t="shared" si="16"/>
        <v>71712</v>
      </c>
      <c r="H772" s="158">
        <v>46141</v>
      </c>
      <c r="I772" s="119" t="s">
        <v>960</v>
      </c>
      <c r="J772" s="119"/>
    </row>
    <row r="773" spans="1:10" hidden="1">
      <c r="A773" s="157" t="s">
        <v>1790</v>
      </c>
      <c r="B773" s="119" t="s">
        <v>13</v>
      </c>
      <c r="C773" s="119" t="s">
        <v>1106</v>
      </c>
      <c r="D773" s="157">
        <v>2</v>
      </c>
      <c r="E773" s="1" t="s">
        <v>791</v>
      </c>
      <c r="F773" s="122">
        <v>15735</v>
      </c>
      <c r="G773" s="90">
        <f t="shared" si="16"/>
        <v>31470</v>
      </c>
      <c r="H773" s="158">
        <v>46141</v>
      </c>
      <c r="I773" s="119" t="s">
        <v>1147</v>
      </c>
      <c r="J773" s="119"/>
    </row>
    <row r="774" spans="1:10" hidden="1">
      <c r="A774" s="157" t="s">
        <v>1791</v>
      </c>
      <c r="B774" s="119" t="s">
        <v>13</v>
      </c>
      <c r="C774" s="119" t="s">
        <v>1106</v>
      </c>
      <c r="D774" s="157">
        <v>2</v>
      </c>
      <c r="E774" s="1" t="s">
        <v>791</v>
      </c>
      <c r="F774" s="122">
        <f>56060*0.8</f>
        <v>44848</v>
      </c>
      <c r="G774" s="90">
        <f t="shared" si="16"/>
        <v>89696</v>
      </c>
      <c r="H774" s="158">
        <v>46141</v>
      </c>
      <c r="I774" s="119" t="s">
        <v>1389</v>
      </c>
      <c r="J774" s="119"/>
    </row>
    <row r="775" spans="1:10" customFormat="1" hidden="1">
      <c r="A775" s="157" t="s">
        <v>1792</v>
      </c>
      <c r="B775" s="119" t="s">
        <v>13</v>
      </c>
      <c r="C775" s="119" t="s">
        <v>1106</v>
      </c>
      <c r="D775" s="157">
        <v>2</v>
      </c>
      <c r="E775" s="1" t="s">
        <v>791</v>
      </c>
      <c r="F775" s="122">
        <f>6600*0.8</f>
        <v>5280</v>
      </c>
      <c r="G775" s="90">
        <f t="shared" si="16"/>
        <v>10560</v>
      </c>
      <c r="H775" s="158">
        <v>46134</v>
      </c>
      <c r="I775" s="119" t="s">
        <v>1379</v>
      </c>
      <c r="J775" s="119"/>
    </row>
    <row r="776" spans="1:10" customFormat="1" hidden="1">
      <c r="A776" s="1" t="s">
        <v>1793</v>
      </c>
      <c r="B776" s="1" t="s">
        <v>830</v>
      </c>
      <c r="C776" s="1"/>
      <c r="D776" s="1"/>
      <c r="E776" s="1" t="s">
        <v>791</v>
      </c>
      <c r="F776" s="72"/>
      <c r="G776" s="90">
        <f t="shared" si="16"/>
        <v>0</v>
      </c>
      <c r="H776" s="125"/>
      <c r="I776" s="1"/>
      <c r="J776" s="1"/>
    </row>
    <row r="777" spans="1:10" customFormat="1" hidden="1">
      <c r="A777" s="1" t="s">
        <v>1794</v>
      </c>
      <c r="B777" s="1" t="s">
        <v>830</v>
      </c>
      <c r="C777" s="1"/>
      <c r="D777" s="1"/>
      <c r="E777" s="1" t="s">
        <v>791</v>
      </c>
      <c r="F777" s="72"/>
      <c r="G777" s="90">
        <f t="shared" si="16"/>
        <v>0</v>
      </c>
      <c r="H777" s="125"/>
      <c r="I777" s="1"/>
      <c r="J777" s="1"/>
    </row>
    <row r="778" spans="1:10" customFormat="1" hidden="1">
      <c r="A778" s="1" t="s">
        <v>1795</v>
      </c>
      <c r="B778" s="1" t="s">
        <v>830</v>
      </c>
      <c r="C778" s="1"/>
      <c r="D778" s="1"/>
      <c r="E778" s="1" t="s">
        <v>791</v>
      </c>
      <c r="F778" s="72"/>
      <c r="G778" s="90">
        <f t="shared" si="16"/>
        <v>0</v>
      </c>
      <c r="H778" s="125"/>
      <c r="I778" s="1"/>
      <c r="J778" s="1"/>
    </row>
    <row r="779" spans="1:10" customFormat="1" hidden="1">
      <c r="A779" s="1" t="s">
        <v>1796</v>
      </c>
      <c r="B779" s="1" t="s">
        <v>32</v>
      </c>
      <c r="C779" s="1" t="s">
        <v>887</v>
      </c>
      <c r="D779" s="1"/>
      <c r="E779" s="1" t="s">
        <v>791</v>
      </c>
      <c r="F779" s="72"/>
      <c r="G779" s="90">
        <f t="shared" si="16"/>
        <v>0</v>
      </c>
      <c r="H779" s="125">
        <v>46134</v>
      </c>
      <c r="I779" s="1"/>
      <c r="J779" s="1"/>
    </row>
    <row r="780" spans="1:10" customFormat="1" hidden="1">
      <c r="A780" s="1" t="s">
        <v>1797</v>
      </c>
      <c r="B780" s="1" t="s">
        <v>32</v>
      </c>
      <c r="C780" s="1" t="s">
        <v>860</v>
      </c>
      <c r="D780" s="1"/>
      <c r="E780" s="1" t="s">
        <v>791</v>
      </c>
      <c r="F780" s="72"/>
      <c r="G780" s="90">
        <f t="shared" si="16"/>
        <v>0</v>
      </c>
      <c r="H780" s="125">
        <v>46134</v>
      </c>
      <c r="I780" s="1"/>
      <c r="J780" s="1"/>
    </row>
    <row r="781" spans="1:10" customFormat="1" hidden="1">
      <c r="A781" s="1" t="s">
        <v>1798</v>
      </c>
      <c r="B781" s="1" t="s">
        <v>32</v>
      </c>
      <c r="C781" s="1" t="s">
        <v>860</v>
      </c>
      <c r="D781" s="1"/>
      <c r="E781" s="1" t="s">
        <v>791</v>
      </c>
      <c r="F781" s="72"/>
      <c r="G781" s="90">
        <f t="shared" si="16"/>
        <v>0</v>
      </c>
      <c r="H781" s="125">
        <v>46134</v>
      </c>
      <c r="I781" s="1"/>
      <c r="J781" s="1"/>
    </row>
    <row r="782" spans="1:10" customFormat="1" hidden="1">
      <c r="A782" s="96" t="s">
        <v>1799</v>
      </c>
      <c r="B782" s="1" t="s">
        <v>32</v>
      </c>
      <c r="C782" s="1" t="s">
        <v>887</v>
      </c>
      <c r="D782" s="96">
        <v>8</v>
      </c>
      <c r="E782" s="1" t="s">
        <v>791</v>
      </c>
      <c r="F782" s="117">
        <f>67019*0.8</f>
        <v>53615.200000000004</v>
      </c>
      <c r="G782" s="90">
        <f t="shared" si="16"/>
        <v>428921.60000000003</v>
      </c>
      <c r="H782" s="125">
        <v>46134</v>
      </c>
      <c r="I782" s="1" t="s">
        <v>910</v>
      </c>
      <c r="J782" s="1"/>
    </row>
    <row r="783" spans="1:10" customFormat="1" hidden="1">
      <c r="A783" s="96" t="s">
        <v>1800</v>
      </c>
      <c r="B783" s="1" t="s">
        <v>32</v>
      </c>
      <c r="C783" s="1" t="s">
        <v>860</v>
      </c>
      <c r="D783" s="96">
        <v>5</v>
      </c>
      <c r="E783" s="1" t="s">
        <v>791</v>
      </c>
      <c r="F783" s="117">
        <f>4429*0.48</f>
        <v>2125.92</v>
      </c>
      <c r="G783" s="90">
        <f t="shared" si="16"/>
        <v>10629.6</v>
      </c>
      <c r="H783" s="125">
        <v>46134</v>
      </c>
      <c r="I783" s="1" t="s">
        <v>873</v>
      </c>
      <c r="J783" s="1"/>
    </row>
    <row r="784" spans="1:10" customFormat="1" hidden="1">
      <c r="A784" s="96" t="s">
        <v>1801</v>
      </c>
      <c r="B784" s="1" t="s">
        <v>32</v>
      </c>
      <c r="C784" s="1" t="s">
        <v>860</v>
      </c>
      <c r="D784" s="96">
        <v>14</v>
      </c>
      <c r="E784" s="1" t="s">
        <v>791</v>
      </c>
      <c r="F784" s="117">
        <f>8962*0.48</f>
        <v>4301.76</v>
      </c>
      <c r="G784" s="90">
        <f t="shared" si="16"/>
        <v>60224.639999999999</v>
      </c>
      <c r="H784" s="125">
        <v>46134</v>
      </c>
      <c r="I784" s="1" t="s">
        <v>873</v>
      </c>
      <c r="J784" s="1"/>
    </row>
    <row r="785" spans="1:10" customFormat="1" hidden="1">
      <c r="A785" s="113" t="s">
        <v>1802</v>
      </c>
      <c r="B785" s="114" t="s">
        <v>32</v>
      </c>
      <c r="C785" s="114" t="s">
        <v>860</v>
      </c>
      <c r="D785" s="113">
        <v>2</v>
      </c>
      <c r="E785" s="1" t="s">
        <v>791</v>
      </c>
      <c r="F785" s="117">
        <f>31100*0.8</f>
        <v>24880</v>
      </c>
      <c r="G785" s="90">
        <f t="shared" si="16"/>
        <v>49760</v>
      </c>
      <c r="H785" s="125">
        <v>46134</v>
      </c>
      <c r="I785" s="1" t="s">
        <v>1075</v>
      </c>
      <c r="J785" s="1"/>
    </row>
    <row r="786" spans="1:10" customFormat="1" hidden="1">
      <c r="A786" s="96" t="s">
        <v>1803</v>
      </c>
      <c r="B786" s="1" t="s">
        <v>32</v>
      </c>
      <c r="C786" s="1" t="s">
        <v>887</v>
      </c>
      <c r="D786" s="96">
        <v>1</v>
      </c>
      <c r="E786" s="1" t="s">
        <v>791</v>
      </c>
      <c r="F786" s="136">
        <f>13500*0.8</f>
        <v>10800</v>
      </c>
      <c r="G786" s="90">
        <f t="shared" si="16"/>
        <v>10800</v>
      </c>
      <c r="H786" s="130">
        <v>46134</v>
      </c>
      <c r="I786" s="1" t="s">
        <v>856</v>
      </c>
      <c r="J786" s="1"/>
    </row>
    <row r="787" spans="1:10" customFormat="1" hidden="1">
      <c r="A787" s="96" t="s">
        <v>1804</v>
      </c>
      <c r="B787" s="1" t="s">
        <v>32</v>
      </c>
      <c r="C787" s="1" t="s">
        <v>860</v>
      </c>
      <c r="D787" s="96">
        <v>30</v>
      </c>
      <c r="E787" s="1" t="s">
        <v>791</v>
      </c>
      <c r="F787" s="117">
        <f>11870*0.48</f>
        <v>5697.5999999999995</v>
      </c>
      <c r="G787" s="90">
        <f t="shared" si="16"/>
        <v>170927.99999999997</v>
      </c>
      <c r="H787" s="125">
        <v>46134</v>
      </c>
      <c r="I787" s="1" t="s">
        <v>873</v>
      </c>
      <c r="J787" s="1"/>
    </row>
    <row r="788" spans="1:10" customFormat="1" hidden="1">
      <c r="A788" s="96" t="s">
        <v>1805</v>
      </c>
      <c r="B788" s="1" t="s">
        <v>32</v>
      </c>
      <c r="C788" s="1" t="s">
        <v>887</v>
      </c>
      <c r="D788" s="96">
        <v>2</v>
      </c>
      <c r="E788" s="1" t="s">
        <v>791</v>
      </c>
      <c r="F788" s="201">
        <f>15200*0.8</f>
        <v>12160</v>
      </c>
      <c r="G788" s="90">
        <f t="shared" si="16"/>
        <v>24320</v>
      </c>
      <c r="H788" s="131">
        <v>46134</v>
      </c>
      <c r="I788" s="119" t="s">
        <v>820</v>
      </c>
      <c r="J788" s="1"/>
    </row>
    <row r="789" spans="1:10" customFormat="1" hidden="1">
      <c r="A789" s="96" t="s">
        <v>1806</v>
      </c>
      <c r="B789" s="1" t="s">
        <v>32</v>
      </c>
      <c r="C789" s="1" t="s">
        <v>887</v>
      </c>
      <c r="D789" s="96">
        <v>5</v>
      </c>
      <c r="E789" s="1" t="s">
        <v>791</v>
      </c>
      <c r="F789" s="117">
        <f>69800*0.8</f>
        <v>55840</v>
      </c>
      <c r="G789" s="90">
        <f t="shared" si="16"/>
        <v>279200</v>
      </c>
      <c r="H789" s="125">
        <v>46134</v>
      </c>
      <c r="I789" s="1" t="s">
        <v>856</v>
      </c>
      <c r="J789" s="1"/>
    </row>
    <row r="790" spans="1:10" customFormat="1" hidden="1">
      <c r="A790" s="96" t="s">
        <v>1807</v>
      </c>
      <c r="B790" s="1" t="s">
        <v>32</v>
      </c>
      <c r="C790" s="1" t="s">
        <v>860</v>
      </c>
      <c r="D790" s="96">
        <v>17</v>
      </c>
      <c r="E790" s="1" t="s">
        <v>791</v>
      </c>
      <c r="F790" s="117">
        <f>36776*0.48</f>
        <v>17652.48</v>
      </c>
      <c r="G790" s="90">
        <f t="shared" si="16"/>
        <v>300092.15999999997</v>
      </c>
      <c r="H790" s="125">
        <v>46134</v>
      </c>
      <c r="I790" s="1" t="s">
        <v>873</v>
      </c>
      <c r="J790" s="1"/>
    </row>
    <row r="791" spans="1:10" customFormat="1" hidden="1">
      <c r="A791" s="96" t="s">
        <v>1808</v>
      </c>
      <c r="B791" s="1" t="s">
        <v>32</v>
      </c>
      <c r="C791" s="1" t="s">
        <v>860</v>
      </c>
      <c r="D791" s="96">
        <v>12</v>
      </c>
      <c r="E791" s="1" t="s">
        <v>791</v>
      </c>
      <c r="F791" s="117">
        <f>47010*0.48</f>
        <v>22564.799999999999</v>
      </c>
      <c r="G791" s="90">
        <f t="shared" si="16"/>
        <v>270777.59999999998</v>
      </c>
      <c r="H791" s="125">
        <v>46134</v>
      </c>
      <c r="I791" s="1" t="s">
        <v>873</v>
      </c>
      <c r="J791" s="1"/>
    </row>
    <row r="792" spans="1:10" customFormat="1" hidden="1">
      <c r="A792" s="96" t="s">
        <v>1809</v>
      </c>
      <c r="B792" s="1" t="s">
        <v>32</v>
      </c>
      <c r="C792" s="1" t="s">
        <v>860</v>
      </c>
      <c r="D792" s="96">
        <v>5</v>
      </c>
      <c r="E792" s="1" t="s">
        <v>791</v>
      </c>
      <c r="F792" s="117">
        <f>27870*0.8</f>
        <v>22296</v>
      </c>
      <c r="G792" s="90">
        <f t="shared" si="16"/>
        <v>111480</v>
      </c>
      <c r="H792" s="131">
        <v>46134</v>
      </c>
      <c r="I792" s="1" t="s">
        <v>1810</v>
      </c>
      <c r="J792" s="1"/>
    </row>
    <row r="793" spans="1:10" customFormat="1" hidden="1">
      <c r="A793" s="96" t="s">
        <v>1811</v>
      </c>
      <c r="B793" s="1" t="s">
        <v>32</v>
      </c>
      <c r="C793" s="1" t="s">
        <v>860</v>
      </c>
      <c r="D793" s="96">
        <v>4</v>
      </c>
      <c r="E793" s="1" t="s">
        <v>791</v>
      </c>
      <c r="F793" s="115">
        <f>7853*0.48</f>
        <v>3769.44</v>
      </c>
      <c r="G793" s="90">
        <f t="shared" si="16"/>
        <v>15077.76</v>
      </c>
      <c r="H793" s="125">
        <v>46134</v>
      </c>
      <c r="I793" s="1" t="s">
        <v>873</v>
      </c>
      <c r="J793" s="1"/>
    </row>
    <row r="794" spans="1:10" customFormat="1" hidden="1">
      <c r="A794" s="96" t="s">
        <v>1812</v>
      </c>
      <c r="B794" s="1" t="s">
        <v>830</v>
      </c>
      <c r="C794" s="1" t="s">
        <v>831</v>
      </c>
      <c r="D794" s="96">
        <v>10</v>
      </c>
      <c r="E794" s="1" t="s">
        <v>791</v>
      </c>
      <c r="F794" s="117">
        <f>16200*0.8</f>
        <v>12960</v>
      </c>
      <c r="G794" s="90">
        <f t="shared" si="16"/>
        <v>129600</v>
      </c>
      <c r="H794" s="125">
        <v>46146</v>
      </c>
      <c r="I794" s="1" t="s">
        <v>868</v>
      </c>
      <c r="J794" s="1"/>
    </row>
    <row r="795" spans="1:10" customFormat="1" hidden="1">
      <c r="A795" s="96" t="s">
        <v>1813</v>
      </c>
      <c r="B795" s="61" t="s">
        <v>830</v>
      </c>
      <c r="C795" s="1" t="s">
        <v>831</v>
      </c>
      <c r="D795" s="101">
        <v>13</v>
      </c>
      <c r="E795" s="1" t="s">
        <v>791</v>
      </c>
      <c r="F795" s="117">
        <f>16110*0.8</f>
        <v>12888</v>
      </c>
      <c r="G795" s="90">
        <f t="shared" si="16"/>
        <v>167544</v>
      </c>
      <c r="H795" s="125">
        <v>46146</v>
      </c>
      <c r="I795" s="1" t="s">
        <v>1055</v>
      </c>
      <c r="J795" s="1"/>
    </row>
    <row r="796" spans="1:10" s="163" customFormat="1" hidden="1">
      <c r="A796" s="96" t="s">
        <v>1814</v>
      </c>
      <c r="B796" s="61" t="s">
        <v>830</v>
      </c>
      <c r="C796" s="1" t="s">
        <v>831</v>
      </c>
      <c r="D796" s="101">
        <v>7</v>
      </c>
      <c r="E796" s="1" t="s">
        <v>791</v>
      </c>
      <c r="F796" s="117">
        <f>16200*0.8</f>
        <v>12960</v>
      </c>
      <c r="G796" s="90">
        <f t="shared" si="16"/>
        <v>90720</v>
      </c>
      <c r="H796" s="125">
        <v>46146</v>
      </c>
      <c r="I796" s="1" t="s">
        <v>1541</v>
      </c>
      <c r="J796" s="1"/>
    </row>
    <row r="797" spans="1:10" s="163" customFormat="1" hidden="1">
      <c r="A797" s="157" t="s">
        <v>1815</v>
      </c>
      <c r="B797" s="119" t="s">
        <v>13</v>
      </c>
      <c r="C797" s="119" t="s">
        <v>860</v>
      </c>
      <c r="D797" s="217">
        <v>1</v>
      </c>
      <c r="E797" s="1" t="s">
        <v>791</v>
      </c>
      <c r="F797" s="122">
        <f>25920*0.8</f>
        <v>20736</v>
      </c>
      <c r="G797" s="90">
        <f t="shared" si="16"/>
        <v>20736</v>
      </c>
      <c r="H797" s="158">
        <v>46141</v>
      </c>
      <c r="I797" s="119" t="s">
        <v>822</v>
      </c>
      <c r="J797" s="119"/>
    </row>
    <row r="798" spans="1:10" s="163" customFormat="1" hidden="1">
      <c r="A798" s="157" t="s">
        <v>1816</v>
      </c>
      <c r="B798" s="119" t="s">
        <v>13</v>
      </c>
      <c r="C798" s="119" t="s">
        <v>860</v>
      </c>
      <c r="D798" s="217">
        <f>2+1</f>
        <v>3</v>
      </c>
      <c r="E798" s="1" t="s">
        <v>791</v>
      </c>
      <c r="F798" s="122">
        <f>21280*0.8</f>
        <v>17024</v>
      </c>
      <c r="G798" s="90">
        <f t="shared" si="16"/>
        <v>51072</v>
      </c>
      <c r="H798" s="158">
        <v>46141</v>
      </c>
      <c r="I798" s="164" t="s">
        <v>868</v>
      </c>
      <c r="J798" s="119"/>
    </row>
    <row r="799" spans="1:10" s="163" customFormat="1" hidden="1">
      <c r="A799" s="157" t="s">
        <v>1817</v>
      </c>
      <c r="B799" s="119" t="s">
        <v>13</v>
      </c>
      <c r="C799" s="119" t="s">
        <v>860</v>
      </c>
      <c r="D799" s="217">
        <v>2</v>
      </c>
      <c r="E799" s="1" t="s">
        <v>791</v>
      </c>
      <c r="F799" s="122">
        <f>11500*0.8</f>
        <v>9200</v>
      </c>
      <c r="G799" s="90">
        <f t="shared" si="16"/>
        <v>18400</v>
      </c>
      <c r="H799" s="158">
        <v>46134</v>
      </c>
      <c r="I799" s="119" t="s">
        <v>989</v>
      </c>
      <c r="J799" s="119"/>
    </row>
    <row r="800" spans="1:10" s="163" customFormat="1" hidden="1">
      <c r="A800" s="157" t="s">
        <v>1818</v>
      </c>
      <c r="B800" s="119" t="s">
        <v>13</v>
      </c>
      <c r="C800" s="119" t="s">
        <v>860</v>
      </c>
      <c r="D800" s="217">
        <v>1</v>
      </c>
      <c r="E800" s="1" t="s">
        <v>791</v>
      </c>
      <c r="F800" s="122">
        <f>7710*0.8</f>
        <v>6168</v>
      </c>
      <c r="G800" s="90">
        <f t="shared" si="16"/>
        <v>6168</v>
      </c>
      <c r="H800" s="158">
        <v>46141</v>
      </c>
      <c r="I800" s="119" t="s">
        <v>820</v>
      </c>
      <c r="J800" s="119"/>
    </row>
    <row r="801" spans="1:10" s="163" customFormat="1" hidden="1">
      <c r="A801" s="157" t="s">
        <v>1819</v>
      </c>
      <c r="B801" s="119" t="s">
        <v>13</v>
      </c>
      <c r="C801" s="119" t="s">
        <v>860</v>
      </c>
      <c r="D801" s="217">
        <f>1+4</f>
        <v>5</v>
      </c>
      <c r="E801" s="1" t="s">
        <v>791</v>
      </c>
      <c r="F801" s="122">
        <f>52750*0.8</f>
        <v>42200</v>
      </c>
      <c r="G801" s="90">
        <f t="shared" si="16"/>
        <v>211000</v>
      </c>
      <c r="H801" s="158">
        <v>46141</v>
      </c>
      <c r="I801" s="119" t="s">
        <v>1820</v>
      </c>
      <c r="J801" s="119"/>
    </row>
    <row r="802" spans="1:10" s="163" customFormat="1" hidden="1">
      <c r="A802" s="157" t="s">
        <v>1821</v>
      </c>
      <c r="B802" s="119" t="s">
        <v>13</v>
      </c>
      <c r="C802" s="119" t="s">
        <v>860</v>
      </c>
      <c r="D802" s="217">
        <v>5</v>
      </c>
      <c r="E802" s="1" t="s">
        <v>791</v>
      </c>
      <c r="F802" s="122">
        <f>43930*0.8</f>
        <v>35144</v>
      </c>
      <c r="G802" s="90">
        <f t="shared" si="16"/>
        <v>175720</v>
      </c>
      <c r="H802" s="158">
        <v>46141</v>
      </c>
      <c r="I802" s="119" t="s">
        <v>1055</v>
      </c>
      <c r="J802" s="119"/>
    </row>
    <row r="803" spans="1:10" s="124" customFormat="1" hidden="1">
      <c r="A803" s="157" t="s">
        <v>1822</v>
      </c>
      <c r="B803" s="119" t="s">
        <v>13</v>
      </c>
      <c r="C803" s="119" t="s">
        <v>860</v>
      </c>
      <c r="D803" s="217">
        <v>1</v>
      </c>
      <c r="E803" s="1" t="s">
        <v>791</v>
      </c>
      <c r="F803" s="122">
        <f>19670*0.8</f>
        <v>15736</v>
      </c>
      <c r="G803" s="90">
        <f t="shared" si="16"/>
        <v>15736</v>
      </c>
      <c r="H803" s="165">
        <v>46141</v>
      </c>
      <c r="I803" s="119" t="s">
        <v>1198</v>
      </c>
      <c r="J803" s="119"/>
    </row>
    <row r="804" spans="1:10" s="124" customFormat="1" hidden="1">
      <c r="A804" s="96" t="s">
        <v>1823</v>
      </c>
      <c r="B804" s="61" t="s">
        <v>32</v>
      </c>
      <c r="C804" s="1" t="s">
        <v>860</v>
      </c>
      <c r="D804" s="101">
        <v>5</v>
      </c>
      <c r="E804" s="1" t="s">
        <v>791</v>
      </c>
      <c r="F804" s="117">
        <f>7110*0.8</f>
        <v>5688</v>
      </c>
      <c r="G804" s="90">
        <f t="shared" si="16"/>
        <v>28440</v>
      </c>
      <c r="H804" s="150">
        <v>46134</v>
      </c>
      <c r="I804" s="1" t="s">
        <v>1389</v>
      </c>
      <c r="J804" s="1"/>
    </row>
    <row r="805" spans="1:10" s="124" customFormat="1" hidden="1">
      <c r="A805" s="96" t="s">
        <v>1824</v>
      </c>
      <c r="B805" s="61" t="s">
        <v>32</v>
      </c>
      <c r="C805" s="1" t="s">
        <v>860</v>
      </c>
      <c r="D805" s="101">
        <v>5</v>
      </c>
      <c r="E805" s="1" t="s">
        <v>791</v>
      </c>
      <c r="F805" s="117">
        <f>3150*0.8</f>
        <v>2520</v>
      </c>
      <c r="G805" s="90">
        <f t="shared" si="16"/>
        <v>12600</v>
      </c>
      <c r="H805" s="150">
        <v>46134</v>
      </c>
      <c r="I805" s="1" t="s">
        <v>1389</v>
      </c>
      <c r="J805" s="1"/>
    </row>
    <row r="806" spans="1:10" s="124" customFormat="1" hidden="1">
      <c r="A806" s="96" t="s">
        <v>1825</v>
      </c>
      <c r="B806" s="61" t="s">
        <v>32</v>
      </c>
      <c r="C806" s="1" t="s">
        <v>860</v>
      </c>
      <c r="D806" s="101">
        <v>3</v>
      </c>
      <c r="E806" s="1" t="s">
        <v>791</v>
      </c>
      <c r="F806" s="136">
        <f>21200*0.8</f>
        <v>16960</v>
      </c>
      <c r="G806" s="90">
        <f t="shared" si="16"/>
        <v>50880</v>
      </c>
      <c r="H806" s="150">
        <v>46134</v>
      </c>
      <c r="I806" s="1" t="s">
        <v>1389</v>
      </c>
      <c r="J806" s="1"/>
    </row>
    <row r="807" spans="1:10" customFormat="1" hidden="1">
      <c r="A807" s="97" t="s">
        <v>1826</v>
      </c>
      <c r="B807" s="62" t="s">
        <v>321</v>
      </c>
      <c r="C807" s="1" t="s">
        <v>860</v>
      </c>
      <c r="D807" s="155">
        <v>9</v>
      </c>
      <c r="E807" s="1" t="s">
        <v>791</v>
      </c>
      <c r="F807" s="117">
        <f>14880*0.8</f>
        <v>11904</v>
      </c>
      <c r="G807" s="90">
        <f t="shared" si="16"/>
        <v>107136</v>
      </c>
      <c r="H807" s="125">
        <v>46141</v>
      </c>
      <c r="I807" s="114" t="s">
        <v>960</v>
      </c>
      <c r="J807" s="1"/>
    </row>
    <row r="808" spans="1:10" customFormat="1" hidden="1">
      <c r="A808" s="96" t="s">
        <v>1827</v>
      </c>
      <c r="B808" s="1" t="s">
        <v>321</v>
      </c>
      <c r="C808" s="13" t="s">
        <v>860</v>
      </c>
      <c r="D808" s="96">
        <v>2</v>
      </c>
      <c r="E808" s="1" t="s">
        <v>791</v>
      </c>
      <c r="F808" s="117">
        <v>9618</v>
      </c>
      <c r="G808" s="90">
        <f t="shared" si="16"/>
        <v>19236</v>
      </c>
      <c r="H808" s="125">
        <v>46141</v>
      </c>
      <c r="I808" s="114" t="s">
        <v>1828</v>
      </c>
      <c r="J808" s="1"/>
    </row>
    <row r="809" spans="1:10" customFormat="1" hidden="1">
      <c r="A809" s="96" t="s">
        <v>1829</v>
      </c>
      <c r="B809" s="1" t="s">
        <v>321</v>
      </c>
      <c r="C809" s="1" t="s">
        <v>860</v>
      </c>
      <c r="D809" s="96">
        <v>3</v>
      </c>
      <c r="E809" s="1" t="s">
        <v>791</v>
      </c>
      <c r="F809" s="149">
        <v>23040</v>
      </c>
      <c r="G809" s="90">
        <f t="shared" si="16"/>
        <v>69120</v>
      </c>
      <c r="H809" s="150">
        <v>46141</v>
      </c>
      <c r="I809" s="114" t="s">
        <v>973</v>
      </c>
      <c r="J809" s="1"/>
    </row>
    <row r="810" spans="1:10" customFormat="1" hidden="1">
      <c r="A810" s="96" t="s">
        <v>1830</v>
      </c>
      <c r="B810" s="1" t="s">
        <v>321</v>
      </c>
      <c r="C810" s="1" t="s">
        <v>860</v>
      </c>
      <c r="D810" s="96">
        <f>1+2</f>
        <v>3</v>
      </c>
      <c r="E810" s="1" t="s">
        <v>791</v>
      </c>
      <c r="F810" s="117">
        <v>13575</v>
      </c>
      <c r="G810" s="90">
        <f t="shared" si="16"/>
        <v>40725</v>
      </c>
      <c r="H810" s="125">
        <v>46141</v>
      </c>
      <c r="I810" s="114" t="s">
        <v>1223</v>
      </c>
      <c r="J810" s="1"/>
    </row>
    <row r="811" spans="1:10" customFormat="1" hidden="1">
      <c r="A811" s="96" t="s">
        <v>1831</v>
      </c>
      <c r="B811" s="1" t="s">
        <v>321</v>
      </c>
      <c r="C811" s="1" t="s">
        <v>860</v>
      </c>
      <c r="D811" s="96">
        <v>14</v>
      </c>
      <c r="E811" s="1" t="s">
        <v>791</v>
      </c>
      <c r="F811" s="117">
        <v>36400</v>
      </c>
      <c r="G811" s="90">
        <f t="shared" si="16"/>
        <v>509600</v>
      </c>
      <c r="H811" s="125">
        <v>46141</v>
      </c>
      <c r="I811" s="114" t="s">
        <v>973</v>
      </c>
      <c r="J811" s="1"/>
    </row>
    <row r="812" spans="1:10" s="153" customFormat="1" hidden="1">
      <c r="A812" s="96" t="s">
        <v>1832</v>
      </c>
      <c r="B812" s="1" t="s">
        <v>321</v>
      </c>
      <c r="C812" s="1" t="s">
        <v>860</v>
      </c>
      <c r="D812" s="96">
        <v>5</v>
      </c>
      <c r="E812" s="1" t="s">
        <v>791</v>
      </c>
      <c r="F812" s="117">
        <v>62186</v>
      </c>
      <c r="G812" s="90">
        <f t="shared" si="16"/>
        <v>310930</v>
      </c>
      <c r="H812" s="125">
        <v>46141</v>
      </c>
      <c r="I812" s="114" t="s">
        <v>1833</v>
      </c>
      <c r="J812" s="1"/>
    </row>
    <row r="813" spans="1:10" customFormat="1" hidden="1">
      <c r="A813" s="96" t="s">
        <v>1834</v>
      </c>
      <c r="B813" s="1" t="s">
        <v>368</v>
      </c>
      <c r="C813" s="1"/>
      <c r="D813" s="96">
        <v>1</v>
      </c>
      <c r="E813" s="1" t="s">
        <v>791</v>
      </c>
      <c r="F813" s="117">
        <f>72270*0.8</f>
        <v>57816</v>
      </c>
      <c r="G813" s="111">
        <f t="shared" si="16"/>
        <v>57816</v>
      </c>
      <c r="H813" s="125">
        <v>46148</v>
      </c>
      <c r="I813" s="1" t="s">
        <v>1198</v>
      </c>
      <c r="J813" s="1"/>
    </row>
    <row r="814" spans="1:10" customFormat="1" hidden="1">
      <c r="A814" s="96" t="s">
        <v>1835</v>
      </c>
      <c r="B814" s="1" t="s">
        <v>368</v>
      </c>
      <c r="C814" s="1"/>
      <c r="D814" s="96">
        <v>1</v>
      </c>
      <c r="E814" s="1" t="s">
        <v>791</v>
      </c>
      <c r="F814" s="117">
        <f>595500*0.8</f>
        <v>476400</v>
      </c>
      <c r="G814" s="111">
        <f t="shared" si="16"/>
        <v>476400</v>
      </c>
      <c r="H814" s="125">
        <v>46141</v>
      </c>
      <c r="I814" s="1" t="s">
        <v>828</v>
      </c>
      <c r="J814" s="1"/>
    </row>
    <row r="815" spans="1:10" customFormat="1" hidden="1">
      <c r="A815" s="96" t="s">
        <v>1836</v>
      </c>
      <c r="B815" s="1" t="s">
        <v>1837</v>
      </c>
      <c r="C815" s="1"/>
      <c r="D815" s="96">
        <v>1</v>
      </c>
      <c r="E815" s="1" t="s">
        <v>791</v>
      </c>
      <c r="F815" s="117">
        <f>352720*0.8</f>
        <v>282176</v>
      </c>
      <c r="G815" s="111">
        <f>+D815*F815</f>
        <v>282176</v>
      </c>
      <c r="H815" s="125">
        <v>46198</v>
      </c>
      <c r="I815" s="1" t="s">
        <v>828</v>
      </c>
      <c r="J815" s="1"/>
    </row>
    <row r="816" spans="1:10" customFormat="1" hidden="1">
      <c r="A816" s="97" t="s">
        <v>1838</v>
      </c>
      <c r="B816" s="9" t="s">
        <v>368</v>
      </c>
      <c r="C816" s="9"/>
      <c r="D816" s="97">
        <f>4+1</f>
        <v>5</v>
      </c>
      <c r="E816" s="1" t="s">
        <v>791</v>
      </c>
      <c r="F816" s="201">
        <f>282860*0.8</f>
        <v>226288</v>
      </c>
      <c r="G816" s="111">
        <f t="shared" si="16"/>
        <v>1131440</v>
      </c>
      <c r="H816" s="150">
        <v>46141</v>
      </c>
      <c r="I816" s="119" t="s">
        <v>820</v>
      </c>
      <c r="J816" s="1"/>
    </row>
    <row r="817" spans="1:10" customFormat="1" hidden="1">
      <c r="A817" s="96" t="s">
        <v>1839</v>
      </c>
      <c r="B817" s="1" t="s">
        <v>368</v>
      </c>
      <c r="C817" s="1"/>
      <c r="D817" s="96">
        <v>1</v>
      </c>
      <c r="E817" s="1" t="s">
        <v>791</v>
      </c>
      <c r="F817" s="136">
        <f>396060*0.8</f>
        <v>316848</v>
      </c>
      <c r="G817" s="111">
        <f t="shared" si="16"/>
        <v>316848</v>
      </c>
      <c r="H817" s="150">
        <v>46141</v>
      </c>
      <c r="I817" s="119" t="s">
        <v>820</v>
      </c>
      <c r="J817" s="1"/>
    </row>
    <row r="818" spans="1:10" customFormat="1" hidden="1">
      <c r="A818" s="97" t="s">
        <v>1840</v>
      </c>
      <c r="B818" s="9" t="s">
        <v>368</v>
      </c>
      <c r="C818" s="1"/>
      <c r="D818" s="96">
        <v>1</v>
      </c>
      <c r="E818" s="1" t="s">
        <v>791</v>
      </c>
      <c r="F818" s="117">
        <f>1098230*0.8</f>
        <v>878584</v>
      </c>
      <c r="G818" s="111">
        <f t="shared" si="16"/>
        <v>878584</v>
      </c>
      <c r="H818" s="125">
        <v>46141</v>
      </c>
      <c r="I818" s="1" t="s">
        <v>826</v>
      </c>
      <c r="J818" s="1"/>
    </row>
    <row r="819" spans="1:10" customFormat="1" hidden="1">
      <c r="A819" s="96" t="s">
        <v>1841</v>
      </c>
      <c r="B819" s="1" t="s">
        <v>123</v>
      </c>
      <c r="D819" s="212">
        <v>3</v>
      </c>
      <c r="E819" s="1" t="s">
        <v>791</v>
      </c>
      <c r="F819" s="149">
        <f>694650*0.8</f>
        <v>555720</v>
      </c>
      <c r="G819" s="111">
        <f t="shared" ref="G819:G900" si="17">+D819*F819</f>
        <v>1667160</v>
      </c>
      <c r="H819" s="150">
        <v>46141</v>
      </c>
      <c r="I819" s="1" t="s">
        <v>828</v>
      </c>
      <c r="J819" s="1"/>
    </row>
    <row r="820" spans="1:10" customFormat="1" hidden="1">
      <c r="A820" s="96" t="s">
        <v>1842</v>
      </c>
      <c r="B820" s="1" t="s">
        <v>368</v>
      </c>
      <c r="D820" s="96">
        <v>2</v>
      </c>
      <c r="E820" s="1" t="s">
        <v>791</v>
      </c>
      <c r="F820" s="117">
        <f>191510*0.8</f>
        <v>153208</v>
      </c>
      <c r="G820" s="111">
        <f t="shared" si="17"/>
        <v>306416</v>
      </c>
      <c r="H820" s="125">
        <v>46148</v>
      </c>
      <c r="I820" s="1" t="s">
        <v>1055</v>
      </c>
      <c r="J820" s="1"/>
    </row>
    <row r="821" spans="1:10" customFormat="1" hidden="1">
      <c r="A821" s="96" t="s">
        <v>1843</v>
      </c>
      <c r="B821" s="1" t="s">
        <v>368</v>
      </c>
      <c r="D821" s="96">
        <v>5</v>
      </c>
      <c r="E821" s="1" t="s">
        <v>791</v>
      </c>
      <c r="F821" s="201">
        <f>106300*0.8</f>
        <v>85040</v>
      </c>
      <c r="G821" s="111">
        <f t="shared" si="17"/>
        <v>425200</v>
      </c>
      <c r="H821" s="110">
        <v>46148</v>
      </c>
      <c r="I821" s="1" t="s">
        <v>834</v>
      </c>
      <c r="J821" s="1"/>
    </row>
    <row r="822" spans="1:10" customFormat="1" hidden="1">
      <c r="A822" s="96" t="s">
        <v>1844</v>
      </c>
      <c r="B822" s="1" t="s">
        <v>368</v>
      </c>
      <c r="C822" s="1"/>
      <c r="D822" s="96">
        <v>2</v>
      </c>
      <c r="E822" s="1" t="s">
        <v>791</v>
      </c>
      <c r="F822" s="117">
        <f>39810*0.8</f>
        <v>31848</v>
      </c>
      <c r="G822" s="111">
        <f>+D822*F822</f>
        <v>63696</v>
      </c>
      <c r="H822" s="110">
        <v>46148</v>
      </c>
      <c r="I822" s="1" t="s">
        <v>1202</v>
      </c>
      <c r="J822" s="1" t="s">
        <v>1845</v>
      </c>
    </row>
    <row r="823" spans="1:10" customFormat="1" hidden="1">
      <c r="A823" s="96" t="s">
        <v>1846</v>
      </c>
      <c r="B823" s="1" t="s">
        <v>368</v>
      </c>
      <c r="C823" s="1"/>
      <c r="D823" s="96">
        <v>1</v>
      </c>
      <c r="E823" s="1" t="s">
        <v>791</v>
      </c>
      <c r="F823" s="117">
        <f>39810*0.8</f>
        <v>31848</v>
      </c>
      <c r="G823" s="111">
        <f>+D823*F823</f>
        <v>31848</v>
      </c>
      <c r="H823" s="110">
        <v>46148</v>
      </c>
      <c r="I823" s="1" t="s">
        <v>1202</v>
      </c>
      <c r="J823" s="1" t="s">
        <v>1845</v>
      </c>
    </row>
    <row r="824" spans="1:10" customFormat="1" hidden="1">
      <c r="A824" s="96" t="s">
        <v>1847</v>
      </c>
      <c r="B824" s="1" t="s">
        <v>368</v>
      </c>
      <c r="C824" s="1"/>
      <c r="D824" s="96">
        <v>1</v>
      </c>
      <c r="E824" s="1" t="s">
        <v>791</v>
      </c>
      <c r="F824" s="117">
        <v>32960</v>
      </c>
      <c r="G824" s="111">
        <f>+D824*F824</f>
        <v>32960</v>
      </c>
      <c r="H824" s="125">
        <v>46198</v>
      </c>
      <c r="I824" s="1" t="s">
        <v>999</v>
      </c>
      <c r="J824" s="1"/>
    </row>
    <row r="825" spans="1:10" customFormat="1" hidden="1">
      <c r="A825" s="96" t="s">
        <v>1848</v>
      </c>
      <c r="B825" s="1" t="s">
        <v>368</v>
      </c>
      <c r="D825" s="96">
        <v>2</v>
      </c>
      <c r="E825" s="1" t="s">
        <v>791</v>
      </c>
      <c r="F825" s="117">
        <f>17190*0.8</f>
        <v>13752</v>
      </c>
      <c r="G825" s="111">
        <f t="shared" si="17"/>
        <v>27504</v>
      </c>
      <c r="H825" s="110">
        <v>46148</v>
      </c>
      <c r="I825" s="1" t="s">
        <v>1392</v>
      </c>
      <c r="J825" s="1"/>
    </row>
    <row r="826" spans="1:10" customFormat="1" hidden="1">
      <c r="A826" s="96" t="s">
        <v>1849</v>
      </c>
      <c r="B826" s="1" t="s">
        <v>368</v>
      </c>
      <c r="D826" s="97">
        <v>1</v>
      </c>
      <c r="E826" s="1" t="s">
        <v>791</v>
      </c>
      <c r="F826" s="117">
        <f>38100*0.85</f>
        <v>32385</v>
      </c>
      <c r="G826" s="111">
        <f t="shared" si="17"/>
        <v>32385</v>
      </c>
      <c r="H826" s="110">
        <v>46148</v>
      </c>
      <c r="I826" s="1" t="s">
        <v>1565</v>
      </c>
      <c r="J826" s="1"/>
    </row>
    <row r="827" spans="1:10" customFormat="1" hidden="1">
      <c r="A827" s="96" t="s">
        <v>1850</v>
      </c>
      <c r="B827" s="1" t="s">
        <v>368</v>
      </c>
      <c r="C827" s="1"/>
      <c r="D827" s="96">
        <v>1</v>
      </c>
      <c r="E827" s="1" t="s">
        <v>791</v>
      </c>
      <c r="F827" s="117">
        <f>40650*0.8</f>
        <v>32520</v>
      </c>
      <c r="G827" s="111">
        <f t="shared" si="17"/>
        <v>32520</v>
      </c>
      <c r="H827" s="125">
        <v>46148</v>
      </c>
      <c r="I827" s="119" t="s">
        <v>820</v>
      </c>
      <c r="J827" s="1"/>
    </row>
    <row r="828" spans="1:10" customFormat="1" hidden="1">
      <c r="A828" s="96" t="s">
        <v>1851</v>
      </c>
      <c r="B828" s="1" t="s">
        <v>368</v>
      </c>
      <c r="C828" s="1"/>
      <c r="D828" s="96">
        <v>1</v>
      </c>
      <c r="E828" s="1" t="s">
        <v>791</v>
      </c>
      <c r="F828" s="117">
        <f>77890*0.8</f>
        <v>62312</v>
      </c>
      <c r="G828" s="111">
        <f t="shared" si="17"/>
        <v>62312</v>
      </c>
      <c r="H828" s="125">
        <v>46148</v>
      </c>
      <c r="I828" s="1" t="s">
        <v>1852</v>
      </c>
      <c r="J828" s="1"/>
    </row>
    <row r="829" spans="1:10" customFormat="1" hidden="1">
      <c r="A829" s="96" t="s">
        <v>1853</v>
      </c>
      <c r="B829" s="1" t="s">
        <v>368</v>
      </c>
      <c r="C829" s="1"/>
      <c r="D829" s="96">
        <v>2</v>
      </c>
      <c r="E829" s="1" t="s">
        <v>791</v>
      </c>
      <c r="F829" s="117">
        <f>341820*0.8</f>
        <v>273456</v>
      </c>
      <c r="G829" s="111">
        <f>+D829*F829</f>
        <v>546912</v>
      </c>
      <c r="H829" s="125">
        <v>46198</v>
      </c>
      <c r="I829" s="1" t="s">
        <v>1055</v>
      </c>
      <c r="J829" s="1"/>
    </row>
    <row r="830" spans="1:10" customFormat="1" hidden="1">
      <c r="A830" s="96" t="s">
        <v>1854</v>
      </c>
      <c r="B830" s="1" t="s">
        <v>368</v>
      </c>
      <c r="C830" s="1"/>
      <c r="D830" s="96">
        <v>4</v>
      </c>
      <c r="E830" s="1" t="s">
        <v>791</v>
      </c>
      <c r="F830" s="117">
        <v>161100</v>
      </c>
      <c r="G830" s="111">
        <f t="shared" si="17"/>
        <v>644400</v>
      </c>
      <c r="H830" s="125">
        <v>46148</v>
      </c>
      <c r="I830" s="1" t="s">
        <v>1855</v>
      </c>
      <c r="J830" s="1"/>
    </row>
    <row r="831" spans="1:10" customFormat="1" hidden="1">
      <c r="A831" s="96" t="s">
        <v>1856</v>
      </c>
      <c r="B831" s="1" t="s">
        <v>368</v>
      </c>
      <c r="C831" s="1"/>
      <c r="D831" s="96">
        <v>1</v>
      </c>
      <c r="E831" s="1" t="s">
        <v>791</v>
      </c>
      <c r="F831" s="117">
        <v>127238</v>
      </c>
      <c r="G831" s="111">
        <f t="shared" si="17"/>
        <v>127238</v>
      </c>
      <c r="H831" s="125">
        <v>46148</v>
      </c>
      <c r="I831" s="1" t="s">
        <v>1857</v>
      </c>
      <c r="J831" s="1"/>
    </row>
    <row r="832" spans="1:10" customFormat="1" hidden="1">
      <c r="A832" s="97" t="s">
        <v>1858</v>
      </c>
      <c r="B832" s="9" t="s">
        <v>368</v>
      </c>
      <c r="C832" s="1"/>
      <c r="D832" s="96">
        <v>9</v>
      </c>
      <c r="E832" s="1" t="s">
        <v>791</v>
      </c>
      <c r="F832" s="117">
        <f>19890*0.8</f>
        <v>15912</v>
      </c>
      <c r="G832" s="111">
        <f>+D832*F832</f>
        <v>143208</v>
      </c>
      <c r="H832" s="130">
        <v>46148</v>
      </c>
      <c r="I832" s="119" t="s">
        <v>820</v>
      </c>
      <c r="J832" s="1"/>
    </row>
    <row r="833" spans="1:10" customFormat="1" hidden="1">
      <c r="A833" s="97" t="s">
        <v>1859</v>
      </c>
      <c r="B833" s="9" t="s">
        <v>368</v>
      </c>
      <c r="C833" s="9"/>
      <c r="D833" s="97">
        <v>1</v>
      </c>
      <c r="E833" s="1" t="s">
        <v>791</v>
      </c>
      <c r="F833" s="117">
        <f>70680*0.8</f>
        <v>56544</v>
      </c>
      <c r="G833" s="111">
        <f t="shared" si="17"/>
        <v>56544</v>
      </c>
      <c r="H833" s="130">
        <v>46148</v>
      </c>
      <c r="I833" s="119" t="s">
        <v>820</v>
      </c>
      <c r="J833" s="1"/>
    </row>
    <row r="834" spans="1:10" customFormat="1" hidden="1">
      <c r="A834" s="96" t="s">
        <v>1860</v>
      </c>
      <c r="B834" s="1" t="s">
        <v>830</v>
      </c>
      <c r="C834" s="1" t="s">
        <v>831</v>
      </c>
      <c r="D834" s="96">
        <v>64</v>
      </c>
      <c r="E834" s="1" t="s">
        <v>791</v>
      </c>
      <c r="F834" s="117">
        <f>29300*0.8</f>
        <v>23440</v>
      </c>
      <c r="G834" s="90">
        <f t="shared" si="17"/>
        <v>1500160</v>
      </c>
      <c r="H834" s="125">
        <v>46146</v>
      </c>
      <c r="I834" s="1" t="s">
        <v>1055</v>
      </c>
      <c r="J834" s="123"/>
    </row>
    <row r="835" spans="1:10" customFormat="1" hidden="1">
      <c r="A835" s="96" t="s">
        <v>1861</v>
      </c>
      <c r="B835" s="1" t="s">
        <v>830</v>
      </c>
      <c r="C835" s="1" t="s">
        <v>831</v>
      </c>
      <c r="D835" s="96">
        <v>21</v>
      </c>
      <c r="E835" s="1" t="s">
        <v>791</v>
      </c>
      <c r="F835" s="117">
        <f>65100*0.8</f>
        <v>52080</v>
      </c>
      <c r="G835" s="90">
        <f t="shared" si="17"/>
        <v>1093680</v>
      </c>
      <c r="H835" s="125">
        <v>46146</v>
      </c>
      <c r="I835" s="1" t="s">
        <v>868</v>
      </c>
      <c r="J835" s="123"/>
    </row>
    <row r="836" spans="1:10" customFormat="1" hidden="1">
      <c r="A836" s="96" t="s">
        <v>1862</v>
      </c>
      <c r="B836" s="1" t="s">
        <v>830</v>
      </c>
      <c r="C836" s="1" t="s">
        <v>831</v>
      </c>
      <c r="D836" s="96">
        <v>3</v>
      </c>
      <c r="E836" s="1" t="s">
        <v>791</v>
      </c>
      <c r="F836" s="117">
        <f>29300*0.8</f>
        <v>23440</v>
      </c>
      <c r="G836" s="90">
        <f t="shared" si="17"/>
        <v>70320</v>
      </c>
      <c r="H836" s="125">
        <v>46146</v>
      </c>
      <c r="I836" s="1" t="s">
        <v>1541</v>
      </c>
      <c r="J836" s="123"/>
    </row>
    <row r="837" spans="1:10" customFormat="1" hidden="1">
      <c r="A837" s="1" t="s">
        <v>1863</v>
      </c>
      <c r="B837" s="1" t="s">
        <v>32</v>
      </c>
      <c r="C837" s="1" t="s">
        <v>860</v>
      </c>
      <c r="D837" s="1"/>
      <c r="E837" s="1" t="s">
        <v>791</v>
      </c>
      <c r="F837" s="121"/>
      <c r="G837" s="90">
        <f t="shared" si="17"/>
        <v>0</v>
      </c>
      <c r="H837" s="61"/>
      <c r="I837" s="1"/>
      <c r="J837" s="123"/>
    </row>
    <row r="838" spans="1:10" customFormat="1" hidden="1">
      <c r="A838" s="96" t="s">
        <v>1864</v>
      </c>
      <c r="B838" s="1" t="s">
        <v>32</v>
      </c>
      <c r="C838" s="1" t="s">
        <v>860</v>
      </c>
      <c r="D838" s="96">
        <v>5</v>
      </c>
      <c r="E838" s="1" t="s">
        <v>791</v>
      </c>
      <c r="F838" s="117">
        <v>4310</v>
      </c>
      <c r="G838" s="90">
        <f t="shared" si="17"/>
        <v>21550</v>
      </c>
      <c r="H838" s="125">
        <v>46134</v>
      </c>
      <c r="I838" s="1" t="s">
        <v>1865</v>
      </c>
      <c r="J838" s="123"/>
    </row>
    <row r="839" spans="1:10" customFormat="1" hidden="1">
      <c r="A839" s="96" t="s">
        <v>1866</v>
      </c>
      <c r="B839" s="1" t="s">
        <v>32</v>
      </c>
      <c r="C839" s="1" t="s">
        <v>860</v>
      </c>
      <c r="D839" s="96">
        <v>1</v>
      </c>
      <c r="E839" s="1" t="s">
        <v>791</v>
      </c>
      <c r="F839" s="117">
        <f>341765*0.8</f>
        <v>273412</v>
      </c>
      <c r="G839" s="90">
        <f t="shared" si="17"/>
        <v>273412</v>
      </c>
      <c r="H839" s="125">
        <v>46134</v>
      </c>
      <c r="I839" s="1" t="s">
        <v>910</v>
      </c>
      <c r="J839" s="1"/>
    </row>
    <row r="840" spans="1:10" customFormat="1" hidden="1">
      <c r="A840" s="1" t="s">
        <v>1867</v>
      </c>
      <c r="B840" s="1" t="s">
        <v>32</v>
      </c>
      <c r="C840" s="1" t="s">
        <v>860</v>
      </c>
      <c r="D840" s="1"/>
      <c r="E840" s="1" t="s">
        <v>791</v>
      </c>
      <c r="F840" s="121"/>
      <c r="G840" s="90">
        <f t="shared" si="17"/>
        <v>0</v>
      </c>
      <c r="H840" s="61"/>
      <c r="I840" s="1" t="s">
        <v>1553</v>
      </c>
      <c r="J840" s="1"/>
    </row>
    <row r="841" spans="1:10" customFormat="1" hidden="1">
      <c r="A841" s="96" t="s">
        <v>1868</v>
      </c>
      <c r="B841" s="1" t="s">
        <v>32</v>
      </c>
      <c r="C841" s="1" t="s">
        <v>860</v>
      </c>
      <c r="D841" s="96">
        <v>7</v>
      </c>
      <c r="E841" s="1" t="s">
        <v>791</v>
      </c>
      <c r="F841" s="117">
        <f>34960*0.8</f>
        <v>27968</v>
      </c>
      <c r="G841" s="90">
        <f t="shared" si="17"/>
        <v>195776</v>
      </c>
      <c r="H841" s="125">
        <v>46134</v>
      </c>
      <c r="I841" s="1" t="s">
        <v>1397</v>
      </c>
      <c r="J841" s="1"/>
    </row>
    <row r="842" spans="1:10" customFormat="1" hidden="1">
      <c r="A842" s="96" t="s">
        <v>1869</v>
      </c>
      <c r="B842" s="1" t="s">
        <v>32</v>
      </c>
      <c r="C842" s="1" t="s">
        <v>860</v>
      </c>
      <c r="D842" s="96">
        <v>32</v>
      </c>
      <c r="E842" s="1" t="s">
        <v>791</v>
      </c>
      <c r="F842" s="136">
        <f>37410*0.8</f>
        <v>29928</v>
      </c>
      <c r="G842" s="90">
        <f t="shared" si="17"/>
        <v>957696</v>
      </c>
      <c r="H842" s="130">
        <v>46134</v>
      </c>
      <c r="I842" s="1" t="s">
        <v>1055</v>
      </c>
      <c r="J842" s="1"/>
    </row>
    <row r="843" spans="1:10" customFormat="1" hidden="1">
      <c r="A843" s="96" t="s">
        <v>1870</v>
      </c>
      <c r="B843" s="1" t="s">
        <v>32</v>
      </c>
      <c r="C843" s="1" t="s">
        <v>860</v>
      </c>
      <c r="D843" s="96">
        <v>2</v>
      </c>
      <c r="E843" s="1" t="s">
        <v>791</v>
      </c>
      <c r="F843" s="117">
        <f>9531*0.8</f>
        <v>7624.8</v>
      </c>
      <c r="G843" s="90">
        <f t="shared" si="17"/>
        <v>15249.6</v>
      </c>
      <c r="H843" s="125">
        <v>46134</v>
      </c>
      <c r="I843" s="1" t="s">
        <v>1871</v>
      </c>
      <c r="J843" s="1"/>
    </row>
    <row r="844" spans="1:10" customFormat="1" hidden="1">
      <c r="A844" s="96" t="s">
        <v>1872</v>
      </c>
      <c r="B844" s="1" t="s">
        <v>32</v>
      </c>
      <c r="C844" s="1" t="s">
        <v>860</v>
      </c>
      <c r="D844" s="96">
        <v>3</v>
      </c>
      <c r="E844" s="1" t="s">
        <v>791</v>
      </c>
      <c r="F844" s="117">
        <v>140662</v>
      </c>
      <c r="G844" s="90">
        <f t="shared" si="17"/>
        <v>421986</v>
      </c>
      <c r="H844" s="125">
        <v>46134</v>
      </c>
      <c r="I844" s="1" t="s">
        <v>1873</v>
      </c>
      <c r="J844" s="1"/>
    </row>
    <row r="845" spans="1:10" customFormat="1" hidden="1">
      <c r="A845" s="96" t="s">
        <v>1874</v>
      </c>
      <c r="B845" s="1" t="s">
        <v>32</v>
      </c>
      <c r="C845" s="1" t="s">
        <v>860</v>
      </c>
      <c r="D845" s="96">
        <v>7</v>
      </c>
      <c r="E845" s="1" t="s">
        <v>791</v>
      </c>
      <c r="F845" s="117">
        <f>104920*0.8</f>
        <v>83936</v>
      </c>
      <c r="G845" s="90">
        <f t="shared" si="17"/>
        <v>587552</v>
      </c>
      <c r="H845" s="125">
        <v>46134</v>
      </c>
      <c r="I845" s="1" t="s">
        <v>842</v>
      </c>
      <c r="J845" s="1"/>
    </row>
    <row r="846" spans="1:10" customFormat="1" hidden="1">
      <c r="A846" s="1" t="s">
        <v>1875</v>
      </c>
      <c r="B846" s="1" t="s">
        <v>32</v>
      </c>
      <c r="C846" s="1" t="s">
        <v>860</v>
      </c>
      <c r="D846" s="1"/>
      <c r="E846" s="1" t="s">
        <v>791</v>
      </c>
      <c r="F846" s="121"/>
      <c r="G846" s="90">
        <f t="shared" si="17"/>
        <v>0</v>
      </c>
      <c r="H846" s="61"/>
      <c r="I846" s="1"/>
      <c r="J846" s="1"/>
    </row>
    <row r="847" spans="1:10" customFormat="1" hidden="1">
      <c r="A847" s="1" t="s">
        <v>1876</v>
      </c>
      <c r="B847" s="1" t="s">
        <v>32</v>
      </c>
      <c r="C847" s="1" t="s">
        <v>860</v>
      </c>
      <c r="D847" s="1"/>
      <c r="E847" s="1" t="s">
        <v>791</v>
      </c>
      <c r="F847" s="121"/>
      <c r="G847" s="90">
        <f t="shared" si="17"/>
        <v>0</v>
      </c>
      <c r="H847" s="61"/>
      <c r="I847" s="1"/>
      <c r="J847" s="1"/>
    </row>
    <row r="848" spans="1:10" customFormat="1" hidden="1">
      <c r="A848" s="96" t="s">
        <v>1877</v>
      </c>
      <c r="B848" s="1" t="s">
        <v>32</v>
      </c>
      <c r="C848" s="1" t="s">
        <v>860</v>
      </c>
      <c r="D848" s="96">
        <v>5</v>
      </c>
      <c r="E848" s="1" t="s">
        <v>791</v>
      </c>
      <c r="F848" s="117">
        <f>144750*0.8</f>
        <v>115800</v>
      </c>
      <c r="G848" s="90">
        <f t="shared" si="17"/>
        <v>579000</v>
      </c>
      <c r="H848" s="125">
        <v>46134</v>
      </c>
      <c r="I848" s="1" t="s">
        <v>1055</v>
      </c>
      <c r="J848" s="1"/>
    </row>
    <row r="849" spans="1:10" customFormat="1" hidden="1">
      <c r="A849" s="1" t="s">
        <v>1878</v>
      </c>
      <c r="B849" s="1" t="s">
        <v>32</v>
      </c>
      <c r="C849" s="1" t="s">
        <v>860</v>
      </c>
      <c r="D849" s="1"/>
      <c r="E849" s="1" t="s">
        <v>791</v>
      </c>
      <c r="F849" s="121"/>
      <c r="G849" s="90">
        <f t="shared" si="17"/>
        <v>0</v>
      </c>
      <c r="H849" s="61"/>
      <c r="I849" s="1"/>
      <c r="J849" s="1"/>
    </row>
    <row r="850" spans="1:10" customFormat="1" hidden="1">
      <c r="A850" s="96" t="s">
        <v>1879</v>
      </c>
      <c r="B850" s="1" t="s">
        <v>32</v>
      </c>
      <c r="C850" s="1" t="s">
        <v>860</v>
      </c>
      <c r="D850" s="96">
        <v>15</v>
      </c>
      <c r="E850" s="1" t="s">
        <v>791</v>
      </c>
      <c r="F850" s="117">
        <v>35269</v>
      </c>
      <c r="G850" s="90">
        <f t="shared" si="17"/>
        <v>529035</v>
      </c>
      <c r="H850" s="125">
        <v>46134</v>
      </c>
      <c r="I850" s="1" t="s">
        <v>1778</v>
      </c>
      <c r="J850" s="1"/>
    </row>
    <row r="851" spans="1:10" customFormat="1" hidden="1">
      <c r="A851" s="96" t="s">
        <v>1880</v>
      </c>
      <c r="B851" s="1" t="s">
        <v>123</v>
      </c>
      <c r="C851" s="119" t="s">
        <v>1881</v>
      </c>
      <c r="D851" s="96">
        <v>2</v>
      </c>
      <c r="E851" s="1" t="s">
        <v>791</v>
      </c>
      <c r="F851" s="117">
        <f>20710*0.8</f>
        <v>16568</v>
      </c>
      <c r="G851" s="90">
        <f t="shared" si="17"/>
        <v>33136</v>
      </c>
      <c r="H851" s="125">
        <v>46134</v>
      </c>
      <c r="I851" s="119" t="s">
        <v>820</v>
      </c>
      <c r="J851" s="1"/>
    </row>
    <row r="852" spans="1:10" customFormat="1" hidden="1">
      <c r="A852" s="96" t="s">
        <v>1882</v>
      </c>
      <c r="B852" s="1" t="s">
        <v>123</v>
      </c>
      <c r="C852" s="119" t="s">
        <v>1881</v>
      </c>
      <c r="D852" s="96">
        <v>1</v>
      </c>
      <c r="E852" s="1" t="s">
        <v>791</v>
      </c>
      <c r="F852" s="117">
        <v>28576</v>
      </c>
      <c r="G852" s="90">
        <f t="shared" si="17"/>
        <v>28576</v>
      </c>
      <c r="H852" s="125">
        <v>46134</v>
      </c>
      <c r="I852" s="1" t="s">
        <v>1883</v>
      </c>
      <c r="J852" s="1" t="s">
        <v>1884</v>
      </c>
    </row>
    <row r="853" spans="1:10" customFormat="1" hidden="1">
      <c r="A853" s="96" t="s">
        <v>1885</v>
      </c>
      <c r="B853" s="1" t="s">
        <v>123</v>
      </c>
      <c r="C853" s="119" t="s">
        <v>1881</v>
      </c>
      <c r="D853" s="96">
        <v>2</v>
      </c>
      <c r="E853" s="1" t="s">
        <v>791</v>
      </c>
      <c r="F853" s="117">
        <v>28576</v>
      </c>
      <c r="G853" s="90">
        <f>+D853*F853</f>
        <v>57152</v>
      </c>
      <c r="H853" s="171">
        <v>46148</v>
      </c>
      <c r="I853" s="1" t="s">
        <v>1883</v>
      </c>
      <c r="J853" s="1" t="s">
        <v>1884</v>
      </c>
    </row>
    <row r="854" spans="1:10" customFormat="1" hidden="1">
      <c r="A854" s="96" t="s">
        <v>1886</v>
      </c>
      <c r="B854" s="1" t="s">
        <v>123</v>
      </c>
      <c r="C854" s="119" t="s">
        <v>1881</v>
      </c>
      <c r="D854" s="96">
        <v>2</v>
      </c>
      <c r="E854" s="1" t="s">
        <v>791</v>
      </c>
      <c r="F854" s="117">
        <f>27470*0.8</f>
        <v>21976</v>
      </c>
      <c r="G854" s="90">
        <f t="shared" si="17"/>
        <v>43952</v>
      </c>
      <c r="H854" s="125">
        <v>46134</v>
      </c>
      <c r="I854" s="119" t="s">
        <v>820</v>
      </c>
      <c r="J854" s="1"/>
    </row>
    <row r="855" spans="1:10" customFormat="1" hidden="1">
      <c r="A855" s="113" t="s">
        <v>1887</v>
      </c>
      <c r="B855" s="151" t="s">
        <v>368</v>
      </c>
      <c r="C855" s="1"/>
      <c r="D855" s="96">
        <v>2</v>
      </c>
      <c r="E855" s="1" t="s">
        <v>791</v>
      </c>
      <c r="F855" s="117">
        <f>29640*0.8</f>
        <v>23712</v>
      </c>
      <c r="G855" s="90">
        <f t="shared" si="17"/>
        <v>47424</v>
      </c>
      <c r="H855" s="132">
        <v>46134</v>
      </c>
      <c r="I855" s="1" t="s">
        <v>1888</v>
      </c>
      <c r="J855" s="1"/>
    </row>
    <row r="856" spans="1:10" customFormat="1" hidden="1">
      <c r="A856" s="113" t="s">
        <v>1889</v>
      </c>
      <c r="B856" s="168" t="s">
        <v>1890</v>
      </c>
      <c r="C856" s="114"/>
      <c r="D856" s="96">
        <v>6</v>
      </c>
      <c r="E856" s="1" t="s">
        <v>791</v>
      </c>
      <c r="F856" s="117">
        <f>29640*0.8</f>
        <v>23712</v>
      </c>
      <c r="G856" s="90">
        <f t="shared" si="17"/>
        <v>142272</v>
      </c>
      <c r="H856" s="125">
        <v>46134</v>
      </c>
      <c r="I856" s="1" t="s">
        <v>1888</v>
      </c>
      <c r="J856" s="1"/>
    </row>
    <row r="857" spans="1:10" customFormat="1" hidden="1">
      <c r="A857" s="113" t="s">
        <v>1891</v>
      </c>
      <c r="B857" s="151" t="s">
        <v>368</v>
      </c>
      <c r="C857" s="1"/>
      <c r="D857" s="96">
        <v>1</v>
      </c>
      <c r="E857" s="1" t="s">
        <v>791</v>
      </c>
      <c r="F857" s="117">
        <f>13220*0.8</f>
        <v>10576</v>
      </c>
      <c r="G857" s="90">
        <f t="shared" si="17"/>
        <v>10576</v>
      </c>
      <c r="H857" s="125">
        <v>46134</v>
      </c>
      <c r="I857" s="1" t="s">
        <v>1888</v>
      </c>
      <c r="J857" s="1"/>
    </row>
    <row r="858" spans="1:10" customFormat="1" hidden="1">
      <c r="A858" s="113" t="s">
        <v>1892</v>
      </c>
      <c r="B858" s="151" t="s">
        <v>368</v>
      </c>
      <c r="C858" s="1"/>
      <c r="D858" s="96">
        <v>2</v>
      </c>
      <c r="E858" s="1" t="s">
        <v>791</v>
      </c>
      <c r="F858" s="117">
        <f>13220*0.8</f>
        <v>10576</v>
      </c>
      <c r="G858" s="90">
        <f t="shared" si="17"/>
        <v>21152</v>
      </c>
      <c r="H858" s="125">
        <v>46134</v>
      </c>
      <c r="I858" s="1" t="s">
        <v>1888</v>
      </c>
      <c r="J858" s="1"/>
    </row>
    <row r="859" spans="1:10" customFormat="1" hidden="1">
      <c r="A859" s="113" t="s">
        <v>1893</v>
      </c>
      <c r="B859" s="168" t="s">
        <v>1890</v>
      </c>
      <c r="C859" s="1"/>
      <c r="D859" s="96">
        <v>8</v>
      </c>
      <c r="E859" s="1" t="s">
        <v>791</v>
      </c>
      <c r="F859" s="117">
        <f>13220*0.8</f>
        <v>10576</v>
      </c>
      <c r="G859" s="90">
        <f t="shared" si="17"/>
        <v>84608</v>
      </c>
      <c r="H859" s="125">
        <v>46134</v>
      </c>
      <c r="I859" s="1" t="s">
        <v>1888</v>
      </c>
      <c r="J859" s="1"/>
    </row>
    <row r="860" spans="1:10" customFormat="1" hidden="1">
      <c r="A860" s="113" t="s">
        <v>1894</v>
      </c>
      <c r="B860" s="168" t="s">
        <v>1890</v>
      </c>
      <c r="C860" s="1"/>
      <c r="D860" s="96">
        <v>2</v>
      </c>
      <c r="E860" s="1" t="s">
        <v>791</v>
      </c>
      <c r="F860" s="117">
        <f>8120*0.8</f>
        <v>6496</v>
      </c>
      <c r="G860" s="90">
        <f t="shared" si="17"/>
        <v>12992</v>
      </c>
      <c r="H860" s="131">
        <v>46134</v>
      </c>
      <c r="I860" s="1" t="s">
        <v>1895</v>
      </c>
      <c r="J860" s="1"/>
    </row>
    <row r="861" spans="1:10" customFormat="1" hidden="1">
      <c r="A861" s="113" t="s">
        <v>1896</v>
      </c>
      <c r="B861" s="151" t="s">
        <v>368</v>
      </c>
      <c r="C861" s="1"/>
      <c r="D861" s="96">
        <v>1</v>
      </c>
      <c r="E861" s="1" t="s">
        <v>791</v>
      </c>
      <c r="F861" s="117">
        <f>60990*0.8</f>
        <v>48792</v>
      </c>
      <c r="G861" s="90">
        <f t="shared" si="17"/>
        <v>48792</v>
      </c>
      <c r="H861" s="125">
        <v>46134</v>
      </c>
      <c r="I861" s="1" t="s">
        <v>1567</v>
      </c>
      <c r="J861" s="1"/>
    </row>
    <row r="862" spans="1:10" customFormat="1" hidden="1">
      <c r="A862" s="113" t="s">
        <v>1897</v>
      </c>
      <c r="B862" s="168" t="s">
        <v>1890</v>
      </c>
      <c r="C862" s="1"/>
      <c r="D862" s="96">
        <v>1</v>
      </c>
      <c r="E862" s="1" t="s">
        <v>791</v>
      </c>
      <c r="F862" s="117">
        <f>60990*0.8</f>
        <v>48792</v>
      </c>
      <c r="G862" s="90">
        <f t="shared" si="17"/>
        <v>48792</v>
      </c>
      <c r="H862" s="125">
        <v>46134</v>
      </c>
      <c r="I862" s="1" t="s">
        <v>1567</v>
      </c>
      <c r="J862" s="1"/>
    </row>
    <row r="863" spans="1:10" customFormat="1" hidden="1">
      <c r="A863" s="113" t="s">
        <v>1898</v>
      </c>
      <c r="B863" s="151" t="s">
        <v>368</v>
      </c>
      <c r="C863" s="1"/>
      <c r="D863" s="96">
        <v>1</v>
      </c>
      <c r="E863" s="1" t="s">
        <v>791</v>
      </c>
      <c r="F863" s="117">
        <f>60990*0.8</f>
        <v>48792</v>
      </c>
      <c r="G863" s="90">
        <f t="shared" si="17"/>
        <v>48792</v>
      </c>
      <c r="H863" s="125">
        <v>46134</v>
      </c>
      <c r="I863" s="1" t="s">
        <v>1567</v>
      </c>
      <c r="J863" s="1"/>
    </row>
    <row r="864" spans="1:10">
      <c r="A864" s="113" t="s">
        <v>1899</v>
      </c>
      <c r="B864" s="151" t="s">
        <v>368</v>
      </c>
      <c r="C864" s="1"/>
      <c r="D864" s="107">
        <v>1</v>
      </c>
      <c r="E864" s="1" t="s">
        <v>791</v>
      </c>
      <c r="F864" s="137"/>
      <c r="G864" s="90">
        <f t="shared" si="17"/>
        <v>0</v>
      </c>
      <c r="H864" s="125">
        <v>46134</v>
      </c>
      <c r="I864" s="119"/>
      <c r="J864" s="1"/>
    </row>
    <row r="865" spans="1:10" customFormat="1" hidden="1">
      <c r="A865" s="157" t="s">
        <v>1900</v>
      </c>
      <c r="B865" s="119" t="s">
        <v>13</v>
      </c>
      <c r="C865" s="119" t="s">
        <v>1881</v>
      </c>
      <c r="D865" s="157">
        <v>1</v>
      </c>
      <c r="E865" s="1" t="s">
        <v>791</v>
      </c>
      <c r="F865" s="122">
        <f>561800*0.8</f>
        <v>449440</v>
      </c>
      <c r="G865" s="90">
        <f t="shared" si="17"/>
        <v>449440</v>
      </c>
      <c r="H865" s="158">
        <v>46134</v>
      </c>
      <c r="I865" s="119" t="s">
        <v>820</v>
      </c>
      <c r="J865" s="119"/>
    </row>
    <row r="866" spans="1:10" customFormat="1" hidden="1">
      <c r="A866" s="97" t="s">
        <v>1901</v>
      </c>
      <c r="B866" s="1" t="s">
        <v>123</v>
      </c>
      <c r="C866" s="119" t="s">
        <v>1881</v>
      </c>
      <c r="D866" s="97">
        <v>1</v>
      </c>
      <c r="E866" s="1" t="s">
        <v>791</v>
      </c>
      <c r="F866" s="136">
        <v>36000</v>
      </c>
      <c r="G866" s="90">
        <f t="shared" si="17"/>
        <v>36000</v>
      </c>
      <c r="H866" s="132">
        <v>46134</v>
      </c>
      <c r="I866" s="1" t="s">
        <v>1902</v>
      </c>
      <c r="J866" s="1"/>
    </row>
    <row r="867" spans="1:10" customFormat="1" hidden="1">
      <c r="A867" s="97" t="s">
        <v>1903</v>
      </c>
      <c r="B867" s="1" t="s">
        <v>123</v>
      </c>
      <c r="C867" s="119" t="s">
        <v>1881</v>
      </c>
      <c r="D867" s="96">
        <v>1</v>
      </c>
      <c r="E867" s="1" t="s">
        <v>791</v>
      </c>
      <c r="F867" s="117">
        <f>59260*0.8</f>
        <v>47408</v>
      </c>
      <c r="G867" s="90">
        <f>+D867*F867</f>
        <v>47408</v>
      </c>
      <c r="H867" s="132">
        <v>46134</v>
      </c>
      <c r="I867" s="1" t="s">
        <v>1114</v>
      </c>
      <c r="J867" s="1" t="s">
        <v>1884</v>
      </c>
    </row>
    <row r="868" spans="1:10" customFormat="1" hidden="1">
      <c r="A868" s="97" t="s">
        <v>1904</v>
      </c>
      <c r="B868" s="1" t="s">
        <v>123</v>
      </c>
      <c r="C868" s="119" t="s">
        <v>1881</v>
      </c>
      <c r="D868" s="96">
        <v>2</v>
      </c>
      <c r="E868" s="1" t="s">
        <v>791</v>
      </c>
      <c r="F868" s="117">
        <f>59260*0.8</f>
        <v>47408</v>
      </c>
      <c r="G868" s="90">
        <f>+D868*F868</f>
        <v>94816</v>
      </c>
      <c r="H868" s="132">
        <v>46134</v>
      </c>
      <c r="I868" s="1" t="s">
        <v>1114</v>
      </c>
      <c r="J868" s="1" t="s">
        <v>1884</v>
      </c>
    </row>
    <row r="869" spans="1:10" customFormat="1" hidden="1">
      <c r="A869" s="97" t="s">
        <v>1905</v>
      </c>
      <c r="B869" s="1" t="s">
        <v>123</v>
      </c>
      <c r="C869" s="119" t="s">
        <v>1881</v>
      </c>
      <c r="D869" s="96">
        <v>5</v>
      </c>
      <c r="E869" s="1" t="s">
        <v>791</v>
      </c>
      <c r="F869" s="117">
        <f>59260*0.8</f>
        <v>47408</v>
      </c>
      <c r="G869" s="90">
        <f>+D869*F869</f>
        <v>237040</v>
      </c>
      <c r="H869" s="132">
        <v>46134</v>
      </c>
      <c r="I869" s="1" t="s">
        <v>1114</v>
      </c>
      <c r="J869" s="1" t="s">
        <v>1884</v>
      </c>
    </row>
    <row r="870" spans="1:10" customFormat="1" hidden="1">
      <c r="A870" s="96" t="s">
        <v>1906</v>
      </c>
      <c r="B870" s="1" t="s">
        <v>123</v>
      </c>
      <c r="C870" s="119" t="s">
        <v>1881</v>
      </c>
      <c r="D870" s="96">
        <f>31-3</f>
        <v>28</v>
      </c>
      <c r="E870" s="1" t="s">
        <v>791</v>
      </c>
      <c r="F870" s="117">
        <v>26475</v>
      </c>
      <c r="G870" s="90">
        <f t="shared" si="17"/>
        <v>741300</v>
      </c>
      <c r="H870" s="125">
        <v>46134</v>
      </c>
      <c r="I870" s="1" t="s">
        <v>1907</v>
      </c>
      <c r="J870" s="1"/>
    </row>
    <row r="871" spans="1:10" customFormat="1" hidden="1">
      <c r="A871" s="96" t="s">
        <v>1908</v>
      </c>
      <c r="B871" s="1" t="s">
        <v>123</v>
      </c>
      <c r="C871" s="119" t="s">
        <v>1881</v>
      </c>
      <c r="D871" s="96">
        <v>1</v>
      </c>
      <c r="E871" s="1" t="s">
        <v>791</v>
      </c>
      <c r="F871" s="117">
        <f>29950*0.8</f>
        <v>23960</v>
      </c>
      <c r="G871" s="90">
        <f>+D871*F871</f>
        <v>23960</v>
      </c>
      <c r="H871" s="132">
        <v>46134</v>
      </c>
      <c r="I871" s="1" t="s">
        <v>1114</v>
      </c>
      <c r="J871" s="1" t="s">
        <v>1884</v>
      </c>
    </row>
    <row r="872" spans="1:10" customFormat="1" hidden="1">
      <c r="A872" s="96" t="s">
        <v>1909</v>
      </c>
      <c r="B872" s="1" t="s">
        <v>123</v>
      </c>
      <c r="C872" s="119" t="s">
        <v>1881</v>
      </c>
      <c r="D872" s="96">
        <v>2</v>
      </c>
      <c r="E872" s="1" t="s">
        <v>791</v>
      </c>
      <c r="F872" s="117">
        <f>29950*0.8</f>
        <v>23960</v>
      </c>
      <c r="G872" s="90">
        <f>+D872*F872</f>
        <v>47920</v>
      </c>
      <c r="H872" s="132">
        <v>46134</v>
      </c>
      <c r="I872" s="1" t="s">
        <v>1114</v>
      </c>
      <c r="J872" s="1" t="s">
        <v>1884</v>
      </c>
    </row>
    <row r="873" spans="1:10" customFormat="1" hidden="1">
      <c r="A873" s="96" t="s">
        <v>1910</v>
      </c>
      <c r="B873" s="1" t="s">
        <v>123</v>
      </c>
      <c r="C873" s="119" t="s">
        <v>1881</v>
      </c>
      <c r="D873" s="96">
        <v>1</v>
      </c>
      <c r="E873" s="1" t="s">
        <v>791</v>
      </c>
      <c r="F873" s="117">
        <f>108070*0.8</f>
        <v>86456</v>
      </c>
      <c r="G873" s="90">
        <f t="shared" si="17"/>
        <v>86456</v>
      </c>
      <c r="H873" s="125">
        <v>46134</v>
      </c>
      <c r="I873" s="1" t="s">
        <v>824</v>
      </c>
      <c r="J873" s="1"/>
    </row>
    <row r="874" spans="1:10" customFormat="1" hidden="1">
      <c r="A874" s="96" t="s">
        <v>1911</v>
      </c>
      <c r="B874" s="1" t="s">
        <v>32</v>
      </c>
      <c r="C874" s="1" t="s">
        <v>860</v>
      </c>
      <c r="D874" s="96">
        <v>4</v>
      </c>
      <c r="E874" s="1" t="s">
        <v>791</v>
      </c>
      <c r="F874" s="117">
        <f>31059*0.86</f>
        <v>26710.739999999998</v>
      </c>
      <c r="G874" s="90">
        <f t="shared" si="17"/>
        <v>106842.95999999999</v>
      </c>
      <c r="H874" s="125">
        <v>46134</v>
      </c>
      <c r="I874" s="1" t="s">
        <v>873</v>
      </c>
      <c r="J874" s="1"/>
    </row>
    <row r="875" spans="1:10" customFormat="1" hidden="1">
      <c r="A875" s="96" t="s">
        <v>1912</v>
      </c>
      <c r="B875" s="1" t="s">
        <v>32</v>
      </c>
      <c r="C875" s="1" t="s">
        <v>860</v>
      </c>
      <c r="D875" s="96">
        <v>20</v>
      </c>
      <c r="E875" s="1" t="s">
        <v>791</v>
      </c>
      <c r="F875" s="117">
        <f>23161*0.86</f>
        <v>19918.46</v>
      </c>
      <c r="G875" s="90">
        <f t="shared" si="17"/>
        <v>398369.19999999995</v>
      </c>
      <c r="H875" s="125">
        <v>46134</v>
      </c>
      <c r="I875" s="1" t="s">
        <v>873</v>
      </c>
      <c r="J875" s="1"/>
    </row>
    <row r="876" spans="1:10" customFormat="1" hidden="1">
      <c r="A876" s="96" t="s">
        <v>1913</v>
      </c>
      <c r="B876" s="1" t="s">
        <v>32</v>
      </c>
      <c r="C876" s="1" t="s">
        <v>860</v>
      </c>
      <c r="D876" s="96">
        <v>9</v>
      </c>
      <c r="E876" s="1" t="s">
        <v>791</v>
      </c>
      <c r="F876" s="117">
        <f>12545*0.86</f>
        <v>10788.7</v>
      </c>
      <c r="G876" s="90">
        <f t="shared" si="17"/>
        <v>97098.3</v>
      </c>
      <c r="H876" s="125">
        <v>46134</v>
      </c>
      <c r="I876" s="1" t="s">
        <v>873</v>
      </c>
      <c r="J876" s="1"/>
    </row>
    <row r="877" spans="1:10" customFormat="1" hidden="1">
      <c r="A877" s="96" t="s">
        <v>1914</v>
      </c>
      <c r="B877" s="1" t="s">
        <v>32</v>
      </c>
      <c r="C877" s="1" t="s">
        <v>860</v>
      </c>
      <c r="D877" s="96">
        <v>2</v>
      </c>
      <c r="E877" s="1" t="s">
        <v>791</v>
      </c>
      <c r="F877" s="117">
        <f>40749*0.86</f>
        <v>35044.14</v>
      </c>
      <c r="G877" s="90">
        <f t="shared" si="17"/>
        <v>70088.28</v>
      </c>
      <c r="H877" s="125">
        <v>46134</v>
      </c>
      <c r="I877" s="1" t="s">
        <v>873</v>
      </c>
      <c r="J877" s="1"/>
    </row>
    <row r="878" spans="1:10" customFormat="1" hidden="1">
      <c r="A878" s="96" t="s">
        <v>1915</v>
      </c>
      <c r="B878" s="1" t="s">
        <v>32</v>
      </c>
      <c r="C878" s="1" t="s">
        <v>860</v>
      </c>
      <c r="D878" s="96">
        <v>3</v>
      </c>
      <c r="E878" s="1" t="s">
        <v>791</v>
      </c>
      <c r="F878" s="117">
        <f>63241*0.86</f>
        <v>54387.26</v>
      </c>
      <c r="G878" s="90">
        <f t="shared" si="17"/>
        <v>163161.78</v>
      </c>
      <c r="H878" s="125">
        <v>46134</v>
      </c>
      <c r="I878" s="1" t="s">
        <v>873</v>
      </c>
      <c r="J878" s="1"/>
    </row>
    <row r="879" spans="1:10" customFormat="1" hidden="1">
      <c r="A879" s="96" t="s">
        <v>1916</v>
      </c>
      <c r="B879" s="1" t="s">
        <v>32</v>
      </c>
      <c r="C879" s="1" t="s">
        <v>860</v>
      </c>
      <c r="D879" s="96">
        <v>11</v>
      </c>
      <c r="E879" s="1" t="s">
        <v>791</v>
      </c>
      <c r="F879" s="117">
        <f>16857*0.86</f>
        <v>14497.02</v>
      </c>
      <c r="G879" s="90">
        <f t="shared" si="17"/>
        <v>159467.22</v>
      </c>
      <c r="H879" s="125">
        <v>46133</v>
      </c>
      <c r="I879" s="1" t="s">
        <v>873</v>
      </c>
      <c r="J879" s="1"/>
    </row>
    <row r="880" spans="1:10" customFormat="1" hidden="1">
      <c r="A880" s="96" t="s">
        <v>1917</v>
      </c>
      <c r="B880" s="1" t="s">
        <v>32</v>
      </c>
      <c r="C880" s="1" t="s">
        <v>860</v>
      </c>
      <c r="D880" s="96">
        <v>3</v>
      </c>
      <c r="E880" s="1" t="s">
        <v>791</v>
      </c>
      <c r="F880" s="117">
        <f>24987*0.6</f>
        <v>14992.199999999999</v>
      </c>
      <c r="G880" s="90">
        <f t="shared" si="17"/>
        <v>44976.6</v>
      </c>
      <c r="H880" s="125">
        <v>46134</v>
      </c>
      <c r="I880" s="1" t="s">
        <v>1918</v>
      </c>
      <c r="J880" s="1"/>
    </row>
    <row r="881" spans="1:10" customFormat="1" hidden="1">
      <c r="A881" s="96" t="s">
        <v>1919</v>
      </c>
      <c r="B881" s="1" t="s">
        <v>32</v>
      </c>
      <c r="C881" s="1" t="s">
        <v>860</v>
      </c>
      <c r="D881" s="96">
        <v>1</v>
      </c>
      <c r="E881" s="1" t="s">
        <v>791</v>
      </c>
      <c r="F881" s="117">
        <f>31059*0.86</f>
        <v>26710.739999999998</v>
      </c>
      <c r="G881" s="90">
        <f t="shared" si="17"/>
        <v>26710.739999999998</v>
      </c>
      <c r="H881" s="125">
        <v>46134</v>
      </c>
      <c r="I881" s="1" t="s">
        <v>873</v>
      </c>
      <c r="J881" s="1"/>
    </row>
    <row r="882" spans="1:10" customFormat="1" hidden="1">
      <c r="A882" s="96" t="s">
        <v>1920</v>
      </c>
      <c r="B882" s="1" t="s">
        <v>32</v>
      </c>
      <c r="C882" s="1" t="s">
        <v>860</v>
      </c>
      <c r="D882" s="96">
        <v>9</v>
      </c>
      <c r="E882" s="1" t="s">
        <v>791</v>
      </c>
      <c r="F882" s="117">
        <f>12545*0.86</f>
        <v>10788.7</v>
      </c>
      <c r="G882" s="90">
        <f t="shared" si="17"/>
        <v>97098.3</v>
      </c>
      <c r="H882" s="125">
        <v>46134</v>
      </c>
      <c r="I882" s="1" t="s">
        <v>873</v>
      </c>
      <c r="J882" s="1"/>
    </row>
    <row r="883" spans="1:10" customFormat="1" hidden="1">
      <c r="A883" s="96" t="s">
        <v>1921</v>
      </c>
      <c r="B883" s="1" t="s">
        <v>32</v>
      </c>
      <c r="C883" s="1" t="s">
        <v>860</v>
      </c>
      <c r="D883" s="96">
        <v>1</v>
      </c>
      <c r="E883" s="1" t="s">
        <v>791</v>
      </c>
      <c r="F883" s="117">
        <f>40749*0.86</f>
        <v>35044.14</v>
      </c>
      <c r="G883" s="90">
        <f t="shared" si="17"/>
        <v>35044.14</v>
      </c>
      <c r="H883" s="125">
        <v>46134</v>
      </c>
      <c r="I883" s="1" t="s">
        <v>873</v>
      </c>
      <c r="J883" s="1"/>
    </row>
    <row r="884" spans="1:10" customFormat="1" hidden="1">
      <c r="A884" s="96" t="s">
        <v>1922</v>
      </c>
      <c r="B884" s="1" t="s">
        <v>32</v>
      </c>
      <c r="C884" s="1" t="s">
        <v>860</v>
      </c>
      <c r="D884" s="96">
        <v>2</v>
      </c>
      <c r="E884" s="1" t="s">
        <v>791</v>
      </c>
      <c r="F884" s="117">
        <f>63241*0.86</f>
        <v>54387.26</v>
      </c>
      <c r="G884" s="90">
        <f t="shared" si="17"/>
        <v>108774.52</v>
      </c>
      <c r="H884" s="125">
        <v>46133</v>
      </c>
      <c r="I884" s="1" t="s">
        <v>873</v>
      </c>
      <c r="J884" s="1"/>
    </row>
    <row r="885" spans="1:10" customFormat="1" hidden="1">
      <c r="A885" s="96" t="s">
        <v>1923</v>
      </c>
      <c r="B885" s="1" t="s">
        <v>123</v>
      </c>
      <c r="C885" s="1" t="s">
        <v>1924</v>
      </c>
      <c r="D885" s="96">
        <v>4</v>
      </c>
      <c r="E885" s="1" t="s">
        <v>791</v>
      </c>
      <c r="F885" s="117">
        <f>111710*0.8</f>
        <v>89368</v>
      </c>
      <c r="G885" s="90">
        <f t="shared" si="17"/>
        <v>357472</v>
      </c>
      <c r="H885" s="125">
        <v>46134</v>
      </c>
      <c r="I885" s="1" t="s">
        <v>1389</v>
      </c>
      <c r="J885" s="1"/>
    </row>
    <row r="886" spans="1:10" customFormat="1" hidden="1">
      <c r="A886" s="96" t="s">
        <v>1925</v>
      </c>
      <c r="B886" s="1" t="s">
        <v>32</v>
      </c>
      <c r="C886" s="1" t="s">
        <v>860</v>
      </c>
      <c r="D886" s="96">
        <v>2</v>
      </c>
      <c r="E886" s="1" t="s">
        <v>791</v>
      </c>
      <c r="F886" s="117">
        <f>47410*0.8</f>
        <v>37928</v>
      </c>
      <c r="G886" s="90">
        <f t="shared" si="17"/>
        <v>75856</v>
      </c>
      <c r="H886" s="125">
        <v>46134</v>
      </c>
      <c r="I886" s="1" t="s">
        <v>828</v>
      </c>
      <c r="J886" s="1"/>
    </row>
    <row r="887" spans="1:10" customFormat="1" hidden="1">
      <c r="A887" s="96" t="s">
        <v>1926</v>
      </c>
      <c r="B887" s="1" t="s">
        <v>32</v>
      </c>
      <c r="C887" s="1" t="s">
        <v>860</v>
      </c>
      <c r="D887" s="96">
        <v>1</v>
      </c>
      <c r="E887" s="1" t="s">
        <v>791</v>
      </c>
      <c r="F887" s="117">
        <v>383900</v>
      </c>
      <c r="G887" s="111">
        <f t="shared" si="17"/>
        <v>383900</v>
      </c>
      <c r="H887" s="125">
        <v>46134</v>
      </c>
      <c r="I887" s="1" t="s">
        <v>1873</v>
      </c>
      <c r="J887" s="1"/>
    </row>
    <row r="888" spans="1:10" s="174" customFormat="1" hidden="1">
      <c r="A888" s="96" t="s">
        <v>1927</v>
      </c>
      <c r="B888" s="1" t="s">
        <v>368</v>
      </c>
      <c r="C888" s="1"/>
      <c r="D888" s="96">
        <v>1</v>
      </c>
      <c r="E888" s="1" t="s">
        <v>791</v>
      </c>
      <c r="F888" s="117">
        <f>129530*0.8</f>
        <v>103624</v>
      </c>
      <c r="G888" s="116">
        <f t="shared" si="17"/>
        <v>103624</v>
      </c>
      <c r="H888" s="152">
        <v>46148</v>
      </c>
      <c r="I888" s="108" t="s">
        <v>1928</v>
      </c>
      <c r="J888" s="108"/>
    </row>
    <row r="889" spans="1:10" s="153" customFormat="1" hidden="1">
      <c r="A889" s="172" t="s">
        <v>1929</v>
      </c>
      <c r="B889" s="172" t="s">
        <v>368</v>
      </c>
      <c r="C889" s="172"/>
      <c r="D889" s="172">
        <v>1</v>
      </c>
      <c r="E889" s="1" t="s">
        <v>791</v>
      </c>
      <c r="F889" s="215"/>
      <c r="G889" s="202">
        <f>+D889*F889</f>
        <v>0</v>
      </c>
      <c r="H889" s="173">
        <v>46198</v>
      </c>
      <c r="I889" s="172"/>
      <c r="J889" s="172" t="s">
        <v>1930</v>
      </c>
    </row>
    <row r="890" spans="1:10" customFormat="1" hidden="1">
      <c r="A890" s="96" t="s">
        <v>1931</v>
      </c>
      <c r="B890" s="1" t="s">
        <v>368</v>
      </c>
      <c r="C890" s="1"/>
      <c r="D890" s="96">
        <v>5</v>
      </c>
      <c r="E890" s="1" t="s">
        <v>791</v>
      </c>
      <c r="F890" s="117">
        <f>272420*0.8</f>
        <v>217936</v>
      </c>
      <c r="G890" s="116">
        <f t="shared" si="17"/>
        <v>1089680</v>
      </c>
      <c r="H890" s="152">
        <v>46148</v>
      </c>
      <c r="I890" s="108" t="s">
        <v>1565</v>
      </c>
      <c r="J890" s="108"/>
    </row>
    <row r="891" spans="1:10" customFormat="1" hidden="1">
      <c r="A891" s="96" t="s">
        <v>1932</v>
      </c>
      <c r="B891" s="1" t="s">
        <v>123</v>
      </c>
      <c r="C891" s="1" t="s">
        <v>1924</v>
      </c>
      <c r="D891" s="96">
        <v>1</v>
      </c>
      <c r="E891" s="1" t="s">
        <v>791</v>
      </c>
      <c r="F891" s="117">
        <f>88280*0.8</f>
        <v>70624</v>
      </c>
      <c r="G891" s="90">
        <f t="shared" si="17"/>
        <v>70624</v>
      </c>
      <c r="H891" s="125">
        <v>46134</v>
      </c>
      <c r="I891" s="1" t="s">
        <v>1397</v>
      </c>
      <c r="J891" s="1" t="s">
        <v>1933</v>
      </c>
    </row>
    <row r="892" spans="1:10" customFormat="1" hidden="1">
      <c r="A892" s="96" t="s">
        <v>1934</v>
      </c>
      <c r="B892" s="1" t="s">
        <v>123</v>
      </c>
      <c r="C892" s="1" t="s">
        <v>1924</v>
      </c>
      <c r="D892" s="96">
        <v>8</v>
      </c>
      <c r="E892" s="1" t="s">
        <v>791</v>
      </c>
      <c r="F892" s="117">
        <f>88280*0.8</f>
        <v>70624</v>
      </c>
      <c r="G892" s="90">
        <f>+D892*F892</f>
        <v>564992</v>
      </c>
      <c r="H892" s="125">
        <v>46134</v>
      </c>
      <c r="I892" s="1" t="s">
        <v>1397</v>
      </c>
      <c r="J892" s="1" t="s">
        <v>1933</v>
      </c>
    </row>
    <row r="893" spans="1:10" customFormat="1" hidden="1">
      <c r="A893" s="96" t="s">
        <v>1935</v>
      </c>
      <c r="B893" s="1" t="s">
        <v>123</v>
      </c>
      <c r="C893" s="1" t="s">
        <v>1924</v>
      </c>
      <c r="D893" s="96">
        <v>9</v>
      </c>
      <c r="E893" s="1" t="s">
        <v>791</v>
      </c>
      <c r="F893" s="117">
        <f>88280*0.8</f>
        <v>70624</v>
      </c>
      <c r="G893" s="90">
        <f>+D893*F893</f>
        <v>635616</v>
      </c>
      <c r="H893" s="125">
        <v>46134</v>
      </c>
      <c r="I893" s="1" t="s">
        <v>1397</v>
      </c>
      <c r="J893" s="1" t="s">
        <v>1933</v>
      </c>
    </row>
    <row r="894" spans="1:10" customFormat="1" hidden="1">
      <c r="A894" s="96" t="s">
        <v>1936</v>
      </c>
      <c r="B894" s="1" t="s">
        <v>123</v>
      </c>
      <c r="C894" s="1" t="s">
        <v>1924</v>
      </c>
      <c r="D894" s="96">
        <v>6</v>
      </c>
      <c r="E894" s="1" t="s">
        <v>791</v>
      </c>
      <c r="F894" s="117">
        <f>91680*0.8</f>
        <v>73344</v>
      </c>
      <c r="G894" s="90">
        <f>+D894*F894</f>
        <v>440064</v>
      </c>
      <c r="H894" s="125"/>
      <c r="I894" s="1" t="s">
        <v>851</v>
      </c>
      <c r="J894" s="1"/>
    </row>
    <row r="895" spans="1:10" customFormat="1" hidden="1">
      <c r="A895" s="113" t="s">
        <v>1937</v>
      </c>
      <c r="B895" s="1" t="s">
        <v>123</v>
      </c>
      <c r="C895" s="1" t="s">
        <v>1924</v>
      </c>
      <c r="D895" s="96">
        <v>21</v>
      </c>
      <c r="E895" s="1" t="s">
        <v>791</v>
      </c>
      <c r="F895" s="117">
        <f>63100*0.8</f>
        <v>50480</v>
      </c>
      <c r="G895" s="90">
        <f t="shared" si="17"/>
        <v>1060080</v>
      </c>
      <c r="H895" s="125">
        <v>46134</v>
      </c>
      <c r="I895" s="1" t="s">
        <v>868</v>
      </c>
      <c r="J895" s="1" t="s">
        <v>1933</v>
      </c>
    </row>
    <row r="896" spans="1:10" customFormat="1" hidden="1">
      <c r="A896" s="113" t="s">
        <v>1938</v>
      </c>
      <c r="B896" s="1" t="s">
        <v>123</v>
      </c>
      <c r="C896" s="1" t="s">
        <v>1924</v>
      </c>
      <c r="D896" s="96">
        <v>17</v>
      </c>
      <c r="E896" s="1" t="s">
        <v>791</v>
      </c>
      <c r="F896" s="117">
        <f>63100*0.8</f>
        <v>50480</v>
      </c>
      <c r="G896" s="90">
        <f>+D896*F896</f>
        <v>858160</v>
      </c>
      <c r="H896" s="125">
        <v>46134</v>
      </c>
      <c r="I896" s="1" t="s">
        <v>868</v>
      </c>
      <c r="J896" s="1" t="s">
        <v>1933</v>
      </c>
    </row>
    <row r="897" spans="1:10" customFormat="1" hidden="1">
      <c r="A897" s="113" t="s">
        <v>1939</v>
      </c>
      <c r="B897" s="1" t="s">
        <v>123</v>
      </c>
      <c r="C897" s="1" t="s">
        <v>1924</v>
      </c>
      <c r="D897" s="96">
        <v>11</v>
      </c>
      <c r="E897" s="1" t="s">
        <v>791</v>
      </c>
      <c r="F897" s="117">
        <f>74470*0.8</f>
        <v>59576</v>
      </c>
      <c r="G897" s="90">
        <f>+D897*F897</f>
        <v>655336</v>
      </c>
      <c r="H897" s="125">
        <v>46134</v>
      </c>
      <c r="I897" s="1" t="s">
        <v>1940</v>
      </c>
      <c r="J897" s="1"/>
    </row>
    <row r="898" spans="1:10" customFormat="1" hidden="1">
      <c r="A898" s="96" t="s">
        <v>1941</v>
      </c>
      <c r="B898" s="1" t="s">
        <v>123</v>
      </c>
      <c r="C898" s="1" t="s">
        <v>1924</v>
      </c>
      <c r="D898" s="96">
        <v>3</v>
      </c>
      <c r="E898" s="1" t="s">
        <v>791</v>
      </c>
      <c r="F898" s="117">
        <f>176410*0.8</f>
        <v>141128</v>
      </c>
      <c r="G898" s="90">
        <f t="shared" si="17"/>
        <v>423384</v>
      </c>
      <c r="H898" s="125">
        <v>46134</v>
      </c>
      <c r="I898" s="1" t="s">
        <v>1942</v>
      </c>
      <c r="J898" s="1"/>
    </row>
    <row r="899" spans="1:10" customFormat="1" hidden="1">
      <c r="A899" s="96" t="s">
        <v>1943</v>
      </c>
      <c r="B899" s="1" t="s">
        <v>123</v>
      </c>
      <c r="C899" s="1" t="s">
        <v>1924</v>
      </c>
      <c r="D899" s="96">
        <v>1</v>
      </c>
      <c r="E899" s="1" t="s">
        <v>791</v>
      </c>
      <c r="F899" s="117">
        <f>176410*0.8</f>
        <v>141128</v>
      </c>
      <c r="G899" s="90">
        <f>+D899*F899</f>
        <v>141128</v>
      </c>
      <c r="H899" s="125">
        <v>46134</v>
      </c>
      <c r="I899" s="1" t="s">
        <v>1942</v>
      </c>
      <c r="J899" s="1" t="s">
        <v>1933</v>
      </c>
    </row>
    <row r="900" spans="1:10" customFormat="1" hidden="1">
      <c r="A900" s="96" t="s">
        <v>1944</v>
      </c>
      <c r="B900" s="1" t="s">
        <v>123</v>
      </c>
      <c r="C900" s="1" t="s">
        <v>1924</v>
      </c>
      <c r="D900" s="96">
        <v>1</v>
      </c>
      <c r="E900" s="1" t="s">
        <v>791</v>
      </c>
      <c r="F900" s="117">
        <f>261920*0.8</f>
        <v>209536</v>
      </c>
      <c r="G900" s="90">
        <f t="shared" si="17"/>
        <v>209536</v>
      </c>
      <c r="H900" s="125">
        <v>46134</v>
      </c>
      <c r="I900" s="1" t="s">
        <v>1940</v>
      </c>
      <c r="J900" s="1"/>
    </row>
    <row r="901" spans="1:10" customFormat="1" hidden="1">
      <c r="A901" s="96" t="s">
        <v>1945</v>
      </c>
      <c r="B901" s="1" t="s">
        <v>123</v>
      </c>
      <c r="C901" s="1" t="s">
        <v>1924</v>
      </c>
      <c r="D901" s="96">
        <v>3</v>
      </c>
      <c r="E901" s="1" t="s">
        <v>791</v>
      </c>
      <c r="F901" s="117">
        <f>64050*0.8</f>
        <v>51240</v>
      </c>
      <c r="G901" s="111">
        <f t="shared" ref="G901:G906" si="18">+D901*F901</f>
        <v>153720</v>
      </c>
      <c r="H901" s="125">
        <v>46134</v>
      </c>
      <c r="I901" s="119" t="s">
        <v>820</v>
      </c>
      <c r="J901" s="1"/>
    </row>
    <row r="902" spans="1:10" customFormat="1" hidden="1">
      <c r="A902" s="96" t="s">
        <v>1946</v>
      </c>
      <c r="B902" s="1" t="s">
        <v>368</v>
      </c>
      <c r="C902" s="1"/>
      <c r="D902" s="96">
        <v>1</v>
      </c>
      <c r="E902" s="1" t="s">
        <v>791</v>
      </c>
      <c r="F902" s="117">
        <f>254000*0.75</f>
        <v>190500</v>
      </c>
      <c r="G902" s="111">
        <f t="shared" si="18"/>
        <v>190500</v>
      </c>
      <c r="H902" s="125">
        <v>46148</v>
      </c>
      <c r="I902" s="1" t="s">
        <v>1947</v>
      </c>
      <c r="J902" s="1"/>
    </row>
    <row r="903" spans="1:10" customFormat="1" hidden="1">
      <c r="A903" s="1" t="s">
        <v>401</v>
      </c>
      <c r="B903" s="1" t="s">
        <v>368</v>
      </c>
      <c r="C903" s="41"/>
      <c r="D903" s="41">
        <v>1</v>
      </c>
      <c r="E903" s="1" t="s">
        <v>791</v>
      </c>
      <c r="F903" s="216"/>
      <c r="G903" s="90">
        <f t="shared" si="18"/>
        <v>0</v>
      </c>
    </row>
    <row r="904" spans="1:10" customFormat="1" hidden="1">
      <c r="A904" s="96" t="s">
        <v>1948</v>
      </c>
      <c r="B904" s="41" t="s">
        <v>32</v>
      </c>
      <c r="C904" t="s">
        <v>860</v>
      </c>
      <c r="D904" s="218">
        <v>1</v>
      </c>
      <c r="E904" s="1" t="s">
        <v>791</v>
      </c>
      <c r="F904" s="146">
        <f>106130*0.8</f>
        <v>84904</v>
      </c>
      <c r="G904" s="90">
        <f t="shared" si="18"/>
        <v>84904</v>
      </c>
      <c r="H904" s="150">
        <v>46134</v>
      </c>
      <c r="I904" t="s">
        <v>1949</v>
      </c>
    </row>
    <row r="905" spans="1:10" hidden="1">
      <c r="A905" s="145" t="s">
        <v>1950</v>
      </c>
      <c r="B905" s="9" t="s">
        <v>193</v>
      </c>
      <c r="C905" s="9" t="s">
        <v>1059</v>
      </c>
      <c r="D905" s="97">
        <v>1</v>
      </c>
      <c r="E905" s="1" t="s">
        <v>791</v>
      </c>
      <c r="F905" s="147">
        <f>18243*0.5</f>
        <v>9121.5</v>
      </c>
      <c r="G905" s="90">
        <f t="shared" si="18"/>
        <v>9121.5</v>
      </c>
      <c r="H905" s="150">
        <v>46146</v>
      </c>
      <c r="I905" s="9" t="s">
        <v>1951</v>
      </c>
      <c r="J905" s="9"/>
    </row>
    <row r="906" spans="1:10" hidden="1">
      <c r="A906" s="175" t="s">
        <v>1952</v>
      </c>
      <c r="B906" s="168" t="s">
        <v>1890</v>
      </c>
      <c r="C906" s="168" t="s">
        <v>1953</v>
      </c>
      <c r="D906" s="176">
        <v>2</v>
      </c>
      <c r="E906" s="1" t="s">
        <v>791</v>
      </c>
      <c r="F906" s="206">
        <v>359810</v>
      </c>
      <c r="G906" s="166">
        <f t="shared" si="18"/>
        <v>719620</v>
      </c>
      <c r="H906" s="125">
        <v>46198</v>
      </c>
      <c r="I906" s="1" t="s">
        <v>1954</v>
      </c>
      <c r="J906" s="169"/>
    </row>
    <row r="907" spans="1:10" hidden="1">
      <c r="A907" s="155" t="s">
        <v>1955</v>
      </c>
      <c r="B907" s="236" t="s">
        <v>1242</v>
      </c>
      <c r="C907" s="9"/>
      <c r="D907" s="176">
        <v>44</v>
      </c>
      <c r="E907" s="238" t="s">
        <v>1956</v>
      </c>
      <c r="F907" s="237">
        <v>4080</v>
      </c>
      <c r="G907" s="166">
        <f>+D907*F907</f>
        <v>179520</v>
      </c>
      <c r="H907" s="228">
        <v>46171</v>
      </c>
      <c r="I907" s="220" t="s">
        <v>1957</v>
      </c>
      <c r="J907" s="168"/>
    </row>
    <row r="908" spans="1:10" hidden="1">
      <c r="A908" s="101" t="s">
        <v>1958</v>
      </c>
      <c r="B908" s="1" t="s">
        <v>1242</v>
      </c>
      <c r="C908" s="1"/>
      <c r="D908" s="176">
        <v>130</v>
      </c>
      <c r="E908" s="238" t="s">
        <v>1956</v>
      </c>
      <c r="F908" s="134">
        <v>5325</v>
      </c>
      <c r="G908" s="166">
        <f t="shared" ref="G908" si="19">+D908*F908</f>
        <v>692250</v>
      </c>
      <c r="H908" s="110">
        <v>46167</v>
      </c>
      <c r="I908" s="1" t="s">
        <v>1959</v>
      </c>
      <c r="J908" s="119"/>
    </row>
    <row r="909" spans="1:10" hidden="1">
      <c r="A909" s="155" t="s">
        <v>1960</v>
      </c>
      <c r="B909" s="9" t="s">
        <v>1961</v>
      </c>
      <c r="C909" s="9"/>
      <c r="D909" s="176">
        <v>30</v>
      </c>
      <c r="E909" s="238" t="s">
        <v>1956</v>
      </c>
      <c r="F909" s="237">
        <v>9250</v>
      </c>
      <c r="G909" s="166">
        <f>+D909*F909</f>
        <v>277500</v>
      </c>
      <c r="H909" s="228">
        <v>46167</v>
      </c>
      <c r="I909" s="220" t="s">
        <v>1383</v>
      </c>
      <c r="J909" s="168"/>
    </row>
    <row r="910" spans="1:10" hidden="1">
      <c r="A910" s="101" t="s">
        <v>1962</v>
      </c>
      <c r="B910" s="1" t="s">
        <v>1961</v>
      </c>
      <c r="C910" s="1"/>
      <c r="D910" s="176">
        <v>50</v>
      </c>
      <c r="E910" s="238" t="s">
        <v>1956</v>
      </c>
      <c r="F910" s="134">
        <v>7310</v>
      </c>
      <c r="G910" s="166">
        <f t="shared" ref="G910:G911" si="20">+D910*F910</f>
        <v>365500</v>
      </c>
      <c r="H910" s="110">
        <v>46171</v>
      </c>
      <c r="I910" s="1" t="s">
        <v>1198</v>
      </c>
      <c r="J910" s="119"/>
    </row>
    <row r="911" spans="1:10" hidden="1">
      <c r="A911" s="155" t="s">
        <v>1963</v>
      </c>
      <c r="B911" s="9" t="s">
        <v>1961</v>
      </c>
      <c r="C911" s="9"/>
      <c r="D911" s="176">
        <v>20</v>
      </c>
      <c r="E911" s="238" t="s">
        <v>1956</v>
      </c>
      <c r="F911" s="237">
        <v>10810</v>
      </c>
      <c r="G911" s="166">
        <f t="shared" si="20"/>
        <v>216200</v>
      </c>
      <c r="H911" s="228">
        <v>46167</v>
      </c>
      <c r="I911" s="220" t="s">
        <v>1964</v>
      </c>
      <c r="J911" s="168"/>
    </row>
    <row r="912" spans="1:10">
      <c r="H912" s="167"/>
    </row>
  </sheetData>
  <phoneticPr fontId="1" type="noConversion"/>
  <conditionalFormatting sqref="A2:A49999">
    <cfRule type="duplicateValues" dxfId="94" priority="338"/>
  </conditionalFormatting>
  <dataValidations count="1">
    <dataValidation type="list" allowBlank="1" showInputMessage="1" showErrorMessage="1" sqref="A2:A1961" xr:uid="{9E47B2ED-3857-48D9-A0E1-135932A3A1DF}">
      <formula1>INDIRECT("BD[ELEMENTO]")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54EC1-811A-489E-BFD4-B59C76D29429}">
  <sheetPr codeName="shExistencias" filterMode="1">
    <tabColor theme="9" tint="0.39997558519241921"/>
  </sheetPr>
  <dimension ref="A1:E938"/>
  <sheetViews>
    <sheetView zoomScale="115" zoomScaleNormal="115" workbookViewId="0">
      <pane ySplit="1" topLeftCell="A471" activePane="bottomLeft" state="frozen"/>
      <selection pane="bottomLeft"/>
    </sheetView>
  </sheetViews>
  <sheetFormatPr defaultColWidth="16.85546875" defaultRowHeight="15"/>
  <cols>
    <col min="1" max="1" width="78.140625" bestFit="1" customWidth="1"/>
    <col min="3" max="3" width="19.85546875" customWidth="1"/>
    <col min="4" max="4" width="20.5703125" style="170" customWidth="1"/>
    <col min="5" max="5" width="29.140625" style="170" customWidth="1"/>
  </cols>
  <sheetData>
    <row r="1" spans="1:5">
      <c r="A1" s="231" t="str" cm="1">
        <f t="array" ref="A1:E856">_xlfn.LET(_xlpm.comment1, "Primero vamos a sumar las entradas", _xlpm.entradas, _xlfn.LET(_xlpm.ins_item_ele, _xlfn.CHOOSECOLS(INS[#Data], MATCH("ELEMENTO", INS[#Headers], 0)), _xlpm.ins_cant_pos, --_xlfn.CHOOSECOLS(INS[#Data], (MATCH("CANTIDAD", INS[#Headers], 0))), _xlpm.ins, _xlfn.HSTACK(_xlpm.ins_item_ele, _xlpm.ins_cant_pos), _xlpm.ins), _xlpm.comment2, "SegUndo  vamos a sumar el inventario inicial", _xlpm.inicial, _xlfn.CHOOSECOLS(Inicial[#Data], MATCH("ELEMENTO", Inicial[#Headers], 0), MATCH("CANTIDAD", Inicial[#Headers], 0)), _xlpm.comment3, "Tercero   vamos a restar las salidas", _xlpm.salidas, _xlfn.LET(_xlpm.outs_cant_ele, _xlfn.CHOOSECOLS(OUTS[#Data], MATCH("ELEMENTO", OUTS[#Headers], 0)), _xlpm.outs_cant_neg, -_xlfn.CHOOSECOLS(OUTS[#Data], (MATCH("CANTIDAD", OUTS[#Headers], 0))), _xlpm.outs, _xlfn.HSTACK(_xlpm.outs_cant_ele, _xlpm.outs_cant_neg), _xlpm.outs), _xlpm.comment4, "Apilamos las tablas de movimiento", _xlpm.arr_apiladas, _xlfn.VSTACK(_xlpm.inicial, _xlpm.entradas, _xlpm.salidas), _xlpm.arr_existencias, _xlfn.GROUPBY(_xlfn.CHOOSECOLS(_xlpm.arr_apiladas, 1), _xlfn.CHOOSECOLS(_xlpm.arr_apiladas, 2), _xleta.SUM, 0, 0), _xlpm.arr_existencias_fix, IF(_xlfn.CHOOSECOLS(_xlpm.arr_existencias, 1) = 0, "SIN ELEMENTO", _xlpm.arr_existencias), _xlpm.vect_unidad, _xlfn.XLOOKUP(_xlfn.CHOOSECOLS(_xlpm.arr_existencias_fix, 1), BD[Elemento], BD[Unidad], "NO ELEMENTO", 0, 1), _xlpm.vect_unidad_fix, IF(_xlpm.vect_unidad = 0, "", _xlpm.vect_unidad), _xlpm.arr_result_no_valor, _xlfn.VSTACK({"ELEMENTO","CANTIDAD","UNIDAD"}, _xlfn.HSTACK(_xlpm.arr_existencias_fix, _xlpm.vect_unidad_fix)), _xlpm.comment5, "Vamos a traer el Valorizado desde la Tabla BD", _xlpm.vect_valor_unit, _xlfn.VSTACK({"Valor Unitario"}, _xlfn.XLOOKUP(_xlfn.DROP(_xlfn.CHOOSECOLS(_xlpm.arr_result_no_valor, 1), 1), BD[Elemento], BD[COSTEO_POR_UNIDAD])), _xlpm.vect_valorizado, _xlfn.VSTACK({"VALORIZACION"}, IFERROR(_xlfn.DROP(_xlfn.CHOOSECOLS(_xlpm.arr_result_no_valor, 2), 1) * _xlfn.DROP(_xlpm.vect_valor_unit, 1), 0)), _xlpm.arr_result_con_valor, _xlfn.HSTACK(_xlpm.arr_result_no_valor, _xlpm.vect_valor_unit, _xlpm.vect_valorizado), _xlfn._xlws.FILTER(_xlpm.arr_result_con_valor, (_xlfn.CHOOSECOLS(_xlpm.arr_result_con_valor, 2) &lt;&gt; 0), 0))</f>
        <v>ELEMENTO</v>
      </c>
      <c r="B1" s="231" t="str">
        <v>CANTIDAD</v>
      </c>
      <c r="C1" s="231" t="str">
        <v>UNIDAD</v>
      </c>
      <c r="D1" s="231" t="str">
        <v>Valor Unitario</v>
      </c>
      <c r="E1" s="231" t="str">
        <v>VALORIZACION</v>
      </c>
    </row>
    <row r="2" spans="1:5" hidden="1">
      <c r="A2" t="str">
        <v>Abrazadera industrial Inox 304 27-29 mm (1")</v>
      </c>
      <c r="B2">
        <v>7</v>
      </c>
      <c r="C2" t="str">
        <v>UND</v>
      </c>
      <c r="D2">
        <v>4300</v>
      </c>
      <c r="E2">
        <v>30100</v>
      </c>
    </row>
    <row r="3" spans="1:5" hidden="1">
      <c r="A3" t="str">
        <v>Abrazadera industrial Inox 304 27-30 mm (1")</v>
      </c>
      <c r="B3">
        <v>1</v>
      </c>
      <c r="C3" t="str">
        <v>UND</v>
      </c>
      <c r="D3">
        <v>4300</v>
      </c>
      <c r="E3">
        <v>4300</v>
      </c>
    </row>
    <row r="4" spans="1:5" hidden="1">
      <c r="A4" t="str">
        <v>Abrazadera industrial Inox 304 31-34 mm (1-1/4")</v>
      </c>
      <c r="B4">
        <v>1</v>
      </c>
      <c r="C4" t="str">
        <v>UND</v>
      </c>
      <c r="D4">
        <v>4750</v>
      </c>
      <c r="E4">
        <v>4750</v>
      </c>
    </row>
    <row r="5" spans="1:5" hidden="1">
      <c r="A5" t="str">
        <v>Abrazadera industrial Inox 304 36-39 mm (1-1/2")</v>
      </c>
      <c r="B5">
        <v>11</v>
      </c>
      <c r="C5" t="str">
        <v>UND</v>
      </c>
      <c r="D5">
        <v>1800</v>
      </c>
      <c r="E5">
        <v>19800</v>
      </c>
    </row>
    <row r="6" spans="1:5" hidden="1">
      <c r="A6" t="str">
        <v>Abrazadera industrial Inox 304 38-41 mm (1-1/2")</v>
      </c>
      <c r="B6">
        <v>1</v>
      </c>
      <c r="C6" t="str">
        <v>UND</v>
      </c>
      <c r="D6">
        <v>1800</v>
      </c>
      <c r="E6">
        <v>1800</v>
      </c>
    </row>
    <row r="7" spans="1:5" hidden="1">
      <c r="A7" t="str">
        <v>Abrazadera industrial Inox 304 60-63 mm (2")</v>
      </c>
      <c r="B7">
        <v>2</v>
      </c>
      <c r="C7" t="str">
        <v>UND</v>
      </c>
      <c r="D7">
        <v>12100</v>
      </c>
      <c r="E7">
        <v>24200</v>
      </c>
    </row>
    <row r="8" spans="1:5" hidden="1">
      <c r="A8" t="str">
        <v>Abrazadera sin fin Inox 304 11-20 mm (1/2")</v>
      </c>
      <c r="B8">
        <v>17</v>
      </c>
      <c r="C8" t="str">
        <v>UND</v>
      </c>
      <c r="D8">
        <v>2380</v>
      </c>
      <c r="E8">
        <v>40460</v>
      </c>
    </row>
    <row r="9" spans="1:5" hidden="1">
      <c r="A9" t="str">
        <v>Abrazadera sin fin Inox 304 16-32 mm (3/4")</v>
      </c>
      <c r="B9">
        <v>1</v>
      </c>
      <c r="C9" t="str">
        <v>UND</v>
      </c>
      <c r="D9">
        <v>3420</v>
      </c>
      <c r="E9">
        <v>3420</v>
      </c>
    </row>
    <row r="10" spans="1:5" hidden="1">
      <c r="A10" t="str">
        <v>Abrazadera sin fin Inox 304 17-38 mm  (1")</v>
      </c>
      <c r="B10">
        <v>6</v>
      </c>
      <c r="C10" t="str">
        <v>UND</v>
      </c>
      <c r="D10">
        <v>4300</v>
      </c>
      <c r="E10">
        <v>25800</v>
      </c>
    </row>
    <row r="11" spans="1:5" hidden="1">
      <c r="A11" t="str">
        <v>Abrazadera sin fin Inox 304 18-38 mm (3/4")</v>
      </c>
      <c r="B11">
        <v>1</v>
      </c>
      <c r="C11" t="str">
        <v>UND</v>
      </c>
      <c r="D11">
        <v>3420</v>
      </c>
      <c r="E11">
        <v>3420</v>
      </c>
    </row>
    <row r="12" spans="1:5" hidden="1">
      <c r="A12" t="str">
        <v>Abrazadera sin fin Inox 304 19-44 mm (3/4")</v>
      </c>
      <c r="B12">
        <v>1</v>
      </c>
      <c r="C12" t="str">
        <v>UND</v>
      </c>
      <c r="D12">
        <v>3420</v>
      </c>
      <c r="E12">
        <v>3420</v>
      </c>
    </row>
    <row r="13" spans="1:5" hidden="1">
      <c r="A13" t="str">
        <v>Abrazadera sin fin Inox 304 21-38 mm (1")</v>
      </c>
      <c r="B13">
        <v>24</v>
      </c>
      <c r="C13" t="str">
        <v>UND</v>
      </c>
      <c r="D13">
        <v>1742.5</v>
      </c>
      <c r="E13">
        <v>41820</v>
      </c>
    </row>
    <row r="14" spans="1:5" hidden="1">
      <c r="A14" t="str">
        <v>Abrazadera sin fin Inox 304 25-38 mm (1")</v>
      </c>
      <c r="B14">
        <v>2</v>
      </c>
      <c r="C14" t="str">
        <v>UND</v>
      </c>
      <c r="D14">
        <v>4300</v>
      </c>
      <c r="E14">
        <v>8600</v>
      </c>
    </row>
    <row r="15" spans="1:5" hidden="1">
      <c r="A15" t="str">
        <v>Abrazadera sin fin Inox 304 29-51 mm (1-1/2")</v>
      </c>
      <c r="B15">
        <v>4</v>
      </c>
      <c r="C15" t="str">
        <v>UND</v>
      </c>
      <c r="D15">
        <v>1800</v>
      </c>
      <c r="E15">
        <v>7200</v>
      </c>
    </row>
    <row r="16" spans="1:5" hidden="1">
      <c r="A16" t="str">
        <v>Abrazadera sin fin Inox 304 32-50 mm (1-1/2")</v>
      </c>
      <c r="B16">
        <v>5</v>
      </c>
      <c r="C16" t="str">
        <v>UND</v>
      </c>
      <c r="D16">
        <v>1800</v>
      </c>
      <c r="E16">
        <v>9000</v>
      </c>
    </row>
    <row r="17" spans="1:5" hidden="1">
      <c r="A17" t="str">
        <v>Abrazadera sin fin Inox 304 40-64 mm (2")</v>
      </c>
      <c r="B17">
        <v>3</v>
      </c>
      <c r="C17" t="str">
        <v>UND</v>
      </c>
      <c r="D17">
        <v>2167.5</v>
      </c>
      <c r="E17">
        <v>6502.5</v>
      </c>
    </row>
    <row r="18" spans="1:5" hidden="1">
      <c r="A18" t="str">
        <v>Abrazadera sin fin Inox 304 64-76 mm (2")</v>
      </c>
      <c r="B18">
        <v>2</v>
      </c>
      <c r="C18" t="str">
        <v>UND</v>
      </c>
      <c r="D18">
        <v>2167</v>
      </c>
      <c r="E18">
        <v>4334</v>
      </c>
    </row>
    <row r="19" spans="1:5" hidden="1">
      <c r="A19" t="str">
        <v>Abrazadera sin fin Inox 304 91-114 mm (3-1/2")</v>
      </c>
      <c r="B19">
        <v>11</v>
      </c>
      <c r="C19" t="str">
        <v>UND</v>
      </c>
      <c r="D19">
        <v>11600</v>
      </c>
      <c r="E19">
        <v>127600</v>
      </c>
    </row>
    <row r="20" spans="1:5" hidden="1">
      <c r="A20" t="str">
        <v>Abrazadera tipo Clam Inox 304 2-1/2"</v>
      </c>
      <c r="B20">
        <v>4</v>
      </c>
      <c r="C20" t="str">
        <v>UND</v>
      </c>
      <c r="D20">
        <v>34100</v>
      </c>
      <c r="E20">
        <v>136400</v>
      </c>
    </row>
    <row r="21" spans="1:5" hidden="1">
      <c r="A21" t="str">
        <v>Abrazadera tipo Clam Inox 304 4"</v>
      </c>
      <c r="B21">
        <v>1</v>
      </c>
      <c r="C21" t="str">
        <v>UND</v>
      </c>
      <c r="D21">
        <v>49500</v>
      </c>
      <c r="E21">
        <v>49500</v>
      </c>
    </row>
    <row r="22" spans="1:5" hidden="1">
      <c r="A22" t="str">
        <v>Acople Manguera inox 304 1" 150 PSI</v>
      </c>
      <c r="B22">
        <v>1</v>
      </c>
      <c r="C22" t="str">
        <v>UND</v>
      </c>
      <c r="D22">
        <v>6800</v>
      </c>
      <c r="E22">
        <v>6800</v>
      </c>
    </row>
    <row r="23" spans="1:5" hidden="1">
      <c r="A23" t="str">
        <v>Acople Manguera inox 304 1/2" 150 PSI</v>
      </c>
      <c r="B23">
        <v>6</v>
      </c>
      <c r="C23" t="str">
        <v>UND</v>
      </c>
      <c r="D23">
        <v>3744</v>
      </c>
      <c r="E23">
        <v>22464</v>
      </c>
    </row>
    <row r="24" spans="1:5" hidden="1">
      <c r="A24" t="str">
        <v>Acople OPW Parte A Inox 316 1"</v>
      </c>
      <c r="B24">
        <v>2</v>
      </c>
      <c r="C24" t="str">
        <v>UND</v>
      </c>
      <c r="D24">
        <v>24080</v>
      </c>
      <c r="E24">
        <v>48160</v>
      </c>
    </row>
    <row r="25" spans="1:5" hidden="1">
      <c r="A25" t="str">
        <v>Acople OPW Parte A Inox 316 2"</v>
      </c>
      <c r="B25">
        <v>2</v>
      </c>
      <c r="C25" t="str">
        <v>UND</v>
      </c>
      <c r="D25">
        <v>47000</v>
      </c>
      <c r="E25">
        <v>94000</v>
      </c>
    </row>
    <row r="26" spans="1:5" hidden="1">
      <c r="A26" t="str">
        <v>Acople OPW Parte A Inox 316 3"</v>
      </c>
      <c r="B26">
        <v>1</v>
      </c>
      <c r="C26" t="str">
        <v>UND</v>
      </c>
      <c r="D26">
        <v>90800</v>
      </c>
      <c r="E26">
        <v>90800</v>
      </c>
    </row>
    <row r="27" spans="1:5" hidden="1">
      <c r="A27" t="str">
        <v>Acople OPW Parte A PP 1"</v>
      </c>
      <c r="B27">
        <v>6</v>
      </c>
      <c r="C27" t="str">
        <v>UND</v>
      </c>
      <c r="D27">
        <v>4872</v>
      </c>
      <c r="E27">
        <v>29232</v>
      </c>
    </row>
    <row r="28" spans="1:5" hidden="1">
      <c r="A28" t="str">
        <v>Acople OPW Parte A PP 1/2"</v>
      </c>
      <c r="B28">
        <v>3</v>
      </c>
      <c r="C28" t="str">
        <v>UND</v>
      </c>
      <c r="D28">
        <v>3600</v>
      </c>
      <c r="E28">
        <v>10800</v>
      </c>
    </row>
    <row r="29" spans="1:5" hidden="1">
      <c r="A29" t="str">
        <v>Acople OPW Parte A PP 1-1/2"</v>
      </c>
      <c r="B29">
        <v>3</v>
      </c>
      <c r="C29" t="str">
        <v>UND</v>
      </c>
      <c r="D29">
        <v>5200</v>
      </c>
      <c r="E29">
        <v>15600</v>
      </c>
    </row>
    <row r="30" spans="1:5" hidden="1">
      <c r="A30" t="str">
        <v>Acople OPW Parte C Inox 316 1"</v>
      </c>
      <c r="B30">
        <v>1</v>
      </c>
      <c r="C30" t="str">
        <v>UND</v>
      </c>
      <c r="D30">
        <v>47600</v>
      </c>
      <c r="E30">
        <v>47600</v>
      </c>
    </row>
    <row r="31" spans="1:5" hidden="1">
      <c r="A31" t="str">
        <v>Acople OPW Parte C Inox 316 2-1/2"</v>
      </c>
      <c r="B31">
        <v>2</v>
      </c>
      <c r="C31" t="str">
        <v>UND</v>
      </c>
      <c r="D31">
        <v>115949.6</v>
      </c>
      <c r="E31">
        <v>231899.2</v>
      </c>
    </row>
    <row r="32" spans="1:5" hidden="1">
      <c r="A32" t="str">
        <v>Acople OPW Parte C PP 1"</v>
      </c>
      <c r="B32">
        <v>14</v>
      </c>
      <c r="C32" t="str">
        <v>UND</v>
      </c>
      <c r="D32">
        <v>14552</v>
      </c>
      <c r="E32">
        <v>203728</v>
      </c>
    </row>
    <row r="33" spans="1:5" hidden="1">
      <c r="A33" t="str">
        <v>Acople OPW Parte C PP 1-1/2"</v>
      </c>
      <c r="B33">
        <v>2</v>
      </c>
      <c r="C33" t="str">
        <v>UND</v>
      </c>
      <c r="D33">
        <v>22800</v>
      </c>
      <c r="E33">
        <v>45600</v>
      </c>
    </row>
    <row r="34" spans="1:5" hidden="1">
      <c r="A34" t="str">
        <v>Acople OPW Parte C PP 1-1/4"</v>
      </c>
      <c r="B34">
        <v>2</v>
      </c>
      <c r="C34" t="str">
        <v>UND</v>
      </c>
      <c r="D34">
        <v>19800</v>
      </c>
      <c r="E34">
        <v>39600</v>
      </c>
    </row>
    <row r="35" spans="1:5" hidden="1">
      <c r="A35" t="str">
        <v>Acople OPW Parte C PP 3/4"</v>
      </c>
      <c r="B35">
        <v>16</v>
      </c>
      <c r="C35" t="str">
        <v>UND</v>
      </c>
      <c r="D35">
        <v>20080</v>
      </c>
      <c r="E35">
        <v>321280</v>
      </c>
    </row>
    <row r="36" spans="1:5" hidden="1">
      <c r="A36" t="str">
        <v>Acople OPW Parte D Inox 316 3"</v>
      </c>
      <c r="B36">
        <v>1</v>
      </c>
      <c r="C36" t="str">
        <v>UND</v>
      </c>
      <c r="D36">
        <v>152000</v>
      </c>
      <c r="E36">
        <v>152000</v>
      </c>
    </row>
    <row r="37" spans="1:5" hidden="1">
      <c r="A37" t="str">
        <v>Acople OPW Parte E PP 1"</v>
      </c>
      <c r="B37">
        <v>6</v>
      </c>
      <c r="C37" t="str">
        <v>UND</v>
      </c>
      <c r="D37">
        <v>3600</v>
      </c>
      <c r="E37">
        <v>21600</v>
      </c>
    </row>
    <row r="38" spans="1:5" hidden="1">
      <c r="A38" t="str">
        <v>Acople OPW Parte E PP 3"</v>
      </c>
      <c r="B38">
        <v>1</v>
      </c>
      <c r="C38" t="str">
        <v>UND</v>
      </c>
      <c r="D38">
        <v>14480</v>
      </c>
      <c r="E38">
        <v>14480</v>
      </c>
    </row>
    <row r="39" spans="1:5" hidden="1">
      <c r="A39" t="str">
        <v>Acople OPW Parte F Inox 3/4"</v>
      </c>
      <c r="B39">
        <v>1</v>
      </c>
      <c r="C39" t="str">
        <v>UND</v>
      </c>
      <c r="D39">
        <v>22600</v>
      </c>
      <c r="E39">
        <v>22600</v>
      </c>
    </row>
    <row r="40" spans="1:5" hidden="1">
      <c r="A40" t="str">
        <v>Acople OPW Parte F Inox 316 1/2"</v>
      </c>
      <c r="B40">
        <v>1</v>
      </c>
      <c r="C40" t="str">
        <v>UND</v>
      </c>
      <c r="D40">
        <v>20000</v>
      </c>
      <c r="E40">
        <v>20000</v>
      </c>
    </row>
    <row r="41" spans="1:5" hidden="1">
      <c r="A41" t="str">
        <v>Acople OPW Parte F Inox 316 1-1/2"</v>
      </c>
      <c r="B41">
        <v>3</v>
      </c>
      <c r="C41" t="str">
        <v>UND</v>
      </c>
      <c r="D41">
        <v>50300</v>
      </c>
      <c r="E41">
        <v>150900</v>
      </c>
    </row>
    <row r="42" spans="1:5" hidden="1">
      <c r="A42" t="str">
        <v>Acople OPW Parte F Inox 316 2-1/2"</v>
      </c>
      <c r="B42">
        <v>2</v>
      </c>
      <c r="C42" t="str">
        <v>UND</v>
      </c>
      <c r="D42">
        <v>105000</v>
      </c>
      <c r="E42">
        <v>210000</v>
      </c>
    </row>
    <row r="43" spans="1:5" hidden="1">
      <c r="A43" t="str">
        <v>Acople OPW Parte F PP 1"</v>
      </c>
      <c r="B43">
        <v>8</v>
      </c>
      <c r="C43" t="str">
        <v>UND</v>
      </c>
      <c r="D43">
        <v>4400</v>
      </c>
      <c r="E43">
        <v>35200</v>
      </c>
    </row>
    <row r="44" spans="1:5" hidden="1">
      <c r="A44" t="str">
        <v>Acople OPW Parte F PP 1-1/2"</v>
      </c>
      <c r="B44">
        <v>1</v>
      </c>
      <c r="C44" t="str">
        <v>UND</v>
      </c>
      <c r="D44">
        <v>5200</v>
      </c>
      <c r="E44">
        <v>5200</v>
      </c>
    </row>
    <row r="45" spans="1:5" hidden="1">
      <c r="A45" t="str">
        <v>Acople OPW Parte F PP 3/4"</v>
      </c>
      <c r="B45">
        <v>10</v>
      </c>
      <c r="C45" t="str">
        <v>UND</v>
      </c>
      <c r="D45">
        <v>3200</v>
      </c>
      <c r="E45">
        <v>32000</v>
      </c>
    </row>
    <row r="46" spans="1:5" hidden="1">
      <c r="A46" t="str">
        <v>Adaptador Hembra CPVC SCH 40  (Ultratemp) 1" CIM (Con Inserto Metalico)</v>
      </c>
      <c r="B46">
        <v>2</v>
      </c>
      <c r="C46" t="str">
        <v>UND</v>
      </c>
      <c r="D46">
        <v>37032</v>
      </c>
      <c r="E46">
        <v>74064</v>
      </c>
    </row>
    <row r="47" spans="1:5" hidden="1">
      <c r="A47" t="str">
        <v>Adaptador Hembra CPVC SCH 40 (Ultratemp) 1"</v>
      </c>
      <c r="B47">
        <v>2</v>
      </c>
      <c r="C47" t="str">
        <v>UND</v>
      </c>
      <c r="D47">
        <v>0</v>
      </c>
      <c r="E47">
        <v>0</v>
      </c>
    </row>
    <row r="48" spans="1:5" hidden="1">
      <c r="A48" t="str">
        <v>Adaptador Hembra PP Azul 20mm (1/2") CIM (Con Inserto Metalico)</v>
      </c>
      <c r="B48">
        <v>76</v>
      </c>
      <c r="C48" t="str">
        <v>UND</v>
      </c>
      <c r="D48">
        <v>18832</v>
      </c>
      <c r="E48">
        <v>1431232</v>
      </c>
    </row>
    <row r="49" spans="1:5" hidden="1">
      <c r="A49" t="str">
        <v>Adaptador Hembra PP Azul 20mm (1/2") SIM (Sin Inserto Metalico)</v>
      </c>
      <c r="B49">
        <v>8</v>
      </c>
      <c r="C49" t="str">
        <v>UND</v>
      </c>
      <c r="D49">
        <v>2216</v>
      </c>
      <c r="E49">
        <v>17728</v>
      </c>
    </row>
    <row r="50" spans="1:5" hidden="1">
      <c r="A50" t="str">
        <v xml:space="preserve">Adaptador Hembra PP Azul 32mm (1") CIM (Con Inserto Metalico) </v>
      </c>
      <c r="B50">
        <v>24</v>
      </c>
      <c r="C50" t="str">
        <v>UND</v>
      </c>
      <c r="D50">
        <v>43256</v>
      </c>
      <c r="E50">
        <v>1038144</v>
      </c>
    </row>
    <row r="51" spans="1:5" hidden="1">
      <c r="A51" t="str">
        <v>Adaptador Hembra PP Verde 20mm (1/2") CIM (Con Inserto Metalico)</v>
      </c>
      <c r="B51">
        <v>3</v>
      </c>
      <c r="C51" t="str">
        <v>UND</v>
      </c>
      <c r="D51">
        <v>18832</v>
      </c>
      <c r="E51">
        <v>56496</v>
      </c>
    </row>
    <row r="52" spans="1:5" hidden="1">
      <c r="A52" t="str">
        <v>Adaptador Hembra PP Verde 32mm (1" ) CIM (Con Inserto Metalico)</v>
      </c>
      <c r="B52">
        <v>4</v>
      </c>
      <c r="C52" t="str">
        <v>UND</v>
      </c>
      <c r="D52">
        <v>43256</v>
      </c>
      <c r="E52">
        <v>173024</v>
      </c>
    </row>
    <row r="53" spans="1:5" hidden="1">
      <c r="A53" t="str">
        <v>Adaptador Hembra PVC Presion SCH 40 1"</v>
      </c>
      <c r="B53">
        <v>50</v>
      </c>
      <c r="C53" t="str">
        <v>UND</v>
      </c>
      <c r="D53">
        <v>1194.72</v>
      </c>
      <c r="E53">
        <v>59736</v>
      </c>
    </row>
    <row r="54" spans="1:5" hidden="1">
      <c r="A54" t="str">
        <v>Adaptador Hembra PVC Presion SCH 40 1/2"</v>
      </c>
      <c r="B54">
        <v>57</v>
      </c>
      <c r="C54" t="str">
        <v>UND</v>
      </c>
      <c r="D54">
        <v>298.08</v>
      </c>
      <c r="E54">
        <v>16990.559999999998</v>
      </c>
    </row>
    <row r="55" spans="1:5" hidden="1">
      <c r="A55" t="str">
        <v>Adaptador Hembra PVC Presion SCH 40 1-1/2"</v>
      </c>
      <c r="B55">
        <v>24</v>
      </c>
      <c r="C55" t="str">
        <v>UND</v>
      </c>
      <c r="D55">
        <v>3302.8799999999997</v>
      </c>
      <c r="E55">
        <v>79269.119999999995</v>
      </c>
    </row>
    <row r="56" spans="1:5" hidden="1">
      <c r="A56" t="str">
        <v>Adaptador Hembra PVC Presion SCH 40 1-1/4"</v>
      </c>
      <c r="B56">
        <v>21</v>
      </c>
      <c r="C56" t="str">
        <v>UND</v>
      </c>
      <c r="D56">
        <v>1953.12</v>
      </c>
      <c r="E56">
        <v>41015.519999999997</v>
      </c>
    </row>
    <row r="57" spans="1:5" hidden="1">
      <c r="A57" t="str">
        <v>Adaptador Hembra PVC Presion SCH 40 2"</v>
      </c>
      <c r="B57">
        <v>1</v>
      </c>
      <c r="C57" t="str">
        <v>UND</v>
      </c>
      <c r="D57">
        <v>5880</v>
      </c>
      <c r="E57">
        <v>5880</v>
      </c>
    </row>
    <row r="58" spans="1:5" hidden="1">
      <c r="A58" t="str">
        <v>Adaptador Hembra PVC Presion SCH 40 2-1/2"</v>
      </c>
      <c r="B58">
        <v>9</v>
      </c>
      <c r="C58" t="str">
        <v>UND</v>
      </c>
      <c r="D58">
        <v>10941.119999999999</v>
      </c>
      <c r="E58">
        <v>98470.079999999987</v>
      </c>
    </row>
    <row r="59" spans="1:5" hidden="1">
      <c r="A59" t="str">
        <v>Adaptador Hembra PVC Presion SCH 40 3"</v>
      </c>
      <c r="B59">
        <v>12</v>
      </c>
      <c r="C59" t="str">
        <v>UND</v>
      </c>
      <c r="D59">
        <v>17274.72</v>
      </c>
      <c r="E59">
        <v>207296.64000000001</v>
      </c>
    </row>
    <row r="60" spans="1:5" hidden="1">
      <c r="A60" t="str">
        <v>Adaptador Hembra PVC Presion SCH 40 3/4"</v>
      </c>
      <c r="B60">
        <v>9</v>
      </c>
      <c r="C60" t="str">
        <v>UND</v>
      </c>
      <c r="D60">
        <v>536.16</v>
      </c>
      <c r="E60">
        <v>4825.4399999999996</v>
      </c>
    </row>
    <row r="61" spans="1:5" hidden="1">
      <c r="A61" t="str">
        <v>Adaptador Hembra PVC Presion SCH 40 4"</v>
      </c>
      <c r="B61">
        <v>12</v>
      </c>
      <c r="C61" t="str">
        <v>UND</v>
      </c>
      <c r="D61">
        <v>33114.239999999998</v>
      </c>
      <c r="E61">
        <v>397370.88</v>
      </c>
    </row>
    <row r="62" spans="1:5" hidden="1">
      <c r="A62" t="str">
        <v>Adaptador Hembra PVC Presion SCH 80 3/4"</v>
      </c>
      <c r="B62">
        <v>3</v>
      </c>
      <c r="C62" t="str">
        <v>UND</v>
      </c>
      <c r="D62">
        <v>1950.72</v>
      </c>
      <c r="E62">
        <v>5852.16</v>
      </c>
    </row>
    <row r="63" spans="1:5" hidden="1">
      <c r="A63" t="str">
        <v>Adaptador Macho CPVC SCH 40  (Ultratemp) 1"</v>
      </c>
      <c r="B63">
        <v>8</v>
      </c>
      <c r="C63" t="str">
        <v>UND</v>
      </c>
      <c r="D63">
        <v>7085</v>
      </c>
      <c r="E63">
        <v>56680</v>
      </c>
    </row>
    <row r="64" spans="1:5" hidden="1">
      <c r="A64" t="str">
        <v>Adaptador Macho CPVC SCH 40 (Ultratemp) 2"</v>
      </c>
      <c r="B64">
        <v>2</v>
      </c>
      <c r="C64" t="str">
        <v>UND</v>
      </c>
      <c r="D64">
        <v>29655</v>
      </c>
      <c r="E64">
        <v>59310</v>
      </c>
    </row>
    <row r="65" spans="1:5" hidden="1">
      <c r="A65" t="str">
        <v>Adaptador Macho PP Azul 20mm (1/2") CIM (Con Inserto Metalico)</v>
      </c>
      <c r="B65">
        <v>62</v>
      </c>
      <c r="C65" t="str">
        <v>UND</v>
      </c>
      <c r="D65">
        <v>12592</v>
      </c>
      <c r="E65">
        <v>780704</v>
      </c>
    </row>
    <row r="66" spans="1:5" hidden="1">
      <c r="A66" t="str">
        <v>Adaptador Macho PP Azul 32mm (1") CIM (Con Inserto Metalico)</v>
      </c>
      <c r="B66">
        <v>25</v>
      </c>
      <c r="C66" t="str">
        <v>UND</v>
      </c>
      <c r="D66">
        <v>43256</v>
      </c>
      <c r="E66">
        <v>1081400</v>
      </c>
    </row>
    <row r="67" spans="1:5" hidden="1">
      <c r="A67" t="str">
        <v>Adaptador Macho PP Azul 32mm (1") SIM (Sin Inserto Metalico)</v>
      </c>
      <c r="B67">
        <v>11</v>
      </c>
      <c r="C67" t="str">
        <v>UND</v>
      </c>
      <c r="D67">
        <v>3960</v>
      </c>
      <c r="E67">
        <v>43560</v>
      </c>
    </row>
    <row r="68" spans="1:5" hidden="1">
      <c r="A68" t="str">
        <v>Adaptador Macho PP Verde 20mm (1/2") CIM (Con Inserto Metalico)</v>
      </c>
      <c r="B68">
        <v>1</v>
      </c>
      <c r="C68" t="str">
        <v>UND</v>
      </c>
      <c r="D68">
        <v>12592</v>
      </c>
      <c r="E68">
        <v>12592</v>
      </c>
    </row>
    <row r="69" spans="1:5" hidden="1">
      <c r="A69" t="str">
        <v>Adaptador Macho PP Verde 32mm (1") CIM (Con Inserto Metalico)</v>
      </c>
      <c r="B69">
        <v>2</v>
      </c>
      <c r="C69" t="str">
        <v>UND</v>
      </c>
      <c r="D69">
        <v>43256</v>
      </c>
      <c r="E69">
        <v>86512</v>
      </c>
    </row>
    <row r="70" spans="1:5" hidden="1">
      <c r="A70" t="str">
        <v>Adaptador Macho PVC Presion SCH 40 1"</v>
      </c>
      <c r="B70">
        <v>3</v>
      </c>
      <c r="C70" t="str">
        <v>UND</v>
      </c>
      <c r="D70">
        <v>997.92</v>
      </c>
      <c r="E70">
        <v>2993.7599999999998</v>
      </c>
    </row>
    <row r="71" spans="1:5" hidden="1">
      <c r="A71" t="str">
        <v>Adaptador Macho PVC Presion SCH 40 1/2"</v>
      </c>
      <c r="B71">
        <v>26</v>
      </c>
      <c r="C71" t="str">
        <v>UND</v>
      </c>
      <c r="D71">
        <v>263.52</v>
      </c>
      <c r="E71">
        <v>6851.5199999999995</v>
      </c>
    </row>
    <row r="72" spans="1:5" hidden="1">
      <c r="A72" t="str">
        <v>Adaptador Macho PVC Presion SCH 40 1-1/2"</v>
      </c>
      <c r="B72">
        <v>20</v>
      </c>
      <c r="C72" t="str">
        <v>UND</v>
      </c>
      <c r="D72">
        <v>2460.96</v>
      </c>
      <c r="E72">
        <v>49219.199999999997</v>
      </c>
    </row>
    <row r="73" spans="1:5" hidden="1">
      <c r="A73" t="str">
        <v>Adaptador Macho PVC Presion SCH 40 1-1/4"</v>
      </c>
      <c r="B73">
        <v>11</v>
      </c>
      <c r="C73" t="str">
        <v>UND</v>
      </c>
      <c r="D73">
        <v>2100</v>
      </c>
      <c r="E73">
        <v>23100</v>
      </c>
    </row>
    <row r="74" spans="1:5" hidden="1">
      <c r="A74" t="str">
        <v>Adaptador Macho PVC Presion SCH 40 2"</v>
      </c>
      <c r="B74">
        <v>6</v>
      </c>
      <c r="C74" t="str">
        <v>UND</v>
      </c>
      <c r="D74">
        <v>3515.52</v>
      </c>
      <c r="E74">
        <v>21093.119999999999</v>
      </c>
    </row>
    <row r="75" spans="1:5" hidden="1">
      <c r="A75" t="str">
        <v>Adaptador Macho PVC Presion SCH 40 2-1/2"</v>
      </c>
      <c r="B75">
        <v>15</v>
      </c>
      <c r="C75" t="str">
        <v>UND</v>
      </c>
      <c r="D75">
        <v>9140.6399999999976</v>
      </c>
      <c r="E75">
        <v>137109.59999999998</v>
      </c>
    </row>
    <row r="76" spans="1:5" hidden="1">
      <c r="A76" t="str">
        <v>Adaptador Macho PVC Presion SCH 40 3"</v>
      </c>
      <c r="B76">
        <v>1</v>
      </c>
      <c r="C76" t="str">
        <v>UND</v>
      </c>
      <c r="D76">
        <v>13819.199999999999</v>
      </c>
      <c r="E76">
        <v>13819.199999999999</v>
      </c>
    </row>
    <row r="77" spans="1:5" hidden="1">
      <c r="A77" t="str">
        <v>Adaptador Macho PVC Presion SCH 40 3/4"</v>
      </c>
      <c r="B77">
        <v>22</v>
      </c>
      <c r="C77" t="str">
        <v>UND</v>
      </c>
      <c r="D77">
        <v>478.08</v>
      </c>
      <c r="E77">
        <v>10517.76</v>
      </c>
    </row>
    <row r="78" spans="1:5" hidden="1">
      <c r="A78" t="str">
        <v>Adaptador Macho PVC Presion SCH 40 4"</v>
      </c>
      <c r="B78">
        <v>5</v>
      </c>
      <c r="C78" t="str">
        <v>UND</v>
      </c>
      <c r="D78">
        <v>25420.32</v>
      </c>
      <c r="E78">
        <v>127101.6</v>
      </c>
    </row>
    <row r="79" spans="1:5" hidden="1">
      <c r="A79" t="str">
        <v>Adaptador Macho PVC Presion SCH 80 1-1/2"</v>
      </c>
      <c r="B79">
        <v>20</v>
      </c>
      <c r="C79" t="str">
        <v>UND</v>
      </c>
      <c r="D79">
        <v>23600</v>
      </c>
      <c r="E79">
        <v>472000</v>
      </c>
    </row>
    <row r="80" spans="1:5" hidden="1">
      <c r="A80" t="str">
        <v>Adaptador Macho PVC Presion SCH 80 1-1/4"</v>
      </c>
      <c r="B80">
        <v>8</v>
      </c>
      <c r="C80" t="str">
        <v>UND</v>
      </c>
      <c r="D80">
        <v>17200</v>
      </c>
      <c r="E80">
        <v>137600</v>
      </c>
    </row>
    <row r="81" spans="1:5" hidden="1">
      <c r="A81" t="str">
        <v>Adaptador Rosca Hembra PF+UAD 1/2"</v>
      </c>
      <c r="B81">
        <v>2</v>
      </c>
      <c r="C81" t="str">
        <v>UND</v>
      </c>
      <c r="D81">
        <v>3236</v>
      </c>
      <c r="E81">
        <v>6472</v>
      </c>
    </row>
    <row r="82" spans="1:5" hidden="1">
      <c r="A82" t="str">
        <v>Adaptador Rosca Macho PF+UAD 1/2"</v>
      </c>
      <c r="B82">
        <v>3</v>
      </c>
      <c r="C82" t="str">
        <v>UND</v>
      </c>
      <c r="D82">
        <v>3170</v>
      </c>
      <c r="E82">
        <v>9510</v>
      </c>
    </row>
    <row r="83" spans="1:5" hidden="1">
      <c r="A83" t="str">
        <v>Arandela Plana Galvanizado en caliente  1-1/8"</v>
      </c>
      <c r="B83">
        <v>32</v>
      </c>
      <c r="C83" t="str">
        <v>UND</v>
      </c>
      <c r="D83">
        <v>1011</v>
      </c>
      <c r="E83">
        <v>32352</v>
      </c>
    </row>
    <row r="84" spans="1:5" hidden="1">
      <c r="A84" t="str">
        <v>Arandela Plana Galvanizado en caliente 1"</v>
      </c>
      <c r="B84">
        <v>38</v>
      </c>
      <c r="C84" t="str">
        <v>UND</v>
      </c>
      <c r="D84">
        <v>775.1</v>
      </c>
      <c r="E84">
        <v>29453.8</v>
      </c>
    </row>
    <row r="85" spans="1:5" hidden="1">
      <c r="A85" t="str">
        <v>Arandela Plana Galvanizado en caliente 1/2"</v>
      </c>
      <c r="B85">
        <v>494</v>
      </c>
      <c r="C85" t="str">
        <v>UND</v>
      </c>
      <c r="D85">
        <v>89</v>
      </c>
      <c r="E85">
        <v>43966</v>
      </c>
    </row>
    <row r="86" spans="1:5" hidden="1">
      <c r="A86" t="str">
        <v>Arandela Plana Galvanizado en caliente 3/4"</v>
      </c>
      <c r="B86">
        <v>398</v>
      </c>
      <c r="C86" t="str">
        <v>UND</v>
      </c>
      <c r="D86">
        <v>271</v>
      </c>
      <c r="E86">
        <v>107858</v>
      </c>
    </row>
    <row r="87" spans="1:5" hidden="1">
      <c r="A87" t="str">
        <v>Arandela Plana Galvanizado en caliente 5/8"</v>
      </c>
      <c r="B87">
        <v>234</v>
      </c>
      <c r="C87" t="str">
        <v>UND</v>
      </c>
      <c r="D87">
        <v>221</v>
      </c>
      <c r="E87">
        <v>51714</v>
      </c>
    </row>
    <row r="88" spans="1:5" hidden="1">
      <c r="A88" t="str">
        <v>Arandela Plana Galvanizado en caliente 7/8"</v>
      </c>
      <c r="B88">
        <v>7</v>
      </c>
      <c r="C88" t="str">
        <v>UND</v>
      </c>
      <c r="D88">
        <v>609.79999999999995</v>
      </c>
      <c r="E88">
        <v>4268.5999999999995</v>
      </c>
    </row>
    <row r="89" spans="1:5" hidden="1">
      <c r="A89" t="str">
        <v>Arandela Plana Galvanizado Frio 3/4"</v>
      </c>
      <c r="B89">
        <v>65</v>
      </c>
      <c r="C89" t="str">
        <v>UND</v>
      </c>
      <c r="D89">
        <v>263</v>
      </c>
      <c r="E89">
        <v>17095</v>
      </c>
    </row>
    <row r="90" spans="1:5" hidden="1">
      <c r="A90" t="str">
        <v>Arandela Plana Galvanizado Frio 3/8"</v>
      </c>
      <c r="B90">
        <v>32</v>
      </c>
      <c r="C90" t="str">
        <v>UND</v>
      </c>
      <c r="D90">
        <v>347</v>
      </c>
      <c r="E90">
        <v>11104</v>
      </c>
    </row>
    <row r="91" spans="1:5" hidden="1">
      <c r="A91" t="str">
        <v>Arandela Plana Inox 304 1"</v>
      </c>
      <c r="B91">
        <v>5</v>
      </c>
      <c r="C91" t="str">
        <v>UND</v>
      </c>
      <c r="D91">
        <v>0</v>
      </c>
      <c r="E91">
        <v>0</v>
      </c>
    </row>
    <row r="92" spans="1:5" hidden="1">
      <c r="A92" t="str">
        <v>Arandela Plana Inox 304 1/2"</v>
      </c>
      <c r="B92">
        <v>2</v>
      </c>
      <c r="C92" t="str">
        <v>UND</v>
      </c>
      <c r="D92">
        <v>198.31</v>
      </c>
      <c r="E92">
        <v>396.62</v>
      </c>
    </row>
    <row r="93" spans="1:5" hidden="1">
      <c r="A93" t="str">
        <v>Arandela Plana Inox 304 1/4"</v>
      </c>
      <c r="B93">
        <v>147</v>
      </c>
      <c r="C93" t="str">
        <v>UND</v>
      </c>
      <c r="D93">
        <v>51.34</v>
      </c>
      <c r="E93">
        <v>7546.9800000000005</v>
      </c>
    </row>
    <row r="94" spans="1:5" hidden="1">
      <c r="A94" t="str">
        <v>Arandela Plana Inox 304 1-1/4"</v>
      </c>
      <c r="B94">
        <v>12</v>
      </c>
      <c r="C94" t="str">
        <v>UND</v>
      </c>
      <c r="D94">
        <v>0</v>
      </c>
      <c r="E94">
        <v>0</v>
      </c>
    </row>
    <row r="95" spans="1:5" hidden="1">
      <c r="A95" t="str">
        <v>Arandela Plana Inox 304 3/4"</v>
      </c>
      <c r="B95">
        <v>65</v>
      </c>
      <c r="C95" t="str">
        <v>UND</v>
      </c>
      <c r="D95">
        <v>482.63</v>
      </c>
      <c r="E95">
        <v>31370.95</v>
      </c>
    </row>
    <row r="96" spans="1:5" hidden="1">
      <c r="A96" t="str">
        <v>Arandela Plana Inox 304 5/8"</v>
      </c>
      <c r="B96">
        <v>62</v>
      </c>
      <c r="C96" t="str">
        <v>UND</v>
      </c>
      <c r="D96">
        <v>302.60000000000002</v>
      </c>
      <c r="E96">
        <v>18761.2</v>
      </c>
    </row>
    <row r="97" spans="1:5" hidden="1">
      <c r="A97" t="str">
        <v>Arandela Plana Inox 304 7/8"</v>
      </c>
      <c r="B97">
        <v>7</v>
      </c>
      <c r="C97" t="str">
        <v>UND</v>
      </c>
      <c r="D97">
        <v>0</v>
      </c>
      <c r="E97">
        <v>0</v>
      </c>
    </row>
    <row r="98" spans="1:5" hidden="1">
      <c r="A98" t="str">
        <v>Banda Soporte Para Tubo Flojo 1" BSFAG100</v>
      </c>
      <c r="B98">
        <v>27</v>
      </c>
      <c r="C98" t="str">
        <v>UND</v>
      </c>
      <c r="D98">
        <v>3570</v>
      </c>
      <c r="E98">
        <v>96390</v>
      </c>
    </row>
    <row r="99" spans="1:5" hidden="1">
      <c r="A99" t="str">
        <v>Banda Soporte Para Tubo Flojo 1/2" BSFAG012</v>
      </c>
      <c r="B99">
        <v>44</v>
      </c>
      <c r="C99" t="str">
        <v>UND</v>
      </c>
      <c r="D99">
        <v>2630</v>
      </c>
      <c r="E99">
        <v>115720</v>
      </c>
    </row>
    <row r="100" spans="1:5" hidden="1">
      <c r="A100" t="str">
        <v>Banda Soporte Para Tubo Flojo 1-1/2" BSFAG112</v>
      </c>
      <c r="B100">
        <v>118</v>
      </c>
      <c r="C100" t="str">
        <v>UND</v>
      </c>
      <c r="D100">
        <v>4300</v>
      </c>
      <c r="E100">
        <v>507400</v>
      </c>
    </row>
    <row r="101" spans="1:5" hidden="1">
      <c r="A101" t="str">
        <v>Banda Soporte Para Tubo Flojo 2" BSFAG200</v>
      </c>
      <c r="B101">
        <v>14</v>
      </c>
      <c r="C101" t="str">
        <v>UND</v>
      </c>
      <c r="D101">
        <v>2892</v>
      </c>
      <c r="E101">
        <v>40488</v>
      </c>
    </row>
    <row r="102" spans="1:5" hidden="1">
      <c r="A102" t="str">
        <v>Banda Soporte Para Tubo Flojo 3" BSFAG300</v>
      </c>
      <c r="B102">
        <v>15</v>
      </c>
      <c r="C102" t="str">
        <v>UND</v>
      </c>
      <c r="D102">
        <v>6130</v>
      </c>
      <c r="E102">
        <v>91950</v>
      </c>
    </row>
    <row r="103" spans="1:5" hidden="1">
      <c r="A103" t="str">
        <v>Banda Soporte Para Tubo Flojo 3/4" BSFAG034</v>
      </c>
      <c r="B103">
        <v>24</v>
      </c>
      <c r="C103" t="str">
        <v>UND</v>
      </c>
      <c r="D103">
        <v>2910</v>
      </c>
      <c r="E103">
        <v>69840</v>
      </c>
    </row>
    <row r="104" spans="1:5" hidden="1">
      <c r="A104" t="str">
        <v>Banda Soporte Para Tubo Flojo 4" BSFAG400</v>
      </c>
      <c r="B104">
        <v>4</v>
      </c>
      <c r="C104" t="str">
        <v>UND</v>
      </c>
      <c r="D104">
        <v>6600</v>
      </c>
      <c r="E104">
        <v>26400</v>
      </c>
    </row>
    <row r="105" spans="1:5" hidden="1">
      <c r="A105" t="str">
        <v>Banda Soporte Para Tubo Flojo 6" BSFAG600</v>
      </c>
      <c r="B105">
        <v>4</v>
      </c>
      <c r="C105" t="str">
        <v>UND</v>
      </c>
      <c r="D105">
        <v>6776</v>
      </c>
      <c r="E105">
        <v>27104</v>
      </c>
    </row>
    <row r="106" spans="1:5" hidden="1">
      <c r="A106" t="str">
        <v>Base Alta Para Perfil Doble Ref. BAPDAG45</v>
      </c>
      <c r="B106">
        <v>10</v>
      </c>
      <c r="C106" t="str">
        <v>UND</v>
      </c>
      <c r="D106">
        <v>29645</v>
      </c>
      <c r="E106">
        <v>296450</v>
      </c>
    </row>
    <row r="107" spans="1:5" hidden="1">
      <c r="A107" t="str">
        <v>Base Alta Para Perfil Sencillo Ref. BAPADAG45</v>
      </c>
      <c r="B107">
        <v>3</v>
      </c>
      <c r="C107" t="str">
        <v>UND</v>
      </c>
      <c r="D107">
        <v>26850</v>
      </c>
      <c r="E107">
        <v>80550</v>
      </c>
    </row>
    <row r="108" spans="1:5" hidden="1">
      <c r="A108" t="str">
        <v>Base Cuadrada Alta Para Perfil Sencillo Ref. BAPADAG90</v>
      </c>
      <c r="B108">
        <v>1</v>
      </c>
      <c r="C108" t="str">
        <v>UND</v>
      </c>
      <c r="D108">
        <v>26850</v>
      </c>
      <c r="E108">
        <v>26850</v>
      </c>
    </row>
    <row r="109" spans="1:5" hidden="1">
      <c r="A109" t="str">
        <v>Brida Ciega AC 4" Clase 150</v>
      </c>
      <c r="B109">
        <v>1</v>
      </c>
      <c r="C109" t="str">
        <v>UND</v>
      </c>
      <c r="D109">
        <v>57128</v>
      </c>
      <c r="E109">
        <v>57128</v>
      </c>
    </row>
    <row r="110" spans="1:5" hidden="1">
      <c r="A110" t="str">
        <v>Brida Ciega Inox 304 6" Clase 150</v>
      </c>
      <c r="B110">
        <v>1</v>
      </c>
      <c r="C110" t="str">
        <v>UND</v>
      </c>
      <c r="D110">
        <v>233328</v>
      </c>
      <c r="E110">
        <v>233328</v>
      </c>
    </row>
    <row r="111" spans="1:5" hidden="1">
      <c r="A111" t="str">
        <v>Brida Ciega PVC Presion SCH 80 3"</v>
      </c>
      <c r="B111">
        <v>3</v>
      </c>
      <c r="C111" t="str">
        <v>UND</v>
      </c>
      <c r="D111">
        <v>228320</v>
      </c>
      <c r="E111">
        <v>684960</v>
      </c>
    </row>
    <row r="112" spans="1:5" hidden="1">
      <c r="A112" t="str">
        <v>Brida Ciega PVC Presion SCH 80 4"</v>
      </c>
      <c r="B112">
        <v>1</v>
      </c>
      <c r="C112" t="str">
        <v>UND</v>
      </c>
      <c r="D112">
        <v>340400</v>
      </c>
      <c r="E112">
        <v>340400</v>
      </c>
    </row>
    <row r="113" spans="1:5" hidden="1">
      <c r="A113" t="str">
        <v>Brida Lisa AC 1-1/2" Clase 150</v>
      </c>
      <c r="B113">
        <v>1</v>
      </c>
      <c r="C113" t="str">
        <v>UND</v>
      </c>
      <c r="D113">
        <v>22500</v>
      </c>
      <c r="E113">
        <v>22500</v>
      </c>
    </row>
    <row r="114" spans="1:5" hidden="1">
      <c r="A114" t="str">
        <v>Brida Lisa AC 4" Clase 150</v>
      </c>
      <c r="B114">
        <v>4</v>
      </c>
      <c r="C114" t="str">
        <v>UND</v>
      </c>
      <c r="D114">
        <v>47200</v>
      </c>
      <c r="E114">
        <v>188800</v>
      </c>
    </row>
    <row r="115" spans="1:5" hidden="1">
      <c r="A115" t="str">
        <v>Brida Lisa SO Inox 304 1-1/2" Clase 150</v>
      </c>
      <c r="B115">
        <v>22</v>
      </c>
      <c r="C115" t="str">
        <v>UND</v>
      </c>
      <c r="D115">
        <v>25700</v>
      </c>
      <c r="E115">
        <v>565400</v>
      </c>
    </row>
    <row r="116" spans="1:5" hidden="1">
      <c r="A116" t="str">
        <v>Brida Lisa SO Inox 304 3" Clase 150</v>
      </c>
      <c r="B116">
        <v>7</v>
      </c>
      <c r="C116" t="str">
        <v>UND</v>
      </c>
      <c r="D116">
        <v>69900</v>
      </c>
      <c r="E116">
        <v>489300</v>
      </c>
    </row>
    <row r="117" spans="1:5" hidden="1">
      <c r="A117" t="str">
        <v>Brida Lisa SO Inox 304 6" Clase 150</v>
      </c>
      <c r="B117">
        <v>2</v>
      </c>
      <c r="C117" t="str">
        <v>UND</v>
      </c>
      <c r="D117">
        <v>155600</v>
      </c>
      <c r="E117">
        <v>311200</v>
      </c>
    </row>
    <row r="118" spans="1:5" hidden="1">
      <c r="A118" t="str">
        <v>Brida Lisa SO Inox 304 L 2" Clase 150</v>
      </c>
      <c r="B118">
        <v>6</v>
      </c>
      <c r="C118" t="str">
        <v>UND</v>
      </c>
      <c r="D118">
        <v>40176</v>
      </c>
      <c r="E118">
        <v>241056</v>
      </c>
    </row>
    <row r="119" spans="1:5" hidden="1">
      <c r="A119" t="str">
        <v>Brida Lisa SO Inox 304 L 2-1/2" Clase 150</v>
      </c>
      <c r="B119">
        <v>16</v>
      </c>
      <c r="C119" t="str">
        <v>UND</v>
      </c>
      <c r="D119">
        <v>64472</v>
      </c>
      <c r="E119">
        <v>1031552</v>
      </c>
    </row>
    <row r="120" spans="1:5" hidden="1">
      <c r="A120" t="str">
        <v>Brida Loca PPVC Presion SCH 40 3"</v>
      </c>
      <c r="B120">
        <v>1</v>
      </c>
      <c r="C120" t="str">
        <v>UND</v>
      </c>
      <c r="D120">
        <v>24032</v>
      </c>
      <c r="E120">
        <v>24032</v>
      </c>
    </row>
    <row r="121" spans="1:5" hidden="1">
      <c r="A121" t="str">
        <v>Brida Loca PVC Presion SCH 40 1"</v>
      </c>
      <c r="B121">
        <v>3</v>
      </c>
      <c r="C121" t="str">
        <v>UND</v>
      </c>
      <c r="D121">
        <v>7240</v>
      </c>
      <c r="E121">
        <v>21720</v>
      </c>
    </row>
    <row r="122" spans="1:5" hidden="1">
      <c r="A122" t="str">
        <v>Brida Loca PVC Presion SCH 40 1-1/2"</v>
      </c>
      <c r="B122">
        <v>2</v>
      </c>
      <c r="C122" t="str">
        <v>UND</v>
      </c>
      <c r="D122">
        <v>10584</v>
      </c>
      <c r="E122">
        <v>21168</v>
      </c>
    </row>
    <row r="123" spans="1:5" hidden="1">
      <c r="A123" t="str">
        <v>Brida Loca PVC Presion SCH 40 2"</v>
      </c>
      <c r="B123">
        <v>4</v>
      </c>
      <c r="C123" t="str">
        <v>UND</v>
      </c>
      <c r="D123">
        <v>11712</v>
      </c>
      <c r="E123">
        <v>46848</v>
      </c>
    </row>
    <row r="124" spans="1:5" hidden="1">
      <c r="A124" t="str">
        <v>Brida Loca PVC Presion SCH 40 2-1/2"</v>
      </c>
      <c r="B124">
        <v>12</v>
      </c>
      <c r="C124" t="str">
        <v>UND</v>
      </c>
      <c r="D124">
        <v>20800</v>
      </c>
      <c r="E124">
        <v>249600</v>
      </c>
    </row>
    <row r="125" spans="1:5" hidden="1">
      <c r="A125" t="str">
        <v>Brida Loca PVC Presion SCH 40 6"</v>
      </c>
      <c r="B125">
        <v>3</v>
      </c>
      <c r="C125" t="str">
        <v>UND</v>
      </c>
      <c r="D125">
        <v>56064</v>
      </c>
      <c r="E125">
        <v>168192</v>
      </c>
    </row>
    <row r="126" spans="1:5" hidden="1">
      <c r="A126" t="str">
        <v>Brida Loca PVC Presion SCH 40 8"</v>
      </c>
      <c r="B126">
        <v>2</v>
      </c>
      <c r="C126" t="str">
        <v>UND</v>
      </c>
      <c r="D126">
        <v>143960</v>
      </c>
      <c r="E126">
        <v>287920</v>
      </c>
    </row>
    <row r="127" spans="1:5" hidden="1">
      <c r="A127" t="str">
        <v>Brida Loca PVC Presion SCH 80 1-1/2"</v>
      </c>
      <c r="B127">
        <v>5</v>
      </c>
      <c r="C127" t="str">
        <v>UND</v>
      </c>
      <c r="D127">
        <v>33800</v>
      </c>
      <c r="E127">
        <v>169000</v>
      </c>
    </row>
    <row r="128" spans="1:5" hidden="1">
      <c r="A128" t="str">
        <v>Brida Loca PVC Presion SCH 80 1-1/4"</v>
      </c>
      <c r="B128">
        <v>2</v>
      </c>
      <c r="C128" t="str">
        <v>UND</v>
      </c>
      <c r="D128">
        <v>34040</v>
      </c>
      <c r="E128">
        <v>68080</v>
      </c>
    </row>
    <row r="129" spans="1:5" hidden="1">
      <c r="A129" t="str">
        <v>Brida Loca PVC Presion SCH 80 2"</v>
      </c>
      <c r="B129">
        <v>7</v>
      </c>
      <c r="C129" t="str">
        <v>UND</v>
      </c>
      <c r="D129">
        <v>34880</v>
      </c>
      <c r="E129">
        <v>244160</v>
      </c>
    </row>
    <row r="130" spans="1:5" hidden="1">
      <c r="A130" t="str">
        <v>Brida Loca PVC Presion SCH 80 2-1/2"</v>
      </c>
      <c r="B130">
        <v>1</v>
      </c>
      <c r="C130" t="str">
        <v>UND</v>
      </c>
      <c r="D130">
        <v>34880</v>
      </c>
      <c r="E130">
        <v>34880</v>
      </c>
    </row>
    <row r="131" spans="1:5" hidden="1">
      <c r="A131" t="str">
        <v>Brida Loca PVC Presion SCH 80 3"</v>
      </c>
      <c r="B131">
        <v>1</v>
      </c>
      <c r="C131" t="str">
        <v>UND</v>
      </c>
      <c r="D131">
        <v>49408</v>
      </c>
      <c r="E131">
        <v>49408</v>
      </c>
    </row>
    <row r="132" spans="1:5" hidden="1">
      <c r="A132" t="str">
        <v>Brida Loca PVC Presion SCH 80 4"</v>
      </c>
      <c r="B132">
        <v>9</v>
      </c>
      <c r="C132" t="str">
        <v>UND</v>
      </c>
      <c r="D132">
        <v>41520</v>
      </c>
      <c r="E132">
        <v>373680</v>
      </c>
    </row>
    <row r="133" spans="1:5" hidden="1">
      <c r="A133" t="str">
        <v>Brida Loca PVC Presion SCH 80 6"</v>
      </c>
      <c r="B133">
        <v>4</v>
      </c>
      <c r="C133" t="str">
        <v>UND</v>
      </c>
      <c r="D133">
        <v>125512</v>
      </c>
      <c r="E133">
        <v>502048</v>
      </c>
    </row>
    <row r="134" spans="1:5" hidden="1">
      <c r="A134" t="str">
        <v>Brida Roscada AC 1" Clase 150</v>
      </c>
      <c r="B134">
        <v>2</v>
      </c>
      <c r="C134" t="str">
        <v>UND</v>
      </c>
      <c r="D134">
        <v>7200</v>
      </c>
      <c r="E134">
        <v>14400</v>
      </c>
    </row>
    <row r="135" spans="1:5" hidden="1">
      <c r="A135" t="str">
        <v>Brida Roscada AC 1-1/2" Clase 150</v>
      </c>
      <c r="B135">
        <v>4</v>
      </c>
      <c r="C135" t="str">
        <v>UND</v>
      </c>
      <c r="D135">
        <v>22500</v>
      </c>
      <c r="E135">
        <v>90000</v>
      </c>
    </row>
    <row r="136" spans="1:5" hidden="1">
      <c r="A136" t="str">
        <v>Brida Roscada AC 1-1/4" Clase 150</v>
      </c>
      <c r="B136">
        <v>1</v>
      </c>
      <c r="C136" t="str">
        <v>UND</v>
      </c>
      <c r="D136">
        <v>13448</v>
      </c>
      <c r="E136">
        <v>13448</v>
      </c>
    </row>
    <row r="137" spans="1:5" hidden="1">
      <c r="A137" t="str">
        <v>Brida Roscada AC 2" Clase 150</v>
      </c>
      <c r="B137">
        <v>4</v>
      </c>
      <c r="C137" t="str">
        <v>UND</v>
      </c>
      <c r="D137">
        <v>33800</v>
      </c>
      <c r="E137">
        <v>135200</v>
      </c>
    </row>
    <row r="138" spans="1:5" hidden="1">
      <c r="A138" t="str">
        <v>Brida Roscada AC 4" Clase 150</v>
      </c>
      <c r="B138">
        <v>2</v>
      </c>
      <c r="C138" t="str">
        <v>UND</v>
      </c>
      <c r="D138">
        <v>47720</v>
      </c>
      <c r="E138">
        <v>95440</v>
      </c>
    </row>
    <row r="139" spans="1:5" hidden="1">
      <c r="A139" t="str">
        <v>Brida Roscada Inox 304 1-1/2" Clase 150</v>
      </c>
      <c r="B139">
        <v>4</v>
      </c>
      <c r="C139" t="str">
        <v>UND</v>
      </c>
      <c r="D139">
        <v>39216</v>
      </c>
      <c r="E139">
        <v>156864</v>
      </c>
    </row>
    <row r="140" spans="1:5" hidden="1">
      <c r="A140" t="str">
        <v>Brida Roscada Inox 304 2" Clase 150</v>
      </c>
      <c r="B140">
        <v>6</v>
      </c>
      <c r="C140" t="str">
        <v>UND</v>
      </c>
      <c r="D140">
        <v>111590</v>
      </c>
      <c r="E140">
        <v>669540</v>
      </c>
    </row>
    <row r="141" spans="1:5" hidden="1">
      <c r="A141" t="str">
        <v>Buje Liso CPVC SCH 40 (Ultratemp)1 1/2x1/2"</v>
      </c>
      <c r="B141">
        <v>4</v>
      </c>
      <c r="C141" t="str">
        <v>UND</v>
      </c>
      <c r="D141">
        <v>6636.42</v>
      </c>
      <c r="E141">
        <v>26545.68</v>
      </c>
    </row>
    <row r="142" spans="1:5" hidden="1">
      <c r="A142" t="str">
        <v>Buje Liso CPVC SCH 40 (Ultratemp)1-1/4x1"</v>
      </c>
      <c r="B142">
        <v>1</v>
      </c>
      <c r="C142" t="str">
        <v>UND</v>
      </c>
      <c r="D142">
        <v>4632.5</v>
      </c>
      <c r="E142">
        <v>4632.5</v>
      </c>
    </row>
    <row r="143" spans="1:5" hidden="1">
      <c r="A143" t="str">
        <v>Buje Liso CPVC SCH 40 (Ultratemp)1-1/4x1/2"</v>
      </c>
      <c r="B143">
        <v>4</v>
      </c>
      <c r="C143" t="str">
        <v>UND</v>
      </c>
      <c r="D143">
        <v>4679.3100000000004</v>
      </c>
      <c r="E143">
        <v>18717.240000000002</v>
      </c>
    </row>
    <row r="144" spans="1:5" hidden="1">
      <c r="A144" t="str">
        <v>Buje Liso CPVC SCH 40 (Ultratemp)1x1/2"</v>
      </c>
      <c r="B144">
        <v>4</v>
      </c>
      <c r="C144" t="str">
        <v>UND</v>
      </c>
      <c r="D144">
        <v>3299.84</v>
      </c>
      <c r="E144">
        <v>13199.36</v>
      </c>
    </row>
    <row r="145" spans="1:5" hidden="1">
      <c r="A145" t="str">
        <v>Buje Liso CPVC SCH 40 (Ultratemp)2x1-1/2"</v>
      </c>
      <c r="B145">
        <v>1</v>
      </c>
      <c r="C145" t="str">
        <v>UND</v>
      </c>
      <c r="D145">
        <v>49200</v>
      </c>
      <c r="E145">
        <v>49200</v>
      </c>
    </row>
    <row r="146" spans="1:5" hidden="1">
      <c r="A146" t="str">
        <v>Buje Liso PVC Presion SCH 40 1-1/2x1"</v>
      </c>
      <c r="B146">
        <v>5</v>
      </c>
      <c r="C146" t="str">
        <v>UND</v>
      </c>
      <c r="D146">
        <v>2680</v>
      </c>
      <c r="E146">
        <v>13400</v>
      </c>
    </row>
    <row r="147" spans="1:5" hidden="1">
      <c r="A147" t="str">
        <v>Buje Liso PVC Presion SCH 40 1-1/2x1/2"</v>
      </c>
      <c r="B147">
        <v>4</v>
      </c>
      <c r="C147" t="str">
        <v>UND</v>
      </c>
      <c r="D147">
        <v>2278</v>
      </c>
      <c r="E147">
        <v>9112</v>
      </c>
    </row>
    <row r="148" spans="1:5" hidden="1">
      <c r="A148" t="str">
        <v>Buje Liso PVC Presion SCH 40 1-1/2x1-1/4"</v>
      </c>
      <c r="B148">
        <v>5</v>
      </c>
      <c r="C148" t="str">
        <v>UND</v>
      </c>
      <c r="D148">
        <v>2278</v>
      </c>
      <c r="E148">
        <v>11390</v>
      </c>
    </row>
    <row r="149" spans="1:5" hidden="1">
      <c r="A149" t="str">
        <v>Buje Liso PVC Presion SCH 40 1-1/2x3/4"</v>
      </c>
      <c r="B149">
        <v>18</v>
      </c>
      <c r="C149" t="str">
        <v>UND</v>
      </c>
      <c r="D149">
        <v>2704</v>
      </c>
      <c r="E149">
        <v>48672</v>
      </c>
    </row>
    <row r="150" spans="1:5" hidden="1">
      <c r="A150" t="str">
        <v>Buje Liso PVC Presion SCH 40 1-1/4x1"</v>
      </c>
      <c r="B150">
        <v>1</v>
      </c>
      <c r="C150" t="str">
        <v>UND</v>
      </c>
      <c r="D150">
        <v>1632</v>
      </c>
      <c r="E150">
        <v>1632</v>
      </c>
    </row>
    <row r="151" spans="1:5" hidden="1">
      <c r="A151" t="str">
        <v>Buje Liso PVC Presion SCH 40 1-1/4x1/2"</v>
      </c>
      <c r="B151">
        <v>1</v>
      </c>
      <c r="C151" t="str">
        <v>UND</v>
      </c>
      <c r="D151">
        <v>1416.48</v>
      </c>
      <c r="E151">
        <v>1416.48</v>
      </c>
    </row>
    <row r="152" spans="1:5" hidden="1">
      <c r="A152" t="str">
        <v>Buje Liso PVC Presion SCH 40 1-1/4x3/4"</v>
      </c>
      <c r="B152">
        <v>4</v>
      </c>
      <c r="C152" t="str">
        <v>UND</v>
      </c>
      <c r="D152">
        <v>1416.48</v>
      </c>
      <c r="E152">
        <v>5665.92</v>
      </c>
    </row>
    <row r="153" spans="1:5" hidden="1">
      <c r="A153" t="str">
        <v>Buje Liso PVC Presion SCH 40 2-1/2x1-1/2"</v>
      </c>
      <c r="B153">
        <v>2</v>
      </c>
      <c r="C153" t="str">
        <v>UND</v>
      </c>
      <c r="D153">
        <v>10168</v>
      </c>
      <c r="E153">
        <v>20336</v>
      </c>
    </row>
    <row r="154" spans="1:5" hidden="1">
      <c r="A154" t="str">
        <v>Buje Liso PVC Presion SCH 40 2-1/2x2</v>
      </c>
      <c r="B154">
        <v>4</v>
      </c>
      <c r="C154" t="str">
        <v>UND</v>
      </c>
      <c r="D154">
        <v>8203</v>
      </c>
      <c r="E154">
        <v>32812</v>
      </c>
    </row>
    <row r="155" spans="1:5" hidden="1">
      <c r="A155" t="str">
        <v>Buje Liso PVC Presion SCH 40 2x1"</v>
      </c>
      <c r="B155">
        <v>6</v>
      </c>
      <c r="C155" t="str">
        <v>UND</v>
      </c>
      <c r="D155">
        <v>3744</v>
      </c>
      <c r="E155">
        <v>22464</v>
      </c>
    </row>
    <row r="156" spans="1:5" hidden="1">
      <c r="A156" t="str">
        <v>Buje Liso PVC Presion SCH 40 2x1/2"</v>
      </c>
      <c r="B156">
        <v>13</v>
      </c>
      <c r="C156" t="str">
        <v>UND</v>
      </c>
      <c r="D156">
        <v>3482.5</v>
      </c>
      <c r="E156">
        <v>45272.5</v>
      </c>
    </row>
    <row r="157" spans="1:5" hidden="1">
      <c r="A157" t="str">
        <v>Buje Liso PVC Presion SCH 40 2x1-1/2"</v>
      </c>
      <c r="B157">
        <v>4</v>
      </c>
      <c r="C157" t="str">
        <v>UND</v>
      </c>
      <c r="D157">
        <v>3656</v>
      </c>
      <c r="E157">
        <v>14624</v>
      </c>
    </row>
    <row r="158" spans="1:5" hidden="1">
      <c r="A158" t="str">
        <v>Buje Liso PVC Presion SCH 40 2x1-1/4"</v>
      </c>
      <c r="B158">
        <v>3</v>
      </c>
      <c r="C158" t="str">
        <v>UND</v>
      </c>
      <c r="D158">
        <v>3343.1999999999994</v>
      </c>
      <c r="E158">
        <v>10029.599999999999</v>
      </c>
    </row>
    <row r="159" spans="1:5" hidden="1">
      <c r="A159" t="str">
        <v>Buje Liso PVC Presion SCH 40 2x3/4"</v>
      </c>
      <c r="B159">
        <v>5</v>
      </c>
      <c r="C159" t="str">
        <v>UND</v>
      </c>
      <c r="D159">
        <v>4200</v>
      </c>
      <c r="E159">
        <v>21000</v>
      </c>
    </row>
    <row r="160" spans="1:5" hidden="1">
      <c r="A160" t="str">
        <v>Buje Liso PVC Presion SCH 40 3/4x1/2</v>
      </c>
      <c r="B160">
        <v>6</v>
      </c>
      <c r="C160" t="str">
        <v>UND</v>
      </c>
      <c r="D160">
        <v>370.56</v>
      </c>
      <c r="E160">
        <v>2223.36</v>
      </c>
    </row>
    <row r="161" spans="1:5" hidden="1">
      <c r="A161" t="str">
        <v>Buje Liso PVC Presion SCH 40 3x2"</v>
      </c>
      <c r="B161">
        <v>6</v>
      </c>
      <c r="C161" t="str">
        <v>UND</v>
      </c>
      <c r="D161">
        <v>14736</v>
      </c>
      <c r="E161">
        <v>88416</v>
      </c>
    </row>
    <row r="162" spans="1:5" hidden="1">
      <c r="A162" t="str">
        <v>Buje Liso PVC Presion SCH 40 4x2"</v>
      </c>
      <c r="B162">
        <v>8</v>
      </c>
      <c r="C162" t="str">
        <v>UND</v>
      </c>
      <c r="D162">
        <v>23400</v>
      </c>
      <c r="E162">
        <v>187200</v>
      </c>
    </row>
    <row r="163" spans="1:5" hidden="1">
      <c r="A163" t="str">
        <v>Buje Liso PVC Presion SCH 40 4x2-1/2"</v>
      </c>
      <c r="B163">
        <v>4</v>
      </c>
      <c r="C163" t="str">
        <v>UND</v>
      </c>
      <c r="D163">
        <v>21755.800000000003</v>
      </c>
      <c r="E163">
        <v>87023.200000000012</v>
      </c>
    </row>
    <row r="164" spans="1:5" hidden="1">
      <c r="A164" t="str">
        <v>Buje Liso PVC Presion SCH 40 4x3"</v>
      </c>
      <c r="B164">
        <v>5</v>
      </c>
      <c r="C164" t="str">
        <v>UND</v>
      </c>
      <c r="D164">
        <v>23240</v>
      </c>
      <c r="E164">
        <v>116200</v>
      </c>
    </row>
    <row r="165" spans="1:5" hidden="1">
      <c r="A165" t="str">
        <v>Buje Liso PVC Presion SCH 40 6x3"</v>
      </c>
      <c r="B165">
        <v>1</v>
      </c>
      <c r="C165" t="str">
        <v>UND</v>
      </c>
      <c r="D165">
        <v>72000</v>
      </c>
      <c r="E165">
        <v>72000</v>
      </c>
    </row>
    <row r="166" spans="1:5" hidden="1">
      <c r="A166" t="str">
        <v>Buje Liso PVC Presion SCH 40 6x4"</v>
      </c>
      <c r="B166">
        <v>1</v>
      </c>
      <c r="C166" t="str">
        <v>UND</v>
      </c>
      <c r="D166">
        <v>72000</v>
      </c>
      <c r="E166">
        <v>72000</v>
      </c>
    </row>
    <row r="167" spans="1:5" hidden="1">
      <c r="A167" t="str">
        <v>Buje Liso PVC Presion SCH 80 1-1/2x1"</v>
      </c>
      <c r="B167">
        <v>1</v>
      </c>
      <c r="C167" t="str">
        <v>UND</v>
      </c>
      <c r="D167">
        <v>18400</v>
      </c>
      <c r="E167">
        <v>18400</v>
      </c>
    </row>
    <row r="168" spans="1:5" hidden="1">
      <c r="A168" t="str">
        <v>Buje Liso PVC Presion SCH 80 1-1/2x1/2"</v>
      </c>
      <c r="B168">
        <v>2</v>
      </c>
      <c r="C168" t="str">
        <v>UND</v>
      </c>
      <c r="D168">
        <v>13440</v>
      </c>
      <c r="E168">
        <v>26880</v>
      </c>
    </row>
    <row r="169" spans="1:5" hidden="1">
      <c r="A169" t="str">
        <v>Buje Liso PVC Presion SCH 80 1-1/4x1"</v>
      </c>
      <c r="B169">
        <v>1</v>
      </c>
      <c r="C169" t="str">
        <v>UND</v>
      </c>
      <c r="D169">
        <v>18136</v>
      </c>
      <c r="E169">
        <v>18136</v>
      </c>
    </row>
    <row r="170" spans="1:5" hidden="1">
      <c r="A170" t="str">
        <v>Buje Liso PVC Sanitario 4x2"</v>
      </c>
      <c r="B170">
        <v>2</v>
      </c>
      <c r="C170" t="str">
        <v>UND</v>
      </c>
      <c r="D170">
        <v>5886.24</v>
      </c>
      <c r="E170">
        <v>11772.48</v>
      </c>
    </row>
    <row r="171" spans="1:5" hidden="1">
      <c r="A171" t="str">
        <v>Buje Liso PVC Sanitario 4x3"</v>
      </c>
      <c r="B171">
        <v>3</v>
      </c>
      <c r="C171" t="str">
        <v>UND</v>
      </c>
      <c r="D171">
        <v>5886.2400000000007</v>
      </c>
      <c r="E171">
        <v>17658.72</v>
      </c>
    </row>
    <row r="172" spans="1:5" hidden="1">
      <c r="A172" t="str">
        <v>Buje Liso PVC Sanitario 6x4"</v>
      </c>
      <c r="B172">
        <v>4</v>
      </c>
      <c r="C172" t="str">
        <v>UND</v>
      </c>
      <c r="D172">
        <v>22132.32</v>
      </c>
      <c r="E172">
        <v>88529.279999999999</v>
      </c>
    </row>
    <row r="173" spans="1:5" hidden="1">
      <c r="A173" t="str">
        <v>Buje PP Azul 32x20</v>
      </c>
      <c r="B173">
        <v>46</v>
      </c>
      <c r="C173" t="str">
        <v>UND</v>
      </c>
      <c r="D173">
        <v>1740</v>
      </c>
      <c r="E173">
        <v>80040</v>
      </c>
    </row>
    <row r="174" spans="1:5" hidden="1">
      <c r="A174" t="str">
        <v>Buje Roscado PVC Presion  SCH 40 1-1/2x1"</v>
      </c>
      <c r="B174">
        <v>12</v>
      </c>
      <c r="C174" t="str">
        <v>UND</v>
      </c>
      <c r="D174">
        <v>3007.1999999999994</v>
      </c>
      <c r="E174">
        <v>36086.399999999994</v>
      </c>
    </row>
    <row r="175" spans="1:5" hidden="1">
      <c r="A175" t="str">
        <v>Buje Roscado PVC Presion  SCH 40 1-1/2x1/2"</v>
      </c>
      <c r="B175">
        <v>9</v>
      </c>
      <c r="C175" t="str">
        <v>UND</v>
      </c>
      <c r="D175">
        <v>3007.2</v>
      </c>
      <c r="E175">
        <v>27064.799999999999</v>
      </c>
    </row>
    <row r="176" spans="1:5" hidden="1">
      <c r="A176" t="str">
        <v>Buje Roscado PVC Presion  SCH 40 1-1/2x3/4"</v>
      </c>
      <c r="B176">
        <v>4</v>
      </c>
      <c r="C176" t="str">
        <v>UND</v>
      </c>
      <c r="D176">
        <v>3744</v>
      </c>
      <c r="E176">
        <v>14976</v>
      </c>
    </row>
    <row r="177" spans="1:5" hidden="1">
      <c r="A177" t="str">
        <v>Buje Roscado PVC Presion  SCH 40 1-1/4x1/2"</v>
      </c>
      <c r="B177">
        <v>8</v>
      </c>
      <c r="C177" t="str">
        <v>UND</v>
      </c>
      <c r="D177">
        <v>2524.3199999999997</v>
      </c>
      <c r="E177">
        <v>20194.559999999998</v>
      </c>
    </row>
    <row r="178" spans="1:5" hidden="1">
      <c r="A178" t="str">
        <v>Buje Roscado PVC Presion  SCH 40 1-1/4x3/4"</v>
      </c>
      <c r="B178">
        <v>1</v>
      </c>
      <c r="C178" t="str">
        <v>UND</v>
      </c>
      <c r="D178">
        <v>2524.3199999999997</v>
      </c>
      <c r="E178">
        <v>2524.3199999999997</v>
      </c>
    </row>
    <row r="179" spans="1:5" hidden="1">
      <c r="A179" t="str">
        <v>Buje Roscado PVC Presion  SCH 40 1x1/2"</v>
      </c>
      <c r="B179">
        <v>15</v>
      </c>
      <c r="C179" t="str">
        <v>UND</v>
      </c>
      <c r="D179">
        <v>1504.32</v>
      </c>
      <c r="E179">
        <v>22564.799999999999</v>
      </c>
    </row>
    <row r="180" spans="1:5" hidden="1">
      <c r="A180" t="str">
        <v>Buje Roscado PVC Presion  SCH 40 2x1"</v>
      </c>
      <c r="B180">
        <v>15</v>
      </c>
      <c r="C180" t="str">
        <v>UND</v>
      </c>
      <c r="D180">
        <v>4837.4399999999996</v>
      </c>
      <c r="E180">
        <v>72561.599999999991</v>
      </c>
    </row>
    <row r="181" spans="1:5" hidden="1">
      <c r="A181" t="str">
        <v>Buje Roscado PVC Presion  SCH 40 2x1/2"</v>
      </c>
      <c r="B181">
        <v>15</v>
      </c>
      <c r="C181" t="str">
        <v>UND</v>
      </c>
      <c r="D181">
        <v>5856</v>
      </c>
      <c r="E181">
        <v>87840</v>
      </c>
    </row>
    <row r="182" spans="1:5" hidden="1">
      <c r="A182" t="str">
        <v>Buje Roscado PVC Presion  SCH 40 2x1-1/2"</v>
      </c>
      <c r="B182">
        <v>5</v>
      </c>
      <c r="C182" t="str">
        <v>UND</v>
      </c>
      <c r="D182">
        <v>25698.899999999998</v>
      </c>
      <c r="E182">
        <v>128494.49999999999</v>
      </c>
    </row>
    <row r="183" spans="1:5" hidden="1">
      <c r="A183" t="str">
        <v>Buje Roscado PVC Presion  SCH 80 1x1/2"</v>
      </c>
      <c r="B183">
        <v>1</v>
      </c>
      <c r="C183" t="str">
        <v>UND</v>
      </c>
      <c r="D183">
        <v>13440</v>
      </c>
      <c r="E183">
        <v>13440</v>
      </c>
    </row>
    <row r="184" spans="1:5" hidden="1">
      <c r="A184" t="str">
        <v>Buje Roscado PVC Presion  SCH 80 2x1"</v>
      </c>
      <c r="B184">
        <v>1</v>
      </c>
      <c r="C184" t="str">
        <v>UND</v>
      </c>
      <c r="D184">
        <v>18400</v>
      </c>
      <c r="E184">
        <v>18400</v>
      </c>
    </row>
    <row r="185" spans="1:5" hidden="1">
      <c r="A185" t="str">
        <v>Buje Roscado PVC Presion SCH 40 1/2x3/8"</v>
      </c>
      <c r="B185">
        <v>16</v>
      </c>
      <c r="C185" t="str">
        <v>UND</v>
      </c>
      <c r="D185">
        <v>800</v>
      </c>
      <c r="E185">
        <v>12800</v>
      </c>
    </row>
    <row r="186" spans="1:5" hidden="1">
      <c r="A186" t="str">
        <v>Buje Roscado PVC Presion SCH 40 3/4x1/2"</v>
      </c>
      <c r="B186">
        <v>21</v>
      </c>
      <c r="C186" t="str">
        <v>UND</v>
      </c>
      <c r="D186">
        <v>863.04</v>
      </c>
      <c r="E186">
        <v>18123.84</v>
      </c>
    </row>
    <row r="187" spans="1:5" hidden="1">
      <c r="A187" t="str">
        <v>Buje Roscado PVC Presion SCH 40 4x2"</v>
      </c>
      <c r="B187">
        <v>9</v>
      </c>
      <c r="C187" t="str">
        <v>UND</v>
      </c>
      <c r="D187">
        <v>52973.600000000006</v>
      </c>
      <c r="E187">
        <v>476762.4</v>
      </c>
    </row>
    <row r="188" spans="1:5" hidden="1">
      <c r="A188" t="str">
        <v>Buje Roscar Galvanizado SCH 40 1-1/2x1"</v>
      </c>
      <c r="B188">
        <v>1</v>
      </c>
      <c r="C188" t="str">
        <v>UND</v>
      </c>
      <c r="D188">
        <v>0</v>
      </c>
      <c r="E188">
        <v>0</v>
      </c>
    </row>
    <row r="189" spans="1:5" hidden="1">
      <c r="A189" t="str">
        <v>Canillas bronce 1/2" Grival</v>
      </c>
      <c r="B189">
        <v>2</v>
      </c>
      <c r="C189" t="str">
        <v>UND</v>
      </c>
      <c r="D189">
        <v>28978</v>
      </c>
      <c r="E189">
        <v>57956</v>
      </c>
    </row>
    <row r="190" spans="1:5" hidden="1">
      <c r="A190" t="str">
        <v>Canillas Galvanizada 1/2" Double-Lin</v>
      </c>
      <c r="B190">
        <v>2</v>
      </c>
      <c r="C190" t="str">
        <v>UND</v>
      </c>
      <c r="D190">
        <v>20724</v>
      </c>
      <c r="E190">
        <v>41448</v>
      </c>
    </row>
    <row r="191" spans="1:5" hidden="1">
      <c r="A191" t="str">
        <v>Chazo Expansion Galvanizado Frio 1/2x2"</v>
      </c>
      <c r="B191">
        <v>12</v>
      </c>
      <c r="C191" t="str">
        <v>UND</v>
      </c>
      <c r="D191">
        <v>714</v>
      </c>
      <c r="E191">
        <v>8568</v>
      </c>
    </row>
    <row r="192" spans="1:5" hidden="1">
      <c r="A192" t="str">
        <v>Chazo Expansion Galvanizado Frio 1/2x3"</v>
      </c>
      <c r="B192">
        <v>15</v>
      </c>
      <c r="C192" t="str">
        <v>UND</v>
      </c>
      <c r="D192">
        <v>809</v>
      </c>
      <c r="E192">
        <v>12135</v>
      </c>
    </row>
    <row r="193" spans="1:5" hidden="1">
      <c r="A193" t="str">
        <v>Chazo Expansion Galvanizado Frio 1/2x4"</v>
      </c>
      <c r="B193">
        <v>1</v>
      </c>
      <c r="C193" t="str">
        <v>UND</v>
      </c>
      <c r="D193">
        <v>0</v>
      </c>
      <c r="E193">
        <v>0</v>
      </c>
    </row>
    <row r="194" spans="1:5" hidden="1">
      <c r="A194" t="str">
        <v>Chazo Expansion Galvanizado Frio 3/8x2 -1/2"</v>
      </c>
      <c r="B194">
        <v>1</v>
      </c>
      <c r="C194" t="str">
        <v>UND</v>
      </c>
      <c r="D194">
        <v>0</v>
      </c>
      <c r="E194">
        <v>0</v>
      </c>
    </row>
    <row r="195" spans="1:5" hidden="1">
      <c r="A195" t="str">
        <v>Chazo Expansion Galvanizado Frio 3/8x2"</v>
      </c>
      <c r="B195">
        <v>16</v>
      </c>
      <c r="C195" t="str">
        <v>UND</v>
      </c>
      <c r="D195">
        <v>0</v>
      </c>
      <c r="E195">
        <v>0</v>
      </c>
    </row>
    <row r="196" spans="1:5" hidden="1">
      <c r="A196" t="str">
        <v>Chazo Expansion Galvanizado Frio 3/8x4"</v>
      </c>
      <c r="B196">
        <v>3</v>
      </c>
      <c r="C196" t="str">
        <v>UND</v>
      </c>
      <c r="D196">
        <v>2100</v>
      </c>
      <c r="E196">
        <v>6300</v>
      </c>
    </row>
    <row r="197" spans="1:5" hidden="1">
      <c r="A197" t="str">
        <v>Chazo Expansion Galvanizado Frio 5/16x3"</v>
      </c>
      <c r="B197">
        <v>4</v>
      </c>
      <c r="C197" t="str">
        <v>UND</v>
      </c>
      <c r="D197">
        <v>0</v>
      </c>
      <c r="E197">
        <v>0</v>
      </c>
    </row>
    <row r="198" spans="1:5" hidden="1">
      <c r="A198" t="str">
        <v>Chazo Expansion Galvanizado Frio 5/8x4"</v>
      </c>
      <c r="B198">
        <v>2</v>
      </c>
      <c r="C198" t="str">
        <v>UND</v>
      </c>
      <c r="D198">
        <v>0</v>
      </c>
      <c r="E198">
        <v>0</v>
      </c>
    </row>
    <row r="199" spans="1:5" hidden="1">
      <c r="A199" t="str">
        <v>Chazo Expansion Inox 304 3/4x3"</v>
      </c>
      <c r="B199">
        <v>27</v>
      </c>
      <c r="C199" t="str">
        <v>UND</v>
      </c>
      <c r="D199">
        <v>0</v>
      </c>
      <c r="E199">
        <v>0</v>
      </c>
    </row>
    <row r="200" spans="1:5" hidden="1">
      <c r="A200" t="str">
        <v>Chazo RL Galvanizado Frio 1/2x2"</v>
      </c>
      <c r="B200">
        <v>70</v>
      </c>
      <c r="C200" t="str">
        <v>UND</v>
      </c>
      <c r="D200">
        <v>0</v>
      </c>
      <c r="E200">
        <v>0</v>
      </c>
    </row>
    <row r="201" spans="1:5" hidden="1">
      <c r="A201" t="str">
        <v>Chazo Tipo Cuña Galvanizado Frio 1/2x2"</v>
      </c>
      <c r="B201">
        <v>24</v>
      </c>
      <c r="C201" t="str">
        <v>UND</v>
      </c>
      <c r="D201">
        <v>0</v>
      </c>
      <c r="E201">
        <v>0</v>
      </c>
    </row>
    <row r="202" spans="1:5" hidden="1">
      <c r="A202" t="str">
        <v>Chazo Tipo Cuña Galvanizado Frio 1/2x2-1/2"</v>
      </c>
      <c r="B202">
        <v>34</v>
      </c>
      <c r="C202" t="str">
        <v>UND</v>
      </c>
      <c r="D202">
        <v>714</v>
      </c>
      <c r="E202">
        <v>24276</v>
      </c>
    </row>
    <row r="203" spans="1:5" hidden="1">
      <c r="A203" t="str">
        <v>Chazo Tipo Cuña Galvanizado Frio 1/2x3"</v>
      </c>
      <c r="B203">
        <v>65</v>
      </c>
      <c r="C203" t="str">
        <v>UND</v>
      </c>
      <c r="D203">
        <v>1018</v>
      </c>
      <c r="E203">
        <v>66170</v>
      </c>
    </row>
    <row r="204" spans="1:5" hidden="1">
      <c r="A204" t="str">
        <v>Chazo Tipo Cuña Galvanizado Frio 1/2x4"</v>
      </c>
      <c r="B204">
        <v>1</v>
      </c>
      <c r="C204" t="str">
        <v>UND</v>
      </c>
      <c r="D204">
        <v>0</v>
      </c>
      <c r="E204">
        <v>0</v>
      </c>
    </row>
    <row r="205" spans="1:5" hidden="1">
      <c r="A205" t="str">
        <v>Chazo Tipo Cuña Galvanizado Frio 1/2x5"</v>
      </c>
      <c r="B205">
        <v>5</v>
      </c>
      <c r="C205" t="str">
        <v>UND</v>
      </c>
      <c r="D205">
        <v>0</v>
      </c>
      <c r="E205">
        <v>0</v>
      </c>
    </row>
    <row r="206" spans="1:5" hidden="1">
      <c r="A206" t="str">
        <v>Cheque Bola bronce 1-1/2" Helbert</v>
      </c>
      <c r="B206">
        <v>8</v>
      </c>
      <c r="C206" t="str">
        <v>UND</v>
      </c>
      <c r="D206">
        <v>373496</v>
      </c>
      <c r="E206">
        <v>2987968</v>
      </c>
    </row>
    <row r="207" spans="1:5" hidden="1">
      <c r="A207" t="str">
        <v>Cheque Clapeta (Cortina) bronce 1" Double-Lin</v>
      </c>
      <c r="B207">
        <v>1</v>
      </c>
      <c r="C207" t="str">
        <v>UND</v>
      </c>
      <c r="D207">
        <v>30240</v>
      </c>
      <c r="E207">
        <v>30240</v>
      </c>
    </row>
    <row r="208" spans="1:5" hidden="1">
      <c r="A208" t="str">
        <v>Cheque clapeta (Cortina) bronce 1-1/4" Jenkins</v>
      </c>
      <c r="B208">
        <v>1</v>
      </c>
      <c r="C208" t="str">
        <v>UND</v>
      </c>
      <c r="D208">
        <v>73960</v>
      </c>
      <c r="E208">
        <v>73960</v>
      </c>
    </row>
    <row r="209" spans="1:5" hidden="1">
      <c r="A209" t="str">
        <v>Cheque clapeta (Cortina) bronce 1-1/4" Toyo-RW</v>
      </c>
      <c r="B209">
        <v>4</v>
      </c>
      <c r="C209" t="str">
        <v>UND</v>
      </c>
      <c r="D209">
        <v>154110</v>
      </c>
      <c r="E209">
        <v>616440</v>
      </c>
    </row>
    <row r="210" spans="1:5" hidden="1">
      <c r="A210" t="str">
        <v>Cheque Clapeta Inox 304 4" Rite 150 L</v>
      </c>
      <c r="B210">
        <v>1</v>
      </c>
      <c r="C210" t="str">
        <v>UND</v>
      </c>
      <c r="D210">
        <v>850000</v>
      </c>
      <c r="E210">
        <v>850000</v>
      </c>
    </row>
    <row r="211" spans="1:5" hidden="1">
      <c r="A211" t="str">
        <v xml:space="preserve">Cheque liso PVC doble universal presion SCH 40 1" </v>
      </c>
      <c r="B211">
        <v>1</v>
      </c>
      <c r="C211" t="str">
        <v>UND</v>
      </c>
      <c r="D211">
        <v>23648</v>
      </c>
      <c r="E211">
        <v>23648</v>
      </c>
    </row>
    <row r="212" spans="1:5" hidden="1">
      <c r="A212" t="str">
        <v>Cheque liso PVC doble universal presion SCH 40 1" (Transparente) Spears</v>
      </c>
      <c r="B212">
        <v>1</v>
      </c>
      <c r="C212" t="str">
        <v>UND</v>
      </c>
      <c r="D212">
        <v>29560</v>
      </c>
      <c r="E212">
        <v>29560</v>
      </c>
    </row>
    <row r="213" spans="1:5" hidden="1">
      <c r="A213" t="str">
        <v xml:space="preserve">Cheque liso PVC doble universal presion SCH 40 1-1/2" </v>
      </c>
      <c r="B213">
        <v>1</v>
      </c>
      <c r="C213" t="str">
        <v>UND</v>
      </c>
      <c r="D213">
        <v>84720</v>
      </c>
      <c r="E213">
        <v>84720</v>
      </c>
    </row>
    <row r="214" spans="1:5" hidden="1">
      <c r="A214" t="str">
        <v>Cheque liso PVC doble universal presion SCH 40 3/4"Tecnoplastic</v>
      </c>
      <c r="B214">
        <v>1</v>
      </c>
      <c r="C214" t="str">
        <v>UND</v>
      </c>
      <c r="D214">
        <v>23374</v>
      </c>
      <c r="E214">
        <v>23374</v>
      </c>
    </row>
    <row r="215" spans="1:5" hidden="1">
      <c r="A215" t="str">
        <v xml:space="preserve">Cheque liso PVC doble universal presion SCH 80 1-1/2" </v>
      </c>
      <c r="B215">
        <v>1</v>
      </c>
      <c r="C215" t="str">
        <v>UND</v>
      </c>
      <c r="D215">
        <v>84720</v>
      </c>
      <c r="E215">
        <v>84720</v>
      </c>
    </row>
    <row r="216" spans="1:5" hidden="1">
      <c r="A216" t="str">
        <v>Cheque Liso PVC Resorte Presion SCH 40 1"</v>
      </c>
      <c r="B216">
        <v>2</v>
      </c>
      <c r="C216" t="str">
        <v>UND</v>
      </c>
      <c r="D216">
        <v>23648</v>
      </c>
      <c r="E216">
        <v>47296</v>
      </c>
    </row>
    <row r="217" spans="1:5" hidden="1">
      <c r="A217" t="str">
        <v>Cheque tipo wafer Inox 316 2-1/2" (Sin Marca)</v>
      </c>
      <c r="B217">
        <v>1</v>
      </c>
      <c r="C217" t="str">
        <v>UND</v>
      </c>
      <c r="D217">
        <v>204000</v>
      </c>
      <c r="E217">
        <v>204000</v>
      </c>
    </row>
    <row r="218" spans="1:5" hidden="1">
      <c r="A218" t="str">
        <v>Cheque Vertical roscado bronce 3/4" Europa</v>
      </c>
      <c r="B218">
        <v>1</v>
      </c>
      <c r="C218" t="str">
        <v>UND</v>
      </c>
      <c r="D218">
        <v>13680</v>
      </c>
      <c r="E218">
        <v>13680</v>
      </c>
    </row>
    <row r="219" spans="1:5" hidden="1">
      <c r="A219" t="str">
        <v>Codo  45° PVC Presion SCH 40 3"</v>
      </c>
      <c r="B219">
        <v>3</v>
      </c>
      <c r="C219" t="str">
        <v>UND</v>
      </c>
      <c r="D219">
        <v>24825.119999999999</v>
      </c>
      <c r="E219">
        <v>74475.360000000001</v>
      </c>
    </row>
    <row r="220" spans="1:5" hidden="1">
      <c r="A220" t="str">
        <v>Codo  90°  Inox 304 SCH 10 Soldar 1"</v>
      </c>
      <c r="B220">
        <v>2</v>
      </c>
      <c r="C220" t="str">
        <v>UND</v>
      </c>
      <c r="D220">
        <v>6552</v>
      </c>
      <c r="E220">
        <v>13104</v>
      </c>
    </row>
    <row r="221" spans="1:5" hidden="1">
      <c r="A221" t="str">
        <v>Codo  90° PVC Presion SCH 40 2-1/2"</v>
      </c>
      <c r="B221">
        <v>2</v>
      </c>
      <c r="C221" t="str">
        <v>UND</v>
      </c>
      <c r="D221">
        <v>20268</v>
      </c>
      <c r="E221">
        <v>40536</v>
      </c>
    </row>
    <row r="222" spans="1:5" hidden="1">
      <c r="A222" t="str">
        <v>Codo  90° PVC Presion SCH 40 3"</v>
      </c>
      <c r="B222">
        <v>13</v>
      </c>
      <c r="C222" t="str">
        <v>UND</v>
      </c>
      <c r="D222">
        <v>26229.599999999999</v>
      </c>
      <c r="E222">
        <v>340984.8</v>
      </c>
    </row>
    <row r="223" spans="1:5" hidden="1">
      <c r="A223" t="str">
        <v>Codo 45° CPVC SCH 40 (Ultratemp) 1/2"</v>
      </c>
      <c r="B223">
        <v>4</v>
      </c>
      <c r="C223" t="str">
        <v>UND</v>
      </c>
      <c r="D223">
        <v>1092</v>
      </c>
      <c r="E223">
        <v>4368</v>
      </c>
    </row>
    <row r="224" spans="1:5" hidden="1">
      <c r="A224" t="str">
        <v>Codo 45° Inox 304  SCH 10 Soldar 4"</v>
      </c>
      <c r="B224">
        <v>8</v>
      </c>
      <c r="C224" t="str">
        <v>UND</v>
      </c>
      <c r="D224">
        <v>44800</v>
      </c>
      <c r="E224">
        <v>358400</v>
      </c>
    </row>
    <row r="225" spans="1:5" hidden="1">
      <c r="A225" t="str">
        <v>Codo 45° Inox 304 L SCH 10 Soldar 1-1/2"</v>
      </c>
      <c r="B225">
        <v>5</v>
      </c>
      <c r="C225" t="str">
        <v>UND</v>
      </c>
      <c r="D225">
        <v>8568</v>
      </c>
      <c r="E225">
        <v>42840</v>
      </c>
    </row>
    <row r="226" spans="1:5" hidden="1">
      <c r="A226" t="str">
        <v>Codo 45° Inox 304 SCH 10  Soldar 1-1/2"</v>
      </c>
      <c r="B226">
        <v>22</v>
      </c>
      <c r="C226" t="str">
        <v>UND</v>
      </c>
      <c r="D226">
        <v>9216</v>
      </c>
      <c r="E226">
        <v>202752</v>
      </c>
    </row>
    <row r="227" spans="1:5" hidden="1">
      <c r="A227" t="str">
        <v>Codo 45° Inox 304 SCH 10  Soldar 8"</v>
      </c>
      <c r="B227">
        <v>4</v>
      </c>
      <c r="C227" t="str">
        <v>UND</v>
      </c>
      <c r="D227">
        <v>239000</v>
      </c>
      <c r="E227">
        <v>956000</v>
      </c>
    </row>
    <row r="228" spans="1:5" hidden="1">
      <c r="A228" t="str">
        <v>Codo 45° Inox 304 SCH 10 Soldar 2"</v>
      </c>
      <c r="B228">
        <v>9</v>
      </c>
      <c r="C228" t="str">
        <v>UND</v>
      </c>
      <c r="D228">
        <v>12304</v>
      </c>
      <c r="E228">
        <v>110736</v>
      </c>
    </row>
    <row r="229" spans="1:5" hidden="1">
      <c r="A229" t="str">
        <v>Codo 45° Inox 304 SCH 10 Soldar 6"</v>
      </c>
      <c r="B229">
        <v>11</v>
      </c>
      <c r="C229" t="str">
        <v>UND</v>
      </c>
      <c r="D229">
        <v>94880</v>
      </c>
      <c r="E229">
        <v>1043680</v>
      </c>
    </row>
    <row r="230" spans="1:5" hidden="1">
      <c r="A230" t="str">
        <v>Codo 45° Inox 304 SCH 40 Roscar 1-1/2"</v>
      </c>
      <c r="B230">
        <v>2</v>
      </c>
      <c r="C230" t="str">
        <v>UND</v>
      </c>
      <c r="D230">
        <v>23881</v>
      </c>
      <c r="E230">
        <v>47762</v>
      </c>
    </row>
    <row r="231" spans="1:5" hidden="1">
      <c r="A231" t="str">
        <v>Codo 45° PP Azul 20x20 (1/2")</v>
      </c>
      <c r="B231">
        <v>5</v>
      </c>
      <c r="C231" t="str">
        <v>UND</v>
      </c>
      <c r="D231">
        <v>1507</v>
      </c>
      <c r="E231">
        <v>7535</v>
      </c>
    </row>
    <row r="232" spans="1:5" hidden="1">
      <c r="A232" t="str">
        <v>Codo 45° PP Verde 20x20 (1/2")</v>
      </c>
      <c r="B232">
        <v>2</v>
      </c>
      <c r="C232" t="str">
        <v>UND</v>
      </c>
      <c r="D232">
        <v>1507</v>
      </c>
      <c r="E232">
        <v>3014</v>
      </c>
    </row>
    <row r="233" spans="1:5" hidden="1">
      <c r="A233" t="str">
        <v>Codo 45° PVC Presion SCH 40  3/4"</v>
      </c>
      <c r="B233">
        <v>107</v>
      </c>
      <c r="C233" t="str">
        <v>UND</v>
      </c>
      <c r="D233">
        <v>1009.9200000000001</v>
      </c>
      <c r="E233">
        <v>108061.44</v>
      </c>
    </row>
    <row r="234" spans="1:5" hidden="1">
      <c r="A234" t="str">
        <v>Codo 45° PVC Presion SCH 40 1"</v>
      </c>
      <c r="B234">
        <v>30</v>
      </c>
      <c r="C234" t="str">
        <v>UND</v>
      </c>
      <c r="D234">
        <v>1922.88</v>
      </c>
      <c r="E234">
        <v>57686.400000000001</v>
      </c>
    </row>
    <row r="235" spans="1:5" hidden="1">
      <c r="A235" t="str">
        <v>Codo 45° PVC Presion SCH 40 2-1/2"</v>
      </c>
      <c r="B235">
        <v>4</v>
      </c>
      <c r="C235" t="str">
        <v>UND</v>
      </c>
      <c r="D235">
        <v>21735.84</v>
      </c>
      <c r="E235">
        <v>86943.360000000001</v>
      </c>
    </row>
    <row r="236" spans="1:5" hidden="1">
      <c r="A236" t="str">
        <v>Codo 45° PVC Presion SCH 40 6"</v>
      </c>
      <c r="B236">
        <v>22</v>
      </c>
      <c r="C236" t="str">
        <v>UND</v>
      </c>
      <c r="D236">
        <v>73680</v>
      </c>
      <c r="E236">
        <v>1620960</v>
      </c>
    </row>
    <row r="237" spans="1:5" hidden="1">
      <c r="A237" t="str">
        <v>Codo 45° PVC Presion SCH 80 1"</v>
      </c>
      <c r="B237">
        <v>1</v>
      </c>
      <c r="C237" t="str">
        <v>UND</v>
      </c>
      <c r="D237">
        <v>13968</v>
      </c>
      <c r="E237">
        <v>13968</v>
      </c>
    </row>
    <row r="238" spans="1:5" hidden="1">
      <c r="A238" t="str">
        <v>Codo 45° PVC Sanitario  1-1/2" Radio Corto</v>
      </c>
      <c r="B238">
        <v>4</v>
      </c>
      <c r="C238" t="str">
        <v>UND</v>
      </c>
      <c r="D238">
        <v>1941.6</v>
      </c>
      <c r="E238">
        <v>7766.4</v>
      </c>
    </row>
    <row r="239" spans="1:5" hidden="1">
      <c r="A239" t="str">
        <v>Codo 45° PVC Sanitario  1-1/2" Radio Largo</v>
      </c>
      <c r="B239">
        <v>4</v>
      </c>
      <c r="C239" t="str">
        <v>UND</v>
      </c>
      <c r="D239">
        <v>1941.6</v>
      </c>
      <c r="E239">
        <v>7766.4</v>
      </c>
    </row>
    <row r="240" spans="1:5" hidden="1">
      <c r="A240" t="str">
        <v>Codo 45° PVC Sanitario  3" CxC</v>
      </c>
      <c r="B240">
        <v>1</v>
      </c>
      <c r="C240" t="str">
        <v>UND</v>
      </c>
      <c r="D240">
        <v>5061.5999999999995</v>
      </c>
      <c r="E240">
        <v>5061.5999999999995</v>
      </c>
    </row>
    <row r="241" spans="1:5" hidden="1">
      <c r="A241" t="str">
        <v>Codo 45° PVC Sanitario  4" CxC</v>
      </c>
      <c r="B241">
        <v>12</v>
      </c>
      <c r="C241" t="str">
        <v>UND</v>
      </c>
      <c r="D241">
        <v>7954.56</v>
      </c>
      <c r="E241">
        <v>95454.720000000001</v>
      </c>
    </row>
    <row r="242" spans="1:5" hidden="1">
      <c r="A242" t="str">
        <v>Codo 45° PVC Soldar Presion SCH 40  1-1/2"</v>
      </c>
      <c r="B242">
        <v>20</v>
      </c>
      <c r="C242" t="str">
        <v>UND</v>
      </c>
      <c r="D242">
        <v>4663.2</v>
      </c>
      <c r="E242">
        <v>93264</v>
      </c>
    </row>
    <row r="243" spans="1:5" hidden="1">
      <c r="A243" t="str">
        <v>Codo 45° PVC Soldar Presion SCH 40  1-1/4"</v>
      </c>
      <c r="B243">
        <v>27</v>
      </c>
      <c r="C243" t="str">
        <v>UND</v>
      </c>
      <c r="D243">
        <v>3477.6</v>
      </c>
      <c r="E243">
        <v>93895.2</v>
      </c>
    </row>
    <row r="244" spans="1:5" hidden="1">
      <c r="A244" t="str">
        <v>Codo 45° Roscar Galvanizado SCH 40 1/2"</v>
      </c>
      <c r="B244">
        <v>11</v>
      </c>
      <c r="C244" t="str">
        <v>UND</v>
      </c>
      <c r="D244">
        <v>1296</v>
      </c>
      <c r="E244">
        <v>14256</v>
      </c>
    </row>
    <row r="245" spans="1:5" hidden="1">
      <c r="A245" t="str">
        <v>Codo 45° Roscar Galvanizado SCH 40 1-1/2"</v>
      </c>
      <c r="B245">
        <v>5</v>
      </c>
      <c r="C245" t="str">
        <v>UND</v>
      </c>
      <c r="D245">
        <v>7714</v>
      </c>
      <c r="E245">
        <v>38570</v>
      </c>
    </row>
    <row r="246" spans="1:5" hidden="1">
      <c r="A246" t="str">
        <v>Codo 45° Roscar Galvanizado SCH 40 1-1/4"</v>
      </c>
      <c r="B246">
        <v>2</v>
      </c>
      <c r="C246" t="str">
        <v>UND</v>
      </c>
      <c r="D246">
        <v>5552</v>
      </c>
      <c r="E246">
        <v>11104</v>
      </c>
    </row>
    <row r="247" spans="1:5" hidden="1">
      <c r="A247" t="str">
        <v>Codo 45° Roscar Galvanizado SCH 40 2"</v>
      </c>
      <c r="B247">
        <v>1</v>
      </c>
      <c r="C247" t="str">
        <v>UND</v>
      </c>
      <c r="D247">
        <v>14232</v>
      </c>
      <c r="E247">
        <v>14232</v>
      </c>
    </row>
    <row r="248" spans="1:5" hidden="1">
      <c r="A248" t="str">
        <v>Codo 45° Roscar Galvanizado SCH 40 3/4"</v>
      </c>
      <c r="B248">
        <v>4</v>
      </c>
      <c r="C248" t="str">
        <v>UND</v>
      </c>
      <c r="D248">
        <v>2304</v>
      </c>
      <c r="E248">
        <v>9216</v>
      </c>
    </row>
    <row r="249" spans="1:5" hidden="1">
      <c r="A249" t="str">
        <v>Codo 45° Soldar PVC Presion SCH 40 2"</v>
      </c>
      <c r="B249">
        <v>6</v>
      </c>
      <c r="C249" t="str">
        <v>UND</v>
      </c>
      <c r="D249">
        <v>7710.72</v>
      </c>
      <c r="E249">
        <v>46264.32</v>
      </c>
    </row>
    <row r="250" spans="1:5" hidden="1">
      <c r="A250" t="str">
        <v>Codo 90°  Inox 304 SCH 10 Soldar 1/2"</v>
      </c>
      <c r="B250">
        <v>8</v>
      </c>
      <c r="C250" t="str">
        <v>UND</v>
      </c>
      <c r="D250">
        <v>5632</v>
      </c>
      <c r="E250">
        <v>45056</v>
      </c>
    </row>
    <row r="251" spans="1:5" hidden="1">
      <c r="A251" t="str">
        <v>Codo 90°  Inox 304 SCH 40 Roscar 1/2"</v>
      </c>
      <c r="B251">
        <v>15</v>
      </c>
      <c r="C251" t="str">
        <v>UND</v>
      </c>
      <c r="D251">
        <v>6120</v>
      </c>
      <c r="E251">
        <v>91800</v>
      </c>
    </row>
    <row r="252" spans="1:5" hidden="1">
      <c r="A252" t="str">
        <v>Codo 90° CPVC SCH 40 (Ultratemp) 1"</v>
      </c>
      <c r="B252">
        <v>4</v>
      </c>
      <c r="C252" t="str">
        <v>UND</v>
      </c>
      <c r="D252">
        <v>4658</v>
      </c>
      <c r="E252">
        <v>18632</v>
      </c>
    </row>
    <row r="253" spans="1:5" hidden="1">
      <c r="A253" t="str">
        <v>Codo 90° CPVC SCH 40 (Ultratemp) 1-1/4"</v>
      </c>
      <c r="B253">
        <v>5</v>
      </c>
      <c r="C253" t="str">
        <v>UND</v>
      </c>
      <c r="D253">
        <v>9012</v>
      </c>
      <c r="E253">
        <v>45060</v>
      </c>
    </row>
    <row r="254" spans="1:5" hidden="1">
      <c r="A254" t="str">
        <v>Codo 90° CPVC SCH 40 (Ultratemp) 2"</v>
      </c>
      <c r="B254">
        <v>2</v>
      </c>
      <c r="C254" t="str">
        <v>UND</v>
      </c>
      <c r="D254">
        <v>37925</v>
      </c>
      <c r="E254">
        <v>75850</v>
      </c>
    </row>
    <row r="255" spans="1:5" hidden="1">
      <c r="A255" t="str">
        <v>Codo 90° CPVC SCH 40 (Ultratemp)1-1/2"</v>
      </c>
      <c r="B255">
        <v>10</v>
      </c>
      <c r="C255" t="str">
        <v>UND</v>
      </c>
      <c r="D255">
        <v>19298</v>
      </c>
      <c r="E255">
        <v>192980</v>
      </c>
    </row>
    <row r="256" spans="1:5" hidden="1">
      <c r="A256" t="str">
        <v>Codo 90° Inox 304 L SCH 10 Soldar 1-1/2"</v>
      </c>
      <c r="B256">
        <v>16</v>
      </c>
      <c r="C256" t="str">
        <v>UND</v>
      </c>
      <c r="D256">
        <v>11750</v>
      </c>
      <c r="E256">
        <v>188000</v>
      </c>
    </row>
    <row r="257" spans="1:5" hidden="1">
      <c r="A257" t="str">
        <v>Codo 90° Inox 304 L SCH 10 Soldar 2-1/2"</v>
      </c>
      <c r="B257">
        <v>7</v>
      </c>
      <c r="C257" t="str">
        <v>UND</v>
      </c>
      <c r="D257">
        <v>27136</v>
      </c>
      <c r="E257">
        <v>189952</v>
      </c>
    </row>
    <row r="258" spans="1:5" hidden="1">
      <c r="A258" t="str">
        <v>Codo 90° Inox 304 L SCH 10 Soldar 3"</v>
      </c>
      <c r="B258">
        <v>7</v>
      </c>
      <c r="C258" t="str">
        <v>UND</v>
      </c>
      <c r="D258">
        <v>36200</v>
      </c>
      <c r="E258">
        <v>253400</v>
      </c>
    </row>
    <row r="259" spans="1:5" hidden="1">
      <c r="A259" t="str">
        <v>Codo 90° Inox 304 L SCH 10 Soldar 4"</v>
      </c>
      <c r="B259">
        <v>2</v>
      </c>
      <c r="C259" t="str">
        <v>UND</v>
      </c>
      <c r="D259">
        <v>60160</v>
      </c>
      <c r="E259">
        <v>120320</v>
      </c>
    </row>
    <row r="260" spans="1:5" hidden="1">
      <c r="A260" t="str">
        <v>Codo 90° Inox 304 SCH 10 Soldar 1-1/2"</v>
      </c>
      <c r="B260">
        <v>7</v>
      </c>
      <c r="C260" t="str">
        <v>UND</v>
      </c>
      <c r="D260">
        <v>11048</v>
      </c>
      <c r="E260">
        <v>77336</v>
      </c>
    </row>
    <row r="261" spans="1:5" hidden="1">
      <c r="A261" t="str">
        <v>Codo 90° Inox 304 SCH 10 Soldar 2"</v>
      </c>
      <c r="B261">
        <v>1</v>
      </c>
      <c r="C261" t="str">
        <v>UND</v>
      </c>
      <c r="D261">
        <v>12500</v>
      </c>
      <c r="E261">
        <v>12500</v>
      </c>
    </row>
    <row r="262" spans="1:5" hidden="1">
      <c r="A262" t="str">
        <v>Codo 90° Inox 304 SCH 10 Soldar 2-1/2"</v>
      </c>
      <c r="B262">
        <v>7</v>
      </c>
      <c r="C262" t="str">
        <v>UND</v>
      </c>
      <c r="D262">
        <v>24000</v>
      </c>
      <c r="E262">
        <v>168000</v>
      </c>
    </row>
    <row r="263" spans="1:5" hidden="1">
      <c r="A263" t="str">
        <v>Codo 90° Inox 304 SCH 10 Soldar 6"</v>
      </c>
      <c r="B263">
        <v>1</v>
      </c>
      <c r="C263" t="str">
        <v>UND</v>
      </c>
      <c r="D263">
        <v>137560</v>
      </c>
      <c r="E263">
        <v>137560</v>
      </c>
    </row>
    <row r="264" spans="1:5" hidden="1">
      <c r="A264" t="str">
        <v>Codo 90° Inox 304 SCH 10 soldar 8"</v>
      </c>
      <c r="B264">
        <v>8</v>
      </c>
      <c r="C264" t="str">
        <v>UND</v>
      </c>
      <c r="D264">
        <v>265424</v>
      </c>
      <c r="E264">
        <v>2123392</v>
      </c>
    </row>
    <row r="265" spans="1:5" hidden="1">
      <c r="A265" t="str">
        <v>Codo 90° Inox 304 SCH 40 Roscar 3/4"</v>
      </c>
      <c r="B265">
        <v>1</v>
      </c>
      <c r="C265" t="str">
        <v>UND</v>
      </c>
      <c r="D265">
        <v>5280</v>
      </c>
      <c r="E265">
        <v>5280</v>
      </c>
    </row>
    <row r="266" spans="1:5" hidden="1">
      <c r="A266" t="str">
        <v>Codo 90° PP Azul 20x20 (1/2")</v>
      </c>
      <c r="B266">
        <v>56</v>
      </c>
      <c r="C266" t="str">
        <v>UND</v>
      </c>
      <c r="D266">
        <v>1288</v>
      </c>
      <c r="E266">
        <v>72128</v>
      </c>
    </row>
    <row r="267" spans="1:5" hidden="1">
      <c r="A267" t="str">
        <v>Codo 90° PP Azul 32x32 (1")</v>
      </c>
      <c r="B267">
        <v>58</v>
      </c>
      <c r="C267" t="str">
        <v>UND</v>
      </c>
      <c r="D267">
        <v>6500</v>
      </c>
      <c r="E267">
        <v>377000</v>
      </c>
    </row>
    <row r="268" spans="1:5" hidden="1">
      <c r="A268" t="str">
        <v>Codo 90° PP Azul 50x50 (1-1/2")</v>
      </c>
      <c r="B268">
        <v>1</v>
      </c>
      <c r="C268" t="str">
        <v>UND</v>
      </c>
      <c r="D268">
        <v>10780</v>
      </c>
      <c r="E268">
        <v>10780</v>
      </c>
    </row>
    <row r="269" spans="1:5" hidden="1">
      <c r="A269" t="str">
        <v>Codo 90° PP Verde 32x32 (1")</v>
      </c>
      <c r="B269">
        <v>7</v>
      </c>
      <c r="C269" t="str">
        <v>UND</v>
      </c>
      <c r="D269">
        <v>6500</v>
      </c>
      <c r="E269">
        <v>45500</v>
      </c>
    </row>
    <row r="270" spans="1:5" hidden="1">
      <c r="A270" t="str">
        <v>Codo 90° PVC  Presion SCH 40  1-1/2"</v>
      </c>
      <c r="B270">
        <v>5</v>
      </c>
      <c r="C270" t="str">
        <v>UND</v>
      </c>
      <c r="D270">
        <v>4294.5599999999995</v>
      </c>
      <c r="E270">
        <v>21472.799999999996</v>
      </c>
    </row>
    <row r="271" spans="1:5" hidden="1">
      <c r="A271" t="str">
        <v>Codo 90° PVC Presion SCH 40  3/4"</v>
      </c>
      <c r="B271">
        <v>36</v>
      </c>
      <c r="C271" t="str">
        <v>UND</v>
      </c>
      <c r="D271">
        <v>612.95999999999992</v>
      </c>
      <c r="E271">
        <v>22066.559999999998</v>
      </c>
    </row>
    <row r="272" spans="1:5" hidden="1">
      <c r="A272" t="str">
        <v>Codo 90° PVC Presion SCH 40 2"</v>
      </c>
      <c r="B272">
        <v>21</v>
      </c>
      <c r="C272" t="str">
        <v>UND</v>
      </c>
      <c r="D272">
        <v>7038.2400000000007</v>
      </c>
      <c r="E272">
        <v>147803.04</v>
      </c>
    </row>
    <row r="273" spans="1:5" hidden="1">
      <c r="A273" t="str">
        <v>Codo 90° PVC Presion SCH 40 6"</v>
      </c>
      <c r="B273">
        <v>1</v>
      </c>
      <c r="C273" t="str">
        <v>UND</v>
      </c>
      <c r="D273">
        <v>69440</v>
      </c>
      <c r="E273">
        <v>69440</v>
      </c>
    </row>
    <row r="274" spans="1:5" hidden="1">
      <c r="A274" t="str">
        <v>Codo 90° PVC Presion SCH 80  1/2"</v>
      </c>
      <c r="B274">
        <v>1</v>
      </c>
      <c r="C274" t="str">
        <v>UND</v>
      </c>
      <c r="D274">
        <v>4688</v>
      </c>
      <c r="E274">
        <v>4688</v>
      </c>
    </row>
    <row r="275" spans="1:5" hidden="1">
      <c r="A275" t="str">
        <v>Codo 90° PVC Presion SCH 80  3/4"</v>
      </c>
      <c r="B275">
        <v>1</v>
      </c>
      <c r="C275" t="str">
        <v>UND</v>
      </c>
      <c r="D275">
        <v>3336</v>
      </c>
      <c r="E275">
        <v>3336</v>
      </c>
    </row>
    <row r="276" spans="1:5" hidden="1">
      <c r="A276" t="str">
        <v>Codo 90° PVC Sanitario  1-1/2" CxC</v>
      </c>
      <c r="B276">
        <v>8</v>
      </c>
      <c r="C276" t="str">
        <v>UND</v>
      </c>
      <c r="D276">
        <v>1678.56</v>
      </c>
      <c r="E276">
        <v>13428.48</v>
      </c>
    </row>
    <row r="277" spans="1:5" hidden="1">
      <c r="A277" t="str">
        <v>Codo 90° PVC Sanitario  2" CxC</v>
      </c>
      <c r="B277">
        <v>10</v>
      </c>
      <c r="C277" t="str">
        <v>UND</v>
      </c>
      <c r="D277">
        <v>1967.0400000000002</v>
      </c>
      <c r="E277">
        <v>19670.400000000001</v>
      </c>
    </row>
    <row r="278" spans="1:5" hidden="1">
      <c r="A278" t="str">
        <v>Codo 90° PVC Sanitario  4" CXC</v>
      </c>
      <c r="B278">
        <v>4</v>
      </c>
      <c r="C278" t="str">
        <v>UND</v>
      </c>
      <c r="D278">
        <v>7923.84</v>
      </c>
      <c r="E278">
        <v>31695.360000000001</v>
      </c>
    </row>
    <row r="279" spans="1:5" hidden="1">
      <c r="A279" t="str">
        <v>Codo 90° PVC Sanitario  6" CxC</v>
      </c>
      <c r="B279">
        <v>10</v>
      </c>
      <c r="C279" t="str">
        <v>UND</v>
      </c>
      <c r="D279">
        <v>67072.319999999992</v>
      </c>
      <c r="E279">
        <v>670723.19999999995</v>
      </c>
    </row>
    <row r="280" spans="1:5" hidden="1">
      <c r="A280" t="str">
        <v>Codo 90° PVC Soldar  Presion SCH 80  2"</v>
      </c>
      <c r="B280">
        <v>4</v>
      </c>
      <c r="C280" t="str">
        <v>UND</v>
      </c>
      <c r="D280">
        <v>16432</v>
      </c>
      <c r="E280">
        <v>65728</v>
      </c>
    </row>
    <row r="281" spans="1:5" hidden="1">
      <c r="A281" t="str">
        <v>Codo 90° PVC Soldar Presion SCH 80  1-1/2"</v>
      </c>
      <c r="B281">
        <v>2</v>
      </c>
      <c r="C281" t="str">
        <v>UND</v>
      </c>
      <c r="D281">
        <v>21757</v>
      </c>
      <c r="E281">
        <v>43514</v>
      </c>
    </row>
    <row r="282" spans="1:5" hidden="1">
      <c r="A282" t="str">
        <v>Codo 90° PVC Soldar Presion SCH 80  1-1/4"</v>
      </c>
      <c r="B282">
        <v>2</v>
      </c>
      <c r="C282" t="str">
        <v>UND</v>
      </c>
      <c r="D282">
        <v>6824</v>
      </c>
      <c r="E282">
        <v>13648</v>
      </c>
    </row>
    <row r="283" spans="1:5" hidden="1">
      <c r="A283" t="str">
        <v>Codo 90° Roscar  Galvanizado SCH 40 1-1/4"</v>
      </c>
      <c r="B283">
        <v>2</v>
      </c>
      <c r="C283" t="str">
        <v>UND</v>
      </c>
      <c r="D283">
        <v>4532</v>
      </c>
      <c r="E283">
        <v>9064</v>
      </c>
    </row>
    <row r="284" spans="1:5" hidden="1">
      <c r="A284" t="str">
        <v>Codo 90° Roscar  Galvanizado SCH 40 2-1/2"</v>
      </c>
      <c r="B284">
        <v>2</v>
      </c>
      <c r="C284" t="str">
        <v>UND</v>
      </c>
      <c r="D284">
        <v>24700</v>
      </c>
      <c r="E284">
        <v>49400</v>
      </c>
    </row>
    <row r="285" spans="1:5" hidden="1">
      <c r="A285" t="str">
        <v>Codo 90° Roscar Galvanizado SCH 40 1"</v>
      </c>
      <c r="B285">
        <v>12</v>
      </c>
      <c r="C285" t="str">
        <v>UND</v>
      </c>
      <c r="D285">
        <v>4170</v>
      </c>
      <c r="E285">
        <v>50040</v>
      </c>
    </row>
    <row r="286" spans="1:5" hidden="1">
      <c r="A286" t="str">
        <v>Codo 90° Roscar Galvanizado SCH 40 1/2"</v>
      </c>
      <c r="B286">
        <v>6</v>
      </c>
      <c r="C286" t="str">
        <v>UND</v>
      </c>
      <c r="D286">
        <v>1820</v>
      </c>
      <c r="E286">
        <v>10920</v>
      </c>
    </row>
    <row r="287" spans="1:5" hidden="1">
      <c r="A287" t="str">
        <v>Codo 90° Roscar Galvanizado SCH 40 1-1/2"</v>
      </c>
      <c r="B287">
        <v>17</v>
      </c>
      <c r="C287" t="str">
        <v>UND</v>
      </c>
      <c r="D287">
        <v>7040</v>
      </c>
      <c r="E287">
        <v>119680</v>
      </c>
    </row>
    <row r="288" spans="1:5" hidden="1">
      <c r="A288" t="str">
        <v>Codo 90° Roscar Galvanizado SCH 40 2"</v>
      </c>
      <c r="B288">
        <v>17</v>
      </c>
      <c r="C288" t="str">
        <v>UND</v>
      </c>
      <c r="D288">
        <v>13900</v>
      </c>
      <c r="E288">
        <v>236300</v>
      </c>
    </row>
    <row r="289" spans="1:5" hidden="1">
      <c r="A289" t="str">
        <v>Codo 90° Roscar Galvanizado SCH 40 3/4"</v>
      </c>
      <c r="B289">
        <v>1</v>
      </c>
      <c r="C289" t="str">
        <v>UND</v>
      </c>
      <c r="D289">
        <v>1824</v>
      </c>
      <c r="E289">
        <v>1824</v>
      </c>
    </row>
    <row r="290" spans="1:5" hidden="1">
      <c r="A290" t="str">
        <v>Codo 90° Soldar AC SCH 40  1"</v>
      </c>
      <c r="B290">
        <v>3</v>
      </c>
      <c r="C290" t="str">
        <v>UND</v>
      </c>
      <c r="D290">
        <v>2040</v>
      </c>
      <c r="E290">
        <v>6120</v>
      </c>
    </row>
    <row r="291" spans="1:5" hidden="1">
      <c r="A291" t="str">
        <v>Codo 90° Soldar AC SCH 40  1/2"</v>
      </c>
      <c r="B291">
        <v>1</v>
      </c>
      <c r="C291" t="str">
        <v>UND</v>
      </c>
      <c r="D291">
        <v>1144</v>
      </c>
      <c r="E291">
        <v>1144</v>
      </c>
    </row>
    <row r="292" spans="1:5" hidden="1">
      <c r="A292" t="str">
        <v>Codo 90° Soldar AC SCH 40  4"</v>
      </c>
      <c r="B292">
        <v>4</v>
      </c>
      <c r="C292" t="str">
        <v>UND</v>
      </c>
      <c r="D292">
        <v>29600</v>
      </c>
      <c r="E292">
        <v>118400</v>
      </c>
    </row>
    <row r="293" spans="1:5" hidden="1">
      <c r="A293" t="str">
        <v>Codo 90° Soldar PVC Presion SCH 40  1-1/4"</v>
      </c>
      <c r="B293">
        <v>7</v>
      </c>
      <c r="C293" t="str">
        <v>UND</v>
      </c>
      <c r="D293">
        <v>2300.16</v>
      </c>
      <c r="E293">
        <v>16101.119999999999</v>
      </c>
    </row>
    <row r="294" spans="1:5" hidden="1">
      <c r="A294" t="str">
        <v>Codo 90° Soldar PVC Presion SCH 40 4"</v>
      </c>
      <c r="B294">
        <v>20</v>
      </c>
      <c r="C294" t="str">
        <v>UND</v>
      </c>
      <c r="D294">
        <v>56903.519999999997</v>
      </c>
      <c r="E294">
        <v>1138070.3999999999</v>
      </c>
    </row>
    <row r="295" spans="1:5" hidden="1">
      <c r="A295" t="str">
        <v>Codo 90° Soldar PVC Presion SCH 80 4"</v>
      </c>
      <c r="B295">
        <v>1</v>
      </c>
      <c r="C295" t="str">
        <v>UND</v>
      </c>
      <c r="D295">
        <v>68080</v>
      </c>
      <c r="E295">
        <v>68080</v>
      </c>
    </row>
    <row r="296" spans="1:5" hidden="1">
      <c r="A296" t="str">
        <v>Codo calle hembra Macho bronce 3/4" Kaeser</v>
      </c>
      <c r="B296">
        <v>3</v>
      </c>
      <c r="C296" t="str">
        <v>UND</v>
      </c>
      <c r="D296">
        <v>0</v>
      </c>
      <c r="E296">
        <v>0</v>
      </c>
    </row>
    <row r="297" spans="1:5" hidden="1">
      <c r="A297" t="str">
        <v>Collarin PE 6x1"</v>
      </c>
      <c r="B297">
        <v>2</v>
      </c>
      <c r="C297" t="str">
        <v>UND</v>
      </c>
      <c r="D297">
        <v>106502.40000000001</v>
      </c>
      <c r="E297">
        <v>213004.80000000002</v>
      </c>
    </row>
    <row r="298" spans="1:5" hidden="1">
      <c r="A298" t="str">
        <v>Collarin PE 6x1-1/2"</v>
      </c>
      <c r="B298">
        <v>2</v>
      </c>
      <c r="C298" t="str">
        <v>UND</v>
      </c>
      <c r="D298">
        <v>0</v>
      </c>
      <c r="E298">
        <v>0</v>
      </c>
    </row>
    <row r="299" spans="1:5" hidden="1">
      <c r="A299" t="str">
        <v>Collarin PE 6x1-1/4"</v>
      </c>
      <c r="B299">
        <v>3</v>
      </c>
      <c r="C299" t="str">
        <v>UND</v>
      </c>
      <c r="D299">
        <v>0</v>
      </c>
      <c r="E299">
        <v>0</v>
      </c>
    </row>
    <row r="300" spans="1:5" hidden="1">
      <c r="A300" t="str">
        <v>Collarin PVC Presion 3x1" Charlot/pavco (pendiente Validar Nombre Con Topaco)</v>
      </c>
      <c r="B300">
        <v>8</v>
      </c>
      <c r="C300" t="str">
        <v>UND</v>
      </c>
      <c r="D300">
        <v>23752</v>
      </c>
      <c r="E300">
        <v>190016</v>
      </c>
    </row>
    <row r="301" spans="1:5" hidden="1">
      <c r="A301" t="str">
        <v>Collarin PVC Presion 3x1/2" Pavco Con Inserto Metálico</v>
      </c>
      <c r="B301">
        <v>5</v>
      </c>
      <c r="C301" t="str">
        <v>UND</v>
      </c>
      <c r="D301">
        <v>16833</v>
      </c>
      <c r="E301">
        <v>84165</v>
      </c>
    </row>
    <row r="302" spans="1:5" hidden="1">
      <c r="A302" t="str">
        <v>Collarin PVC Presion 4x1/2" Pavco Con Inserto Metálico</v>
      </c>
      <c r="B302">
        <v>2</v>
      </c>
      <c r="C302" t="str">
        <v>UND</v>
      </c>
      <c r="D302">
        <v>17126.88</v>
      </c>
      <c r="E302">
        <v>34253.760000000002</v>
      </c>
    </row>
    <row r="303" spans="1:5" hidden="1">
      <c r="A303" t="str">
        <v>Collarin PVC Presion 6x1" Charlot/pavco (pendiente Validar Nombre Con Topaco)</v>
      </c>
      <c r="B303">
        <v>2</v>
      </c>
      <c r="C303" t="str">
        <v>UND</v>
      </c>
      <c r="D303">
        <v>85200</v>
      </c>
      <c r="E303">
        <v>170400</v>
      </c>
    </row>
    <row r="304" spans="1:5" hidden="1">
      <c r="A304" t="str">
        <v>Collarin PVC Presion SCH 40 2x1" SIM (Sin Inserto Metalico)</v>
      </c>
      <c r="B304">
        <v>20</v>
      </c>
      <c r="C304" t="str">
        <v>UND</v>
      </c>
      <c r="D304">
        <v>20160</v>
      </c>
      <c r="E304">
        <v>403200</v>
      </c>
    </row>
    <row r="305" spans="1:5" hidden="1">
      <c r="A305" t="str">
        <v xml:space="preserve">Collarin PVC Presion SCH 80 2x1/2" </v>
      </c>
      <c r="B305">
        <v>1</v>
      </c>
      <c r="C305" t="str">
        <v>UND</v>
      </c>
      <c r="D305">
        <v>15000</v>
      </c>
      <c r="E305">
        <v>15000</v>
      </c>
    </row>
    <row r="306" spans="1:5" hidden="1">
      <c r="A306" t="str">
        <v>Conduleta Tipo L 1"</v>
      </c>
      <c r="B306">
        <v>29</v>
      </c>
      <c r="C306" t="str">
        <v>UND</v>
      </c>
      <c r="D306">
        <v>0</v>
      </c>
      <c r="E306">
        <v>0</v>
      </c>
    </row>
    <row r="307" spans="1:5" hidden="1">
      <c r="A307" t="str">
        <v>Conduleta Tipo L 2"</v>
      </c>
      <c r="B307">
        <v>6</v>
      </c>
      <c r="C307" t="str">
        <v>UND</v>
      </c>
      <c r="D307">
        <v>0</v>
      </c>
      <c r="E307">
        <v>0</v>
      </c>
    </row>
    <row r="308" spans="1:5" hidden="1">
      <c r="A308" t="str">
        <v>Conduleta Tipo L 3/4"</v>
      </c>
      <c r="B308">
        <v>58</v>
      </c>
      <c r="C308" t="str">
        <v>UND</v>
      </c>
      <c r="D308">
        <v>13298</v>
      </c>
      <c r="E308">
        <v>771284</v>
      </c>
    </row>
    <row r="309" spans="1:5" hidden="1">
      <c r="A309" t="str">
        <v>Conduleta Tipo T 1"</v>
      </c>
      <c r="B309">
        <v>8</v>
      </c>
      <c r="C309" t="str">
        <v>UND</v>
      </c>
      <c r="D309">
        <v>18974</v>
      </c>
      <c r="E309">
        <v>151792</v>
      </c>
    </row>
    <row r="310" spans="1:5" hidden="1">
      <c r="A310" t="str">
        <v>Conduleta Tipo T 3/4"</v>
      </c>
      <c r="B310">
        <v>4</v>
      </c>
      <c r="C310" t="str">
        <v>UND</v>
      </c>
      <c r="D310">
        <v>15327</v>
      </c>
      <c r="E310">
        <v>61308</v>
      </c>
    </row>
    <row r="311" spans="1:5" hidden="1">
      <c r="A311" t="str">
        <v>Conduleta Tipo U 3/4"</v>
      </c>
      <c r="B311">
        <v>3</v>
      </c>
      <c r="C311" t="str">
        <v>UND</v>
      </c>
      <c r="D311">
        <v>0</v>
      </c>
      <c r="E311">
        <v>0</v>
      </c>
    </row>
    <row r="312" spans="1:5" hidden="1">
      <c r="A312" t="str">
        <v>Cruz PVC Presion SCH 40 3"</v>
      </c>
      <c r="B312">
        <v>1</v>
      </c>
      <c r="C312" t="str">
        <v>UND</v>
      </c>
      <c r="D312">
        <v>20400</v>
      </c>
      <c r="E312">
        <v>20400</v>
      </c>
    </row>
    <row r="313" spans="1:5" hidden="1">
      <c r="A313" t="str">
        <v>Cruz Soldar PVC Presion SCH 40 2"</v>
      </c>
      <c r="B313">
        <v>13</v>
      </c>
      <c r="C313" t="str">
        <v>UND</v>
      </c>
      <c r="D313">
        <v>17840</v>
      </c>
      <c r="E313">
        <v>231920</v>
      </c>
    </row>
    <row r="314" spans="1:5" hidden="1">
      <c r="A314" t="str">
        <v>Empaque Brida Liso Neopreno Negro 1/2x1/8"</v>
      </c>
      <c r="B314">
        <v>12</v>
      </c>
      <c r="C314" t="str">
        <v>UND</v>
      </c>
      <c r="D314">
        <v>1920</v>
      </c>
      <c r="E314">
        <v>23040</v>
      </c>
    </row>
    <row r="315" spans="1:5" hidden="1">
      <c r="A315" t="str">
        <v>Empaque Brida Liso Neopreno Negro 1/4x1/8"</v>
      </c>
      <c r="B315">
        <v>2</v>
      </c>
      <c r="C315" t="str">
        <v>UND</v>
      </c>
      <c r="D315">
        <v>2352</v>
      </c>
      <c r="E315">
        <v>4704</v>
      </c>
    </row>
    <row r="316" spans="1:5" hidden="1">
      <c r="A316" t="str">
        <v>Empaque Brida Liso Neopreno Negro 1x1/8"</v>
      </c>
      <c r="B316">
        <v>8</v>
      </c>
      <c r="C316" t="str">
        <v>UND</v>
      </c>
      <c r="D316">
        <v>2540</v>
      </c>
      <c r="E316">
        <v>20320</v>
      </c>
    </row>
    <row r="317" spans="1:5" hidden="1">
      <c r="A317" t="str">
        <v>Empaque Brida Liso Neopreno Negro 2-1/2x1/8"</v>
      </c>
      <c r="B317">
        <v>19</v>
      </c>
      <c r="C317" t="str">
        <v>UND</v>
      </c>
      <c r="D317">
        <v>3680</v>
      </c>
      <c r="E317">
        <v>69920</v>
      </c>
    </row>
    <row r="318" spans="1:5" hidden="1">
      <c r="A318" t="str">
        <v>Empaque Brida Liso Neopreno Negro 2x1/8"</v>
      </c>
      <c r="B318">
        <v>10</v>
      </c>
      <c r="C318" t="str">
        <v>UND</v>
      </c>
      <c r="D318">
        <v>2800</v>
      </c>
      <c r="E318">
        <v>28000</v>
      </c>
    </row>
    <row r="319" spans="1:5" hidden="1">
      <c r="A319" t="str">
        <v>Empaque Brida Neopreno Negro 1-1/2x1/8"</v>
      </c>
      <c r="B319">
        <v>35</v>
      </c>
      <c r="C319" t="str">
        <v>UND</v>
      </c>
      <c r="D319">
        <v>2560</v>
      </c>
      <c r="E319">
        <v>89600</v>
      </c>
    </row>
    <row r="320" spans="1:5" hidden="1">
      <c r="A320" t="str">
        <v>Empaque Brida Neopreno Negro 1x1/8"</v>
      </c>
      <c r="B320">
        <v>41</v>
      </c>
      <c r="C320" t="str">
        <v>UND</v>
      </c>
      <c r="D320">
        <v>2540</v>
      </c>
      <c r="E320">
        <v>104140</v>
      </c>
    </row>
    <row r="321" spans="1:5" hidden="1">
      <c r="A321" t="str">
        <v>Empaque Brida Neopreno Negro 2x1/8"</v>
      </c>
      <c r="B321">
        <v>20</v>
      </c>
      <c r="C321" t="str">
        <v>UND</v>
      </c>
      <c r="D321">
        <v>2800</v>
      </c>
      <c r="E321">
        <v>56000</v>
      </c>
    </row>
    <row r="322" spans="1:5" hidden="1">
      <c r="A322" t="str">
        <v>Empaque Brida Neopreno Negro 3x1/8"</v>
      </c>
      <c r="B322">
        <v>7</v>
      </c>
      <c r="C322" t="str">
        <v>UND</v>
      </c>
      <c r="D322">
        <v>6143</v>
      </c>
      <c r="E322">
        <v>43001</v>
      </c>
    </row>
    <row r="323" spans="1:5" hidden="1">
      <c r="A323" t="str">
        <v>Empaque Brida Neopreno Negro 4x1/8"</v>
      </c>
      <c r="B323">
        <v>34</v>
      </c>
      <c r="C323" t="str">
        <v>UND</v>
      </c>
      <c r="D323">
        <v>6928</v>
      </c>
      <c r="E323">
        <v>235552</v>
      </c>
    </row>
    <row r="324" spans="1:5" hidden="1">
      <c r="A324" t="str">
        <v>Empaque Brida Neopreno Negro 6x1/8"</v>
      </c>
      <c r="B324">
        <v>3</v>
      </c>
      <c r="C324" t="str">
        <v>UND</v>
      </c>
      <c r="D324">
        <v>12856</v>
      </c>
      <c r="E324">
        <v>38568</v>
      </c>
    </row>
    <row r="325" spans="1:5" hidden="1">
      <c r="A325" t="str">
        <v>Empaque Brida Neopreno Negro 8x1/8"</v>
      </c>
      <c r="B325">
        <v>2</v>
      </c>
      <c r="C325" t="str">
        <v>UND</v>
      </c>
      <c r="D325">
        <v>17820</v>
      </c>
      <c r="E325">
        <v>35640</v>
      </c>
    </row>
    <row r="326" spans="1:5" hidden="1">
      <c r="A326" t="str">
        <v>Empaque Brida Teflon Negro 3x1/8"</v>
      </c>
      <c r="B326">
        <v>1</v>
      </c>
      <c r="C326" t="str">
        <v>UND</v>
      </c>
      <c r="D326">
        <v>46904</v>
      </c>
      <c r="E326">
        <v>46904</v>
      </c>
    </row>
    <row r="327" spans="1:5" hidden="1">
      <c r="A327" t="str">
        <v>Empaque Brida Teflon Negro 6x1/8"</v>
      </c>
      <c r="B327">
        <v>1</v>
      </c>
      <c r="C327" t="str">
        <v>UND</v>
      </c>
      <c r="D327">
        <v>96416</v>
      </c>
      <c r="E327">
        <v>96416</v>
      </c>
    </row>
    <row r="328" spans="1:5" hidden="1">
      <c r="A328" t="str">
        <v>Esparragos Inox 1"x16,5 cm</v>
      </c>
      <c r="B328">
        <v>1</v>
      </c>
      <c r="C328" t="str">
        <v>UND</v>
      </c>
      <c r="D328">
        <v>0</v>
      </c>
      <c r="E328">
        <v>0</v>
      </c>
    </row>
    <row r="329" spans="1:5" hidden="1">
      <c r="A329" t="str">
        <v>Esparragos Inox 1"x18 cm</v>
      </c>
      <c r="B329">
        <v>1</v>
      </c>
      <c r="C329" t="str">
        <v>UND</v>
      </c>
      <c r="D329">
        <v>0</v>
      </c>
      <c r="E329">
        <v>0</v>
      </c>
    </row>
    <row r="330" spans="1:5" hidden="1">
      <c r="A330" t="str">
        <v>Esparragos Inox 1"x21 cm</v>
      </c>
      <c r="B330">
        <v>1</v>
      </c>
      <c r="C330" t="str">
        <v>UND</v>
      </c>
      <c r="D330">
        <v>0</v>
      </c>
      <c r="E330">
        <v>0</v>
      </c>
    </row>
    <row r="331" spans="1:5" hidden="1">
      <c r="A331" t="str">
        <v>Esparragos Inox 1"x29 cm</v>
      </c>
      <c r="B331">
        <v>1</v>
      </c>
      <c r="C331" t="str">
        <v>UND</v>
      </c>
      <c r="D331">
        <v>0</v>
      </c>
      <c r="E331">
        <v>0</v>
      </c>
    </row>
    <row r="332" spans="1:5" hidden="1">
      <c r="A332" t="str">
        <v>Esparragos Inox 1"x32 cm</v>
      </c>
      <c r="B332">
        <v>1</v>
      </c>
      <c r="C332" t="str">
        <v>UND</v>
      </c>
      <c r="D332">
        <v>0</v>
      </c>
      <c r="E332">
        <v>0</v>
      </c>
    </row>
    <row r="333" spans="1:5" hidden="1">
      <c r="A333" t="str">
        <v>Esparragos Inox 1"x64 cm</v>
      </c>
      <c r="B333">
        <v>1</v>
      </c>
      <c r="C333" t="str">
        <v>UND</v>
      </c>
      <c r="D333">
        <v>0</v>
      </c>
      <c r="E333">
        <v>0</v>
      </c>
    </row>
    <row r="334" spans="1:5" hidden="1">
      <c r="A334" t="str">
        <v>Fijador Perno en U Mecano Para Tubo  2" PEU38AG200</v>
      </c>
      <c r="B334">
        <v>2</v>
      </c>
      <c r="C334" t="str">
        <v>UND</v>
      </c>
      <c r="D334">
        <v>9295</v>
      </c>
      <c r="E334">
        <v>18590</v>
      </c>
    </row>
    <row r="335" spans="1:5" hidden="1">
      <c r="A335" t="str">
        <v xml:space="preserve">Fijador Perno en U Mecano Para Tubo 1-1/2" PEU38AG112 </v>
      </c>
      <c r="B335">
        <v>21</v>
      </c>
      <c r="C335" t="str">
        <v>UND</v>
      </c>
      <c r="D335">
        <v>8190</v>
      </c>
      <c r="E335">
        <v>171990</v>
      </c>
    </row>
    <row r="336" spans="1:5" hidden="1">
      <c r="A336" t="str">
        <v>Fijador Perpendicular Mecano Para Tubo 1"o 100 FPAG100</v>
      </c>
      <c r="B336">
        <v>16</v>
      </c>
      <c r="C336" t="str">
        <v>Par</v>
      </c>
      <c r="D336">
        <v>2129</v>
      </c>
      <c r="E336">
        <v>34064</v>
      </c>
    </row>
    <row r="337" spans="1:5" hidden="1">
      <c r="A337" t="str">
        <v>Fijador Perpendicular Mecano Para Tubo 1"o 100 FPPG100</v>
      </c>
      <c r="B337">
        <v>56</v>
      </c>
      <c r="C337" t="str">
        <v>Par</v>
      </c>
      <c r="D337">
        <v>2129</v>
      </c>
      <c r="E337">
        <v>119224</v>
      </c>
    </row>
    <row r="338" spans="1:5" hidden="1">
      <c r="A338" t="str">
        <v>Fijador Perpendicular Mecano Para Tubo 1/2"o 50 FPAG012</v>
      </c>
      <c r="B338">
        <v>10</v>
      </c>
      <c r="C338" t="str">
        <v>Par</v>
      </c>
      <c r="D338">
        <v>1642</v>
      </c>
      <c r="E338">
        <v>16420</v>
      </c>
    </row>
    <row r="339" spans="1:5" hidden="1">
      <c r="A339" t="str">
        <v>Fijador Perpendicular Mecano Para Tubo 1/2"o 50 FPPG012</v>
      </c>
      <c r="B339">
        <v>20</v>
      </c>
      <c r="C339" t="str">
        <v>Par</v>
      </c>
      <c r="D339">
        <v>1642</v>
      </c>
      <c r="E339">
        <v>32840</v>
      </c>
    </row>
    <row r="340" spans="1:5" hidden="1">
      <c r="A340" t="str">
        <v>Fijador Perpendicular Mecano Para Tubo 1-1/2"o 150 FPAG112</v>
      </c>
      <c r="B340">
        <v>153</v>
      </c>
      <c r="C340" t="str">
        <v>Par</v>
      </c>
      <c r="D340">
        <v>4045</v>
      </c>
      <c r="E340">
        <v>618885</v>
      </c>
    </row>
    <row r="341" spans="1:5" hidden="1">
      <c r="A341" t="str">
        <v>Fijador Perpendicular Mecano Para Tubo 1-1/2"o 150 FPPG112</v>
      </c>
      <c r="B341">
        <v>74</v>
      </c>
      <c r="C341" t="str">
        <v>Par</v>
      </c>
      <c r="D341">
        <v>4102</v>
      </c>
      <c r="E341">
        <v>303548</v>
      </c>
    </row>
    <row r="342" spans="1:5" hidden="1">
      <c r="A342" t="str">
        <v>Fijador Perpendicular Mecano Para Tubo 2"o 200 FPAG200</v>
      </c>
      <c r="B342">
        <v>30</v>
      </c>
      <c r="C342" t="str">
        <v>Par</v>
      </c>
      <c r="D342">
        <v>4406</v>
      </c>
      <c r="E342">
        <v>132180</v>
      </c>
    </row>
    <row r="343" spans="1:5" hidden="1">
      <c r="A343" t="str">
        <v>Fijador Perpendicular Mecano Para Tubo 2"o 200 FPPG200</v>
      </c>
      <c r="B343">
        <v>121</v>
      </c>
      <c r="C343" t="str">
        <v>Par</v>
      </c>
      <c r="D343">
        <v>4468</v>
      </c>
      <c r="E343">
        <v>540628</v>
      </c>
    </row>
    <row r="344" spans="1:5" hidden="1">
      <c r="A344" t="str">
        <v>Fijador Perpendicular Mecano Para Tubo 2-1/2"o 250 FPAG212</v>
      </c>
      <c r="B344">
        <v>10</v>
      </c>
      <c r="C344" t="str">
        <v>Par</v>
      </c>
      <c r="D344">
        <v>4750</v>
      </c>
      <c r="E344">
        <v>47500</v>
      </c>
    </row>
    <row r="345" spans="1:5" hidden="1">
      <c r="A345" t="str">
        <v>Fijador Perpendicular Mecano Para Tubo 2-1/2"o 250 FPPG212</v>
      </c>
      <c r="B345">
        <v>11</v>
      </c>
      <c r="C345" t="str">
        <v>Par</v>
      </c>
      <c r="D345">
        <v>4711</v>
      </c>
      <c r="E345">
        <v>51821</v>
      </c>
    </row>
    <row r="346" spans="1:5" hidden="1">
      <c r="A346" t="str">
        <v>Fijador Perpendicular Mecano Para Tubo 3"o 300 FPAG300</v>
      </c>
      <c r="B346">
        <v>95</v>
      </c>
      <c r="C346" t="str">
        <v>Par</v>
      </c>
      <c r="D346">
        <v>5032</v>
      </c>
      <c r="E346">
        <v>478040</v>
      </c>
    </row>
    <row r="347" spans="1:5" hidden="1">
      <c r="A347" t="str">
        <v>Fijador Perpendicular Mecano Para Tubo 3"o 300 FPPG300</v>
      </c>
      <c r="B347">
        <v>3</v>
      </c>
      <c r="C347" t="str">
        <v>Par</v>
      </c>
      <c r="D347">
        <v>5103</v>
      </c>
      <c r="E347">
        <v>15309</v>
      </c>
    </row>
    <row r="348" spans="1:5" hidden="1">
      <c r="A348" t="str">
        <v>Fijador Perpendicular Mecano Para Tubo 3/4"o 75 FPAG034</v>
      </c>
      <c r="B348">
        <v>99</v>
      </c>
      <c r="C348" t="str">
        <v>Par</v>
      </c>
      <c r="D348">
        <v>1638</v>
      </c>
      <c r="E348">
        <v>162162</v>
      </c>
    </row>
    <row r="349" spans="1:5" hidden="1">
      <c r="A349" t="str">
        <v>Fijador Perpendicular Mecano Para Tubo 3/4"o 75 FPPG034</v>
      </c>
      <c r="B349">
        <v>40</v>
      </c>
      <c r="C349" t="str">
        <v>Par</v>
      </c>
      <c r="D349">
        <v>1780</v>
      </c>
      <c r="E349">
        <v>71200</v>
      </c>
    </row>
    <row r="350" spans="1:5" hidden="1">
      <c r="A350" t="str">
        <v>Fijador Perpendicular Mecano Para Tubo 4"o 400  FPAG400</v>
      </c>
      <c r="B350">
        <v>8</v>
      </c>
      <c r="C350" t="str">
        <v>Par</v>
      </c>
      <c r="D350">
        <v>5672</v>
      </c>
      <c r="E350">
        <v>45376</v>
      </c>
    </row>
    <row r="351" spans="1:5" hidden="1">
      <c r="A351" t="str">
        <v>Fijador Perpendicular Mecano Para Tubo 4"o 400  FPPG400</v>
      </c>
      <c r="B351">
        <v>21</v>
      </c>
      <c r="C351" t="str">
        <v>Par</v>
      </c>
      <c r="D351">
        <v>5672</v>
      </c>
      <c r="E351">
        <v>119112</v>
      </c>
    </row>
    <row r="352" spans="1:5" hidden="1">
      <c r="A352" t="str">
        <v>Fijador Perpendicular Mecano Para Tubo 6"o 600  FPAG600</v>
      </c>
      <c r="B352">
        <v>30</v>
      </c>
      <c r="C352" t="str">
        <v>Par</v>
      </c>
      <c r="D352">
        <v>6917</v>
      </c>
      <c r="E352">
        <v>207510</v>
      </c>
    </row>
    <row r="353" spans="1:5" hidden="1">
      <c r="A353" t="str">
        <v>Fijador Perpendicular Mecano Para Tubo 6"o 600  FPPG600</v>
      </c>
      <c r="B353">
        <v>41</v>
      </c>
      <c r="C353" t="str">
        <v>Par</v>
      </c>
      <c r="D353">
        <v>6917</v>
      </c>
      <c r="E353">
        <v>283597</v>
      </c>
    </row>
    <row r="354" spans="1:5" hidden="1">
      <c r="A354" t="str">
        <v>Fijador Perpendicular Mecano Para Tubo 8"o 800  FPAG800</v>
      </c>
      <c r="B354">
        <v>10</v>
      </c>
      <c r="C354" t="str">
        <v>Par</v>
      </c>
      <c r="D354">
        <v>20100</v>
      </c>
      <c r="E354">
        <v>201000</v>
      </c>
    </row>
    <row r="355" spans="1:5" hidden="1">
      <c r="A355" t="str">
        <v>Fijador Tipo Cuelga Mecano Para Tubo 1-12" CAG112</v>
      </c>
      <c r="B355">
        <v>33</v>
      </c>
      <c r="C355" t="str">
        <v>UND</v>
      </c>
      <c r="D355">
        <v>4102</v>
      </c>
      <c r="E355">
        <v>135366</v>
      </c>
    </row>
    <row r="356" spans="1:5" hidden="1">
      <c r="A356" t="str">
        <v>Fijador Tipo Cuelga Mecano Para Tubo 3" CAG300</v>
      </c>
      <c r="B356">
        <v>1</v>
      </c>
      <c r="C356" t="str">
        <v>UND</v>
      </c>
      <c r="D356">
        <v>4470</v>
      </c>
      <c r="E356">
        <v>4470</v>
      </c>
    </row>
    <row r="357" spans="1:5" hidden="1">
      <c r="A357" t="str">
        <v>Fijador Tipo Cuelga Mecano Para Tubo 4" CAG400</v>
      </c>
      <c r="B357">
        <v>3</v>
      </c>
      <c r="C357" t="str">
        <v>UND</v>
      </c>
      <c r="D357">
        <v>5871</v>
      </c>
      <c r="E357">
        <v>17613</v>
      </c>
    </row>
    <row r="358" spans="1:5" hidden="1">
      <c r="A358" t="str">
        <v>Fijador Tipo Cuelga Mecano Para Tubo 6" CAG600</v>
      </c>
      <c r="B358">
        <v>17</v>
      </c>
      <c r="C358" t="str">
        <v>UND</v>
      </c>
      <c r="D358">
        <v>9962</v>
      </c>
      <c r="E358">
        <v>169354</v>
      </c>
    </row>
    <row r="359" spans="1:5" hidden="1">
      <c r="A359" t="str">
        <v>Filtro en Y Malla 1-1/4" Inox 316</v>
      </c>
      <c r="B359">
        <v>1</v>
      </c>
      <c r="C359" t="str">
        <v>UND</v>
      </c>
      <c r="D359">
        <v>65776</v>
      </c>
      <c r="E359">
        <v>65776</v>
      </c>
    </row>
    <row r="360" spans="1:5" hidden="1">
      <c r="A360" t="str">
        <v>Filtro en Y Malla 3/4" Inox 316</v>
      </c>
      <c r="B360">
        <v>1</v>
      </c>
      <c r="C360" t="str">
        <v>UND</v>
      </c>
      <c r="D360">
        <v>33848</v>
      </c>
      <c r="E360">
        <v>33848</v>
      </c>
    </row>
    <row r="361" spans="1:5" hidden="1">
      <c r="A361" t="str">
        <v>Filtro Y bronce 1" Grival</v>
      </c>
      <c r="B361">
        <v>1</v>
      </c>
      <c r="C361" t="str">
        <v>UND</v>
      </c>
      <c r="D361">
        <v>21032</v>
      </c>
      <c r="E361">
        <v>21032</v>
      </c>
    </row>
    <row r="362" spans="1:5" hidden="1">
      <c r="A362" t="str">
        <v>Filtro Y bronce 1-1/2" Double-Lin</v>
      </c>
      <c r="B362">
        <v>4</v>
      </c>
      <c r="C362" t="str">
        <v>UND</v>
      </c>
      <c r="D362">
        <v>52448</v>
      </c>
      <c r="E362">
        <v>209792</v>
      </c>
    </row>
    <row r="363" spans="1:5" hidden="1">
      <c r="A363" t="str">
        <v>Ganchos Carniceros Para Filtro de Bolsas Inox 304</v>
      </c>
      <c r="B363">
        <v>8</v>
      </c>
      <c r="C363" t="str">
        <v>UND</v>
      </c>
      <c r="D363">
        <v>5000</v>
      </c>
      <c r="E363">
        <v>40000</v>
      </c>
    </row>
    <row r="364" spans="1:5" hidden="1">
      <c r="A364" t="str">
        <v>Grapa Galvanizada Doble  EMT 1/2"</v>
      </c>
      <c r="B364">
        <v>4</v>
      </c>
      <c r="C364" t="str">
        <v>UND</v>
      </c>
      <c r="D364">
        <v>209</v>
      </c>
      <c r="E364">
        <v>836</v>
      </c>
    </row>
    <row r="365" spans="1:5" hidden="1">
      <c r="A365" t="str">
        <v>Grapa Galvanizada Doble EMT 1"</v>
      </c>
      <c r="B365">
        <v>22</v>
      </c>
      <c r="C365" t="str">
        <v>UND</v>
      </c>
      <c r="D365">
        <v>454</v>
      </c>
      <c r="E365">
        <v>9988</v>
      </c>
    </row>
    <row r="366" spans="1:5" hidden="1">
      <c r="A366" t="str">
        <v>Grapa Galvanizada Doble EMT 1-1/2"</v>
      </c>
      <c r="B366">
        <v>5</v>
      </c>
      <c r="C366" t="str">
        <v>UND</v>
      </c>
      <c r="D366">
        <v>600</v>
      </c>
      <c r="E366">
        <v>3000</v>
      </c>
    </row>
    <row r="367" spans="1:5" hidden="1">
      <c r="A367" t="str">
        <v>Grapa Galvanizada Doble EMT 2"</v>
      </c>
      <c r="B367">
        <v>34</v>
      </c>
      <c r="C367" t="str">
        <v>UND</v>
      </c>
      <c r="D367">
        <v>1419</v>
      </c>
      <c r="E367">
        <v>48246</v>
      </c>
    </row>
    <row r="368" spans="1:5" hidden="1">
      <c r="A368" t="str">
        <v>Grapa Galvanizada Doble EMT 3/4"</v>
      </c>
      <c r="B368">
        <v>9</v>
      </c>
      <c r="C368" t="str">
        <v>UND</v>
      </c>
      <c r="D368">
        <v>252</v>
      </c>
      <c r="E368">
        <v>2268</v>
      </c>
    </row>
    <row r="369" spans="1:5" hidden="1">
      <c r="A369" t="str">
        <v>Grapa Galvanizada Sencilla EMT 1-1/4"</v>
      </c>
      <c r="B369">
        <v>7</v>
      </c>
      <c r="C369" t="str">
        <v>UND</v>
      </c>
      <c r="D369">
        <v>644</v>
      </c>
      <c r="E369">
        <v>4508</v>
      </c>
    </row>
    <row r="370" spans="1:5" hidden="1">
      <c r="A370" t="str">
        <v>Grapa Galvanizada Sencilla EMT 2"</v>
      </c>
      <c r="B370">
        <v>10</v>
      </c>
      <c r="C370" t="str">
        <v>UND</v>
      </c>
      <c r="D370">
        <v>1263</v>
      </c>
      <c r="E370">
        <v>12630</v>
      </c>
    </row>
    <row r="371" spans="1:5" hidden="1">
      <c r="A371" t="str">
        <v>Grapa Galvanizada Sencilla EMT 3/4"</v>
      </c>
      <c r="B371">
        <v>1</v>
      </c>
      <c r="C371" t="str">
        <v>UND</v>
      </c>
      <c r="D371">
        <v>286</v>
      </c>
      <c r="E371">
        <v>286</v>
      </c>
    </row>
    <row r="372" spans="1:5" hidden="1">
      <c r="A372" t="str">
        <v>Guasa Galvanizado en caliente 1/2"</v>
      </c>
      <c r="B372">
        <v>125</v>
      </c>
      <c r="C372" t="str">
        <v>UND</v>
      </c>
      <c r="D372">
        <v>75.900000000000006</v>
      </c>
      <c r="E372">
        <v>9487.5</v>
      </c>
    </row>
    <row r="373" spans="1:5" hidden="1">
      <c r="A373" t="str">
        <v>JACO PVC Presion 1/2"x1/2</v>
      </c>
      <c r="B373">
        <v>28</v>
      </c>
      <c r="C373" t="str">
        <v>UND</v>
      </c>
      <c r="D373">
        <v>33150</v>
      </c>
      <c r="E373">
        <v>928200</v>
      </c>
    </row>
    <row r="374" spans="1:5" hidden="1">
      <c r="A374" t="str">
        <v>JACO PVC Presion 1/4"x5/16</v>
      </c>
      <c r="B374">
        <v>1</v>
      </c>
      <c r="C374" t="str">
        <v>UND</v>
      </c>
      <c r="D374">
        <v>11000</v>
      </c>
      <c r="E374">
        <v>11000</v>
      </c>
    </row>
    <row r="375" spans="1:5" hidden="1">
      <c r="A375" t="str">
        <v>JACO PVC Presion 5/16"x5/16</v>
      </c>
      <c r="B375">
        <v>2</v>
      </c>
      <c r="C375" t="str">
        <v>UND</v>
      </c>
      <c r="D375">
        <v>0</v>
      </c>
      <c r="E375">
        <v>0</v>
      </c>
    </row>
    <row r="376" spans="1:5" hidden="1">
      <c r="A376" t="str">
        <v>Macho Roscar Inox 304 SCH 40 1/2"</v>
      </c>
      <c r="B376">
        <v>2</v>
      </c>
      <c r="C376" t="str">
        <v>UND</v>
      </c>
      <c r="D376">
        <v>0</v>
      </c>
      <c r="E376">
        <v>0</v>
      </c>
    </row>
    <row r="377" spans="1:5" hidden="1">
      <c r="A377" t="str">
        <v>Manguera PE Blanco 1/2" OD</v>
      </c>
      <c r="B377">
        <v>44</v>
      </c>
      <c r="C377" t="str">
        <v>MT</v>
      </c>
      <c r="D377">
        <v>4080</v>
      </c>
      <c r="E377">
        <v>179520</v>
      </c>
    </row>
    <row r="378" spans="1:5" hidden="1">
      <c r="A378" t="str">
        <v>Manguera PE Blanco 3/8" OD</v>
      </c>
      <c r="B378">
        <v>130</v>
      </c>
      <c r="C378" t="str">
        <v>MT</v>
      </c>
      <c r="D378">
        <v>5325</v>
      </c>
      <c r="E378">
        <v>692250</v>
      </c>
    </row>
    <row r="379" spans="1:5" hidden="1">
      <c r="A379" t="str">
        <v>Manguera PU Azul 1/2" OD</v>
      </c>
      <c r="B379">
        <v>30</v>
      </c>
      <c r="C379" t="str">
        <v>MT</v>
      </c>
      <c r="D379">
        <v>9250</v>
      </c>
      <c r="E379">
        <v>277500</v>
      </c>
    </row>
    <row r="380" spans="1:5" hidden="1">
      <c r="A380" t="str">
        <v>Manguera PU Azul 10mm OD</v>
      </c>
      <c r="B380">
        <v>50</v>
      </c>
      <c r="C380" t="str">
        <v>MT</v>
      </c>
      <c r="D380">
        <v>7310</v>
      </c>
      <c r="E380">
        <v>365500</v>
      </c>
    </row>
    <row r="381" spans="1:5" hidden="1">
      <c r="A381" t="str">
        <v>Manguera PU Azul 12mm OD</v>
      </c>
      <c r="B381">
        <v>20</v>
      </c>
      <c r="C381" t="str">
        <v>MT</v>
      </c>
      <c r="D381">
        <v>10810</v>
      </c>
      <c r="E381">
        <v>216200</v>
      </c>
    </row>
    <row r="382" spans="1:5" hidden="1">
      <c r="A382" t="str">
        <v>Mensula 25 cm Galvanizado SMS025AG</v>
      </c>
      <c r="B382">
        <v>1</v>
      </c>
      <c r="C382" t="str">
        <v>UND</v>
      </c>
      <c r="D382">
        <v>18481</v>
      </c>
      <c r="E382">
        <v>18481</v>
      </c>
    </row>
    <row r="383" spans="1:5" hidden="1">
      <c r="A383" t="str">
        <v>Mensula 30 cm Galvanizado SMS030AG</v>
      </c>
      <c r="B383">
        <v>9</v>
      </c>
      <c r="C383" t="str">
        <v>UND</v>
      </c>
      <c r="D383">
        <v>20036</v>
      </c>
      <c r="E383">
        <v>180324</v>
      </c>
    </row>
    <row r="384" spans="1:5" hidden="1">
      <c r="A384" t="str">
        <v>Mensula 50 cm Galvanizado SMS050AG</v>
      </c>
      <c r="B384">
        <v>1</v>
      </c>
      <c r="C384" t="str">
        <v>UND</v>
      </c>
      <c r="D384">
        <v>23245</v>
      </c>
      <c r="E384">
        <v>23245</v>
      </c>
    </row>
    <row r="385" spans="1:5" hidden="1">
      <c r="A385" t="str">
        <v>Niple Roscar Galvanizado SCH 40 1/2x10 cm</v>
      </c>
      <c r="B385">
        <v>28</v>
      </c>
      <c r="C385" t="str">
        <v>UND</v>
      </c>
      <c r="D385">
        <v>3062</v>
      </c>
      <c r="E385">
        <v>85736</v>
      </c>
    </row>
    <row r="386" spans="1:5" hidden="1">
      <c r="A386" t="str">
        <v>Niple Roscar Inox 304  SCH 40 1"x10 cm</v>
      </c>
      <c r="B386">
        <v>2</v>
      </c>
      <c r="C386" t="str">
        <v>UND</v>
      </c>
      <c r="D386">
        <v>0</v>
      </c>
      <c r="E386">
        <v>0</v>
      </c>
    </row>
    <row r="387" spans="1:5" hidden="1">
      <c r="A387" t="str">
        <v>Niple Roscar Inox 304 SCH 40  1-1/2"x10 cm</v>
      </c>
      <c r="B387">
        <v>19</v>
      </c>
      <c r="C387" t="str">
        <v>UND</v>
      </c>
      <c r="D387">
        <v>10992</v>
      </c>
      <c r="E387">
        <v>208848</v>
      </c>
    </row>
    <row r="388" spans="1:5" hidden="1">
      <c r="A388" t="str">
        <v>Niple Roscar Inox 304 SCH 40 1"x30 cm</v>
      </c>
      <c r="B388">
        <v>1</v>
      </c>
      <c r="C388" t="str">
        <v>UND</v>
      </c>
      <c r="D388">
        <v>0</v>
      </c>
      <c r="E388">
        <v>0</v>
      </c>
    </row>
    <row r="389" spans="1:5" hidden="1">
      <c r="A389" t="str">
        <v>Niple Roscar Inox 304 SCH 40 1"x40 cm</v>
      </c>
      <c r="B389">
        <v>1</v>
      </c>
      <c r="C389" t="str">
        <v>UND</v>
      </c>
      <c r="D389">
        <v>0</v>
      </c>
      <c r="E389">
        <v>0</v>
      </c>
    </row>
    <row r="390" spans="1:5" hidden="1">
      <c r="A390" t="str">
        <v>Niple Roscar Inox 304 SCH 40 1"x8 cm</v>
      </c>
      <c r="B390">
        <v>1</v>
      </c>
      <c r="C390" t="str">
        <v>UND</v>
      </c>
      <c r="D390">
        <v>0</v>
      </c>
      <c r="E390">
        <v>0</v>
      </c>
    </row>
    <row r="391" spans="1:5" hidden="1">
      <c r="A391" t="str">
        <v>Niple Roscar Inox 304 SCH 40 1/2"x10 cm</v>
      </c>
      <c r="B391">
        <v>2</v>
      </c>
      <c r="C391" t="str">
        <v>UND</v>
      </c>
      <c r="D391">
        <v>3840</v>
      </c>
      <c r="E391">
        <v>7680</v>
      </c>
    </row>
    <row r="392" spans="1:5" hidden="1">
      <c r="A392" t="str">
        <v>Niple Roscar Inox 304 SCH 40 1/2"x20 cm</v>
      </c>
      <c r="B392">
        <v>3</v>
      </c>
      <c r="C392" t="str">
        <v>UND</v>
      </c>
      <c r="D392">
        <v>9952</v>
      </c>
      <c r="E392">
        <v>29856</v>
      </c>
    </row>
    <row r="393" spans="1:5" hidden="1">
      <c r="A393" t="str">
        <v>Niple Roscar Inox 304 SCH 40 1-1/2"x15 cm</v>
      </c>
      <c r="B393">
        <v>1</v>
      </c>
      <c r="C393" t="str">
        <v>UND</v>
      </c>
      <c r="D393">
        <v>15280</v>
      </c>
      <c r="E393">
        <v>15280</v>
      </c>
    </row>
    <row r="394" spans="1:5" hidden="1">
      <c r="A394" t="str">
        <v>Niple Roscar Inox 304 SCH 40 1-1/2"x20 cm</v>
      </c>
      <c r="B394">
        <v>15</v>
      </c>
      <c r="C394" t="str">
        <v>UND</v>
      </c>
      <c r="D394">
        <v>19712</v>
      </c>
      <c r="E394">
        <v>295680</v>
      </c>
    </row>
    <row r="395" spans="1:5" hidden="1">
      <c r="A395" t="str">
        <v>Niple Roscar Inox 304 SCH 40 1-1/2"x25 cm</v>
      </c>
      <c r="B395">
        <v>5</v>
      </c>
      <c r="C395" t="str">
        <v>UND</v>
      </c>
      <c r="D395">
        <v>48171</v>
      </c>
      <c r="E395">
        <v>240855</v>
      </c>
    </row>
    <row r="396" spans="1:5" hidden="1">
      <c r="A396" t="str">
        <v>Niple Roscar Inox 304 SCH 40 1-1/2"x30 cm</v>
      </c>
      <c r="B396">
        <v>4</v>
      </c>
      <c r="C396" t="str">
        <v>UND</v>
      </c>
      <c r="D396">
        <v>46391</v>
      </c>
      <c r="E396">
        <v>185564</v>
      </c>
    </row>
    <row r="397" spans="1:5" hidden="1">
      <c r="A397" t="str">
        <v>Niple Roscar Inox 304 SCH 40 1-1/2"x40 cm</v>
      </c>
      <c r="B397">
        <v>1</v>
      </c>
      <c r="C397" t="str">
        <v>UND</v>
      </c>
      <c r="D397">
        <v>36009.599999999999</v>
      </c>
      <c r="E397">
        <v>36009.599999999999</v>
      </c>
    </row>
    <row r="398" spans="1:5" hidden="1">
      <c r="A398" t="str">
        <v>Niple Roscar Inox 304 SCH 40 1-1/4"x20 cm</v>
      </c>
      <c r="B398">
        <v>2</v>
      </c>
      <c r="C398" t="str">
        <v>UND</v>
      </c>
      <c r="D398">
        <v>25495.200000000001</v>
      </c>
      <c r="E398">
        <v>50990.400000000001</v>
      </c>
    </row>
    <row r="399" spans="1:5" hidden="1">
      <c r="A399" t="str">
        <v>Niple Roscar Inox 304 SCH 40 1-1/4"x7 cm</v>
      </c>
      <c r="B399">
        <v>1</v>
      </c>
      <c r="C399" t="str">
        <v>UND</v>
      </c>
      <c r="D399">
        <v>0</v>
      </c>
      <c r="E399">
        <v>0</v>
      </c>
    </row>
    <row r="400" spans="1:5" hidden="1">
      <c r="A400" t="str">
        <v>Niple Roscar Inox 304 SCH 40 2"x10 cm</v>
      </c>
      <c r="B400">
        <v>6</v>
      </c>
      <c r="C400" t="str">
        <v>UND</v>
      </c>
      <c r="D400">
        <v>12824</v>
      </c>
      <c r="E400">
        <v>76944</v>
      </c>
    </row>
    <row r="401" spans="1:5" hidden="1">
      <c r="A401" t="str">
        <v>Niple Roscar Inox 304 SCH 40 2"x15 cm</v>
      </c>
      <c r="B401">
        <v>4</v>
      </c>
      <c r="C401" t="str">
        <v>UND</v>
      </c>
      <c r="D401">
        <v>21192</v>
      </c>
      <c r="E401">
        <v>84768</v>
      </c>
    </row>
    <row r="402" spans="1:5" hidden="1">
      <c r="A402" t="str">
        <v>Niple Roscar Inox 304 SCH 40 2"x20 cm</v>
      </c>
      <c r="B402">
        <v>5</v>
      </c>
      <c r="C402" t="str">
        <v>UND</v>
      </c>
      <c r="D402">
        <v>24040</v>
      </c>
      <c r="E402">
        <v>120200</v>
      </c>
    </row>
    <row r="403" spans="1:5" hidden="1">
      <c r="A403" t="str">
        <v>Niple Roscar Inox 304 SCH 40 2-1/2"x10 cm</v>
      </c>
      <c r="B403">
        <v>2</v>
      </c>
      <c r="C403" t="str">
        <v>UND</v>
      </c>
      <c r="D403">
        <v>24264</v>
      </c>
      <c r="E403">
        <v>48528</v>
      </c>
    </row>
    <row r="404" spans="1:5" hidden="1">
      <c r="A404" t="str">
        <v>Niple Roscar Inox 304 SCH 40 2-1/2"x20 cm</v>
      </c>
      <c r="B404">
        <v>1</v>
      </c>
      <c r="C404" t="str">
        <v>UND</v>
      </c>
      <c r="D404">
        <v>43672</v>
      </c>
      <c r="E404">
        <v>43672</v>
      </c>
    </row>
    <row r="405" spans="1:5" hidden="1">
      <c r="A405" t="str">
        <v>Niple Roscar Inox 304 SCH 40 2-1/2"x30 cm</v>
      </c>
      <c r="B405">
        <v>2</v>
      </c>
      <c r="C405" t="str">
        <v>UND</v>
      </c>
      <c r="D405">
        <v>71424</v>
      </c>
      <c r="E405">
        <v>142848</v>
      </c>
    </row>
    <row r="406" spans="1:5" hidden="1">
      <c r="A406" t="str">
        <v>Niple Roscar Inox 304 SCH 40 3"x20 cm</v>
      </c>
      <c r="B406">
        <v>1</v>
      </c>
      <c r="C406" t="str">
        <v>UND</v>
      </c>
      <c r="D406">
        <v>51792</v>
      </c>
      <c r="E406">
        <v>51792</v>
      </c>
    </row>
    <row r="407" spans="1:5" hidden="1">
      <c r="A407" t="str">
        <v>Niple Roscar Inox 304 SCH 40 3/4"x10 cm</v>
      </c>
      <c r="B407">
        <v>2</v>
      </c>
      <c r="C407" t="str">
        <v>UND</v>
      </c>
      <c r="D407">
        <v>7088</v>
      </c>
      <c r="E407">
        <v>14176</v>
      </c>
    </row>
    <row r="408" spans="1:5" hidden="1">
      <c r="A408" t="str">
        <v>Niple Roscar Inox 304 SCH 40 3/4"x8 cm</v>
      </c>
      <c r="B408">
        <v>1</v>
      </c>
      <c r="C408" t="str">
        <v>UND</v>
      </c>
      <c r="D408">
        <v>7088</v>
      </c>
      <c r="E408">
        <v>7088</v>
      </c>
    </row>
    <row r="409" spans="1:5" hidden="1">
      <c r="A409" t="str">
        <v>Niple Roscar Inox 304 SCH 40 3/8"x20 cm</v>
      </c>
      <c r="B409">
        <v>1</v>
      </c>
      <c r="C409" t="str">
        <v>UND</v>
      </c>
      <c r="D409">
        <v>6152</v>
      </c>
      <c r="E409">
        <v>6152</v>
      </c>
    </row>
    <row r="410" spans="1:5" hidden="1">
      <c r="A410" t="str">
        <v>Niple Roscar Inox 304 SCH 40 4"x10 cm</v>
      </c>
      <c r="B410">
        <v>4</v>
      </c>
      <c r="C410" t="str">
        <v>UND</v>
      </c>
      <c r="D410">
        <v>73824</v>
      </c>
      <c r="E410">
        <v>295296</v>
      </c>
    </row>
    <row r="411" spans="1:5" hidden="1">
      <c r="A411" t="str">
        <v>Pasamuro PP 1-1/2" Roscado</v>
      </c>
      <c r="B411">
        <v>3</v>
      </c>
      <c r="C411" t="str">
        <v>UND</v>
      </c>
      <c r="D411">
        <v>21968</v>
      </c>
      <c r="E411">
        <v>65904</v>
      </c>
    </row>
    <row r="412" spans="1:5" hidden="1">
      <c r="A412" t="str">
        <v>Pasatanques PP 3/4"</v>
      </c>
      <c r="B412">
        <v>4</v>
      </c>
      <c r="C412" t="str">
        <v>UND</v>
      </c>
      <c r="D412">
        <v>6648</v>
      </c>
      <c r="E412">
        <v>26592</v>
      </c>
    </row>
    <row r="413" spans="1:5" hidden="1">
      <c r="A413" t="str">
        <v>Pasatanques Roscado PVC Presion 1"</v>
      </c>
      <c r="B413">
        <v>5</v>
      </c>
      <c r="C413" t="str">
        <v>UND</v>
      </c>
      <c r="D413">
        <v>6832</v>
      </c>
      <c r="E413">
        <v>34160</v>
      </c>
    </row>
    <row r="414" spans="1:5" hidden="1">
      <c r="A414" t="str">
        <v>Pasatanques Roscados PVC Presion 1/2"</v>
      </c>
      <c r="B414">
        <v>14</v>
      </c>
      <c r="C414" t="str">
        <v>UND</v>
      </c>
      <c r="D414">
        <v>3824</v>
      </c>
      <c r="E414">
        <v>53536</v>
      </c>
    </row>
    <row r="415" spans="1:5" hidden="1">
      <c r="A415" t="str">
        <v>Pistola Para Manguera De Riego 1/2"</v>
      </c>
      <c r="B415">
        <v>2</v>
      </c>
      <c r="C415" t="str">
        <v>UND</v>
      </c>
      <c r="D415">
        <v>0</v>
      </c>
      <c r="E415">
        <v>0</v>
      </c>
    </row>
    <row r="416" spans="1:5" hidden="1">
      <c r="A416" t="str">
        <v>Platina en L 4x4 Cm Galvanizado</v>
      </c>
      <c r="B416">
        <v>74</v>
      </c>
      <c r="C416" t="str">
        <v>UND</v>
      </c>
      <c r="D416">
        <v>0</v>
      </c>
      <c r="E416">
        <v>0</v>
      </c>
    </row>
    <row r="417" spans="1:5" hidden="1">
      <c r="A417" t="str">
        <v>Platina en L Mecano Cuatro Agujeros Ref. PLA4AG</v>
      </c>
      <c r="B417">
        <v>11</v>
      </c>
      <c r="C417" t="str">
        <v>UND</v>
      </c>
      <c r="D417">
        <v>14500</v>
      </c>
      <c r="E417">
        <v>159500</v>
      </c>
    </row>
    <row r="418" spans="1:5" hidden="1">
      <c r="A418" t="str">
        <v>Platina en L Mecano Dos Agujeros Ref. PLD2AG</v>
      </c>
      <c r="B418">
        <v>75</v>
      </c>
      <c r="C418" t="str">
        <v>UND</v>
      </c>
      <c r="D418">
        <v>4344</v>
      </c>
      <c r="E418">
        <v>325800</v>
      </c>
    </row>
    <row r="419" spans="1:5" hidden="1">
      <c r="A419" t="str">
        <v>Platina en T Mecano Cuatro Agujeros Ref. PTP4AG</v>
      </c>
      <c r="B419">
        <v>1</v>
      </c>
      <c r="C419" t="str">
        <v>UND</v>
      </c>
      <c r="D419">
        <v>8428</v>
      </c>
      <c r="E419">
        <v>8428</v>
      </c>
    </row>
    <row r="420" spans="1:5" hidden="1">
      <c r="A420" t="str">
        <v>Platina Inox 15x10x10mm</v>
      </c>
      <c r="B420">
        <v>5</v>
      </c>
      <c r="C420" t="str">
        <v>UND</v>
      </c>
      <c r="D420">
        <v>0</v>
      </c>
      <c r="E420">
        <v>0</v>
      </c>
    </row>
    <row r="421" spans="1:5" hidden="1">
      <c r="A421" t="str">
        <v>Platina Inox 30x25x20mm</v>
      </c>
      <c r="B421">
        <v>7</v>
      </c>
      <c r="C421" t="str">
        <v>UND</v>
      </c>
      <c r="D421">
        <v>0</v>
      </c>
      <c r="E421">
        <v>0</v>
      </c>
    </row>
    <row r="422" spans="1:5" hidden="1">
      <c r="A422" t="str">
        <v>Reduccion Concentrica Inox 304 L SCH 10 Soldar 4x2-1/2"</v>
      </c>
      <c r="B422">
        <v>1</v>
      </c>
      <c r="C422" t="str">
        <v>UND</v>
      </c>
      <c r="D422">
        <v>48176</v>
      </c>
      <c r="E422">
        <v>48176</v>
      </c>
    </row>
    <row r="423" spans="1:5" hidden="1">
      <c r="A423" t="str">
        <v>Reduccion Concentrica Inox 304 L SCH10 Soldar 3x2"</v>
      </c>
      <c r="B423">
        <v>1</v>
      </c>
      <c r="C423" t="str">
        <v>UND</v>
      </c>
      <c r="D423">
        <v>27056</v>
      </c>
      <c r="E423">
        <v>27056</v>
      </c>
    </row>
    <row r="424" spans="1:5" hidden="1">
      <c r="A424" t="str">
        <v>Reduccion Concentrica Inox 304 L SCH10 Soldar 3x2-1/2"</v>
      </c>
      <c r="B424">
        <v>1</v>
      </c>
      <c r="C424" t="str">
        <v>UND</v>
      </c>
      <c r="D424">
        <v>24920</v>
      </c>
      <c r="E424">
        <v>24920</v>
      </c>
    </row>
    <row r="425" spans="1:5" hidden="1">
      <c r="A425" t="str">
        <v>Reduccion Concentrica Roscar Inox 304 SCH 40 1-1/2x1/2"</v>
      </c>
      <c r="B425">
        <v>1</v>
      </c>
      <c r="C425" t="str">
        <v>UND</v>
      </c>
      <c r="D425">
        <v>10112</v>
      </c>
      <c r="E425">
        <v>10112</v>
      </c>
    </row>
    <row r="426" spans="1:5" hidden="1">
      <c r="A426" t="str">
        <v>Reduccion Concentrica Roscar Inox 304 SCH 40 1-1/2x1/4"</v>
      </c>
      <c r="B426">
        <v>5</v>
      </c>
      <c r="C426" t="str">
        <v>UND</v>
      </c>
      <c r="D426">
        <v>10376</v>
      </c>
      <c r="E426">
        <v>51880</v>
      </c>
    </row>
    <row r="427" spans="1:5" hidden="1">
      <c r="A427" t="str">
        <v>Reduccion Concentrica Roscar Inox 304 SCH 40 2x1"</v>
      </c>
      <c r="B427">
        <v>1</v>
      </c>
      <c r="C427" t="str">
        <v>UND</v>
      </c>
      <c r="D427">
        <v>17784</v>
      </c>
      <c r="E427">
        <v>17784</v>
      </c>
    </row>
    <row r="428" spans="1:5" hidden="1">
      <c r="A428" t="str">
        <v>Reduccion Concentrica Roscar Inox 304 SCH 40 3x2"</v>
      </c>
      <c r="B428">
        <v>1</v>
      </c>
      <c r="C428" t="str">
        <v>UND</v>
      </c>
      <c r="D428">
        <v>34984</v>
      </c>
      <c r="E428">
        <v>34984</v>
      </c>
    </row>
    <row r="429" spans="1:5" hidden="1">
      <c r="A429" t="str">
        <v>Reduccion Concentrica Soldar Inox 304  SCH 10 4x2"</v>
      </c>
      <c r="B429">
        <v>6</v>
      </c>
      <c r="C429" t="str">
        <v>UND</v>
      </c>
      <c r="D429">
        <v>51928</v>
      </c>
      <c r="E429">
        <v>311568</v>
      </c>
    </row>
    <row r="430" spans="1:5" hidden="1">
      <c r="A430" t="str">
        <v>Reduccion Concentrica Soldar Inox 304 SCH 10 1-1/2x1"</v>
      </c>
      <c r="B430">
        <v>5</v>
      </c>
      <c r="C430" t="str">
        <v>UND</v>
      </c>
      <c r="D430">
        <v>11200</v>
      </c>
      <c r="E430">
        <v>56000</v>
      </c>
    </row>
    <row r="431" spans="1:5" hidden="1">
      <c r="A431" t="str">
        <v>Reduccion Concentrica Soldar Inox 304 SCH 10 1-1/4x1"</v>
      </c>
      <c r="B431">
        <v>1</v>
      </c>
      <c r="C431" t="str">
        <v>UND</v>
      </c>
      <c r="D431">
        <v>10840</v>
      </c>
      <c r="E431">
        <v>10840</v>
      </c>
    </row>
    <row r="432" spans="1:5" hidden="1">
      <c r="A432" t="str">
        <v>Reduccion Concentrica Soldar Inox 304 SCH 10 2-1/2x1"</v>
      </c>
      <c r="B432">
        <v>5</v>
      </c>
      <c r="C432" t="str">
        <v>UND</v>
      </c>
      <c r="D432">
        <v>16992</v>
      </c>
      <c r="E432">
        <v>84960</v>
      </c>
    </row>
    <row r="433" spans="1:5" hidden="1">
      <c r="A433" t="str">
        <v>Reduccion Concentrica Soldar Inox 304 SCH 10 2-1/2x2"</v>
      </c>
      <c r="B433">
        <v>2</v>
      </c>
      <c r="C433" t="str">
        <v>UND</v>
      </c>
      <c r="D433">
        <v>18400</v>
      </c>
      <c r="E433">
        <v>36800</v>
      </c>
    </row>
    <row r="434" spans="1:5" hidden="1">
      <c r="A434" t="str">
        <v>Reduccion Concentrica Soldar Inox 304 SCH 10 2x1"</v>
      </c>
      <c r="B434">
        <v>10</v>
      </c>
      <c r="C434" t="str">
        <v>UND</v>
      </c>
      <c r="D434">
        <v>15280</v>
      </c>
      <c r="E434">
        <v>152800</v>
      </c>
    </row>
    <row r="435" spans="1:5" hidden="1">
      <c r="A435" t="str">
        <v>Reduccion Concentrica Soldar Inox 304 SCH 10 3x1"</v>
      </c>
      <c r="B435">
        <v>1</v>
      </c>
      <c r="C435" t="str">
        <v>UND</v>
      </c>
      <c r="D435">
        <v>22168</v>
      </c>
      <c r="E435">
        <v>22168</v>
      </c>
    </row>
    <row r="436" spans="1:5" hidden="1">
      <c r="A436" t="str">
        <v>Reduccion Concentrica Soldar Inox 304 SCH 10 3x1-1/2"</v>
      </c>
      <c r="B436">
        <v>2</v>
      </c>
      <c r="C436" t="str">
        <v>UND</v>
      </c>
      <c r="D436">
        <v>21048</v>
      </c>
      <c r="E436">
        <v>42096</v>
      </c>
    </row>
    <row r="437" spans="1:5" hidden="1">
      <c r="A437" t="str">
        <v>Reduccion Concentrica Soldar Inox 304 SCH 10 3x2-1/2"</v>
      </c>
      <c r="B437">
        <v>2</v>
      </c>
      <c r="C437" t="str">
        <v>UND</v>
      </c>
      <c r="D437">
        <v>24920</v>
      </c>
      <c r="E437">
        <v>49840</v>
      </c>
    </row>
    <row r="438" spans="1:5" hidden="1">
      <c r="A438" t="str">
        <v>Reduccion Concentrica Soldar Inox 304 SCH 10 6x4</v>
      </c>
      <c r="B438">
        <v>10</v>
      </c>
      <c r="C438" t="str">
        <v>UND</v>
      </c>
      <c r="D438">
        <v>58944</v>
      </c>
      <c r="E438">
        <v>589440</v>
      </c>
    </row>
    <row r="439" spans="1:5" hidden="1">
      <c r="A439" t="str">
        <v>Reduccion Excentrica Soldar Inox 304 SCH 10 2x1"</v>
      </c>
      <c r="B439">
        <v>1</v>
      </c>
      <c r="C439" t="str">
        <v>UND</v>
      </c>
      <c r="D439">
        <v>14456</v>
      </c>
      <c r="E439">
        <v>14456</v>
      </c>
    </row>
    <row r="440" spans="1:5" hidden="1">
      <c r="A440" t="str">
        <v>Reduccion Excentrica Soldar Inox 304 SCH 10 3x1-1/2"</v>
      </c>
      <c r="B440">
        <v>2</v>
      </c>
      <c r="C440" t="str">
        <v>UND</v>
      </c>
      <c r="D440">
        <v>60160</v>
      </c>
      <c r="E440">
        <v>120320</v>
      </c>
    </row>
    <row r="441" spans="1:5" hidden="1">
      <c r="A441" t="str">
        <v>Reduccion Excentrica Soldar Inox 304 SCH 10 3x2"</v>
      </c>
      <c r="B441">
        <v>3</v>
      </c>
      <c r="C441" t="str">
        <v>UND</v>
      </c>
      <c r="D441">
        <v>24504</v>
      </c>
      <c r="E441">
        <v>73512</v>
      </c>
    </row>
    <row r="442" spans="1:5" hidden="1">
      <c r="A442" t="str">
        <v>Reduccion Excentrica Soldar Inox 304 SCH 10 3x2-1/2"</v>
      </c>
      <c r="B442">
        <v>1</v>
      </c>
      <c r="C442" t="str">
        <v>UND</v>
      </c>
      <c r="D442">
        <v>20960</v>
      </c>
      <c r="E442">
        <v>20960</v>
      </c>
    </row>
    <row r="443" spans="1:5" hidden="1">
      <c r="A443" t="str">
        <v>Reduccion Excentrica Soldar Inox 304 SCH 10 4x2-1/2"</v>
      </c>
      <c r="B443">
        <v>1</v>
      </c>
      <c r="C443" t="str">
        <v>UND</v>
      </c>
      <c r="D443">
        <v>53696</v>
      </c>
      <c r="E443">
        <v>53696</v>
      </c>
    </row>
    <row r="444" spans="1:5" hidden="1">
      <c r="A444" t="str">
        <v>Reduccion Roscar Concentrica Galvanizada SCH 40 1-1/4x3/4"</v>
      </c>
      <c r="B444">
        <v>1</v>
      </c>
      <c r="C444" t="str">
        <v>UND</v>
      </c>
      <c r="D444">
        <v>43200</v>
      </c>
      <c r="E444">
        <v>43200</v>
      </c>
    </row>
    <row r="445" spans="1:5" hidden="1">
      <c r="A445" t="str">
        <v>Reduccion Roscar Concentrica Galvanizada SCH 40 3x2-1/2"</v>
      </c>
      <c r="B445">
        <v>1</v>
      </c>
      <c r="C445" t="str">
        <v>UND</v>
      </c>
      <c r="D445">
        <v>24472</v>
      </c>
      <c r="E445">
        <v>24472</v>
      </c>
    </row>
    <row r="446" spans="1:5">
      <c r="A446" t="str">
        <v>Reduccion Tuerca  Galvanizado SCH 40 1/2x1/4"</v>
      </c>
      <c r="B446">
        <v>12</v>
      </c>
      <c r="C446" t="str">
        <v>UND</v>
      </c>
      <c r="D446">
        <v>1216</v>
      </c>
      <c r="E446">
        <v>14592</v>
      </c>
    </row>
    <row r="447" spans="1:5">
      <c r="A447" t="str">
        <v>Reducción Tuerca  Galvanizado SCH 40 1/2x3/8"</v>
      </c>
      <c r="B447">
        <v>1</v>
      </c>
      <c r="C447" t="str">
        <v>UND</v>
      </c>
      <c r="D447">
        <v>0</v>
      </c>
      <c r="E447">
        <v>0</v>
      </c>
    </row>
    <row r="448" spans="1:5">
      <c r="A448" t="str">
        <v>Reduccion Tuerca bronce 2x1/2" Kaeser</v>
      </c>
      <c r="B448">
        <v>1</v>
      </c>
      <c r="C448" t="str">
        <v>UND</v>
      </c>
      <c r="D448">
        <v>0</v>
      </c>
      <c r="E448">
        <v>0</v>
      </c>
    </row>
    <row r="449" spans="1:5">
      <c r="A449" t="str">
        <v>Reduccion Tuerca Galvanizado SCH 40 1-1/2x1-1/4"</v>
      </c>
      <c r="B449">
        <v>2</v>
      </c>
      <c r="C449" t="str">
        <v>UND</v>
      </c>
      <c r="D449">
        <v>5453</v>
      </c>
      <c r="E449">
        <v>10906</v>
      </c>
    </row>
    <row r="450" spans="1:5">
      <c r="A450" t="str">
        <v>Reduccion Tuerca Galvanizado SCH 40 1-1/4x1"</v>
      </c>
      <c r="B450">
        <v>1</v>
      </c>
      <c r="C450" t="str">
        <v>UND</v>
      </c>
      <c r="D450">
        <v>2898</v>
      </c>
      <c r="E450">
        <v>2898</v>
      </c>
    </row>
    <row r="451" spans="1:5">
      <c r="A451" t="str">
        <v>Reduccion Tuerca Galvanizado SCH 40 1-1/4x1/2"</v>
      </c>
      <c r="B451">
        <v>2</v>
      </c>
      <c r="C451" t="str">
        <v>UND</v>
      </c>
      <c r="D451">
        <v>3385</v>
      </c>
      <c r="E451">
        <v>6770</v>
      </c>
    </row>
    <row r="452" spans="1:5">
      <c r="A452" t="str">
        <v>Reduccion Tuerca Galvanizado SCH 40 1x1/2"</v>
      </c>
      <c r="B452">
        <v>2</v>
      </c>
      <c r="C452" t="str">
        <v>UND</v>
      </c>
      <c r="D452">
        <v>2232</v>
      </c>
      <c r="E452">
        <v>4464</v>
      </c>
    </row>
    <row r="453" spans="1:5">
      <c r="A453" t="str">
        <v>Reduccion Tuerca Galvanizado SCH 40 1x1/4"</v>
      </c>
      <c r="B453">
        <v>1</v>
      </c>
      <c r="C453" t="str">
        <v>UND</v>
      </c>
      <c r="D453">
        <v>2416</v>
      </c>
      <c r="E453">
        <v>2416</v>
      </c>
    </row>
    <row r="454" spans="1:5">
      <c r="A454" t="str">
        <v>Reduccion Tuerca Galvanizado SCH 40 1x3/4"</v>
      </c>
      <c r="B454">
        <v>1</v>
      </c>
      <c r="C454" t="str">
        <v>UND</v>
      </c>
      <c r="D454">
        <v>1960</v>
      </c>
      <c r="E454">
        <v>1960</v>
      </c>
    </row>
    <row r="455" spans="1:5">
      <c r="A455" t="str">
        <v>Reduccion Tuerca Galvanizado SCH 40 2-1/2x1-1/2"</v>
      </c>
      <c r="B455">
        <v>4</v>
      </c>
      <c r="C455" t="str">
        <v>UND</v>
      </c>
      <c r="D455">
        <v>8140</v>
      </c>
      <c r="E455">
        <v>32560</v>
      </c>
    </row>
    <row r="456" spans="1:5">
      <c r="A456" t="str">
        <v>Reduccion Tuerca Galvanizado SCH 40 2-1/2x2"</v>
      </c>
      <c r="B456">
        <v>3</v>
      </c>
      <c r="C456" t="str">
        <v>UND</v>
      </c>
      <c r="D456">
        <v>12320</v>
      </c>
      <c r="E456">
        <v>36960</v>
      </c>
    </row>
    <row r="457" spans="1:5">
      <c r="A457" t="str">
        <v>Reduccion Tuerca Galvanizado SCH 40 2x1-1/2"</v>
      </c>
      <c r="B457">
        <v>3</v>
      </c>
      <c r="C457" t="str">
        <v>UND</v>
      </c>
      <c r="D457">
        <v>7467</v>
      </c>
      <c r="E457">
        <v>22401</v>
      </c>
    </row>
    <row r="458" spans="1:5">
      <c r="A458" t="str">
        <v>Reduccion Tuerca Galvanizado SCH 40 2x3/4"</v>
      </c>
      <c r="B458">
        <v>1</v>
      </c>
      <c r="C458" t="str">
        <v>UND</v>
      </c>
      <c r="D458">
        <v>8190</v>
      </c>
      <c r="E458">
        <v>8190</v>
      </c>
    </row>
    <row r="459" spans="1:5">
      <c r="A459" t="str">
        <v>Reduccion Tuerca Galvanizado SCH 40 3/4x1/2"</v>
      </c>
      <c r="B459">
        <v>6</v>
      </c>
      <c r="C459" t="str">
        <v>UND</v>
      </c>
      <c r="D459">
        <v>1667</v>
      </c>
      <c r="E459">
        <v>10002</v>
      </c>
    </row>
    <row r="460" spans="1:5">
      <c r="A460" t="str">
        <v>Reduccion Tuerca Inox 304  SCH 40 1/2x1/4"</v>
      </c>
      <c r="B460">
        <v>8</v>
      </c>
      <c r="C460" t="str">
        <v>UND</v>
      </c>
      <c r="D460">
        <v>2864</v>
      </c>
      <c r="E460">
        <v>22912</v>
      </c>
    </row>
    <row r="461" spans="1:5">
      <c r="A461" t="str">
        <v>Reduccion Tuerca Inox 304 SCH 40 1-1/2x1/2"</v>
      </c>
      <c r="B461">
        <v>1</v>
      </c>
      <c r="C461" t="str">
        <v>UND</v>
      </c>
      <c r="D461">
        <v>15875</v>
      </c>
      <c r="E461">
        <v>15875</v>
      </c>
    </row>
    <row r="462" spans="1:5">
      <c r="A462" t="str">
        <v>Reduccion Tuerca Inox 304 SCH 40 1-1/2x1-1/4"</v>
      </c>
      <c r="B462">
        <v>2</v>
      </c>
      <c r="C462" t="str">
        <v>UND</v>
      </c>
      <c r="D462">
        <v>22900</v>
      </c>
      <c r="E462">
        <v>45800</v>
      </c>
    </row>
    <row r="463" spans="1:5">
      <c r="A463" t="str">
        <v>Reduccion Tuerca Inox 304 SCH 40 1-1/4x3/4"</v>
      </c>
      <c r="B463">
        <v>6</v>
      </c>
      <c r="C463" t="str">
        <v>UND</v>
      </c>
      <c r="D463">
        <v>9456</v>
      </c>
      <c r="E463">
        <v>56736</v>
      </c>
    </row>
    <row r="464" spans="1:5">
      <c r="A464" t="str">
        <v>Reduccion Tuerca Inox 304 Sch 40 1x1/2"</v>
      </c>
      <c r="B464">
        <v>2</v>
      </c>
      <c r="C464" t="str">
        <v>UND</v>
      </c>
      <c r="D464">
        <v>7842</v>
      </c>
      <c r="E464">
        <v>15684</v>
      </c>
    </row>
    <row r="465" spans="1:5">
      <c r="A465" t="str">
        <v>Reduccion Tuerca Inox 304 SCH 40 1x3/4"</v>
      </c>
      <c r="B465">
        <v>1</v>
      </c>
      <c r="C465" t="str">
        <v>UND</v>
      </c>
      <c r="D465">
        <v>5320</v>
      </c>
      <c r="E465">
        <v>5320</v>
      </c>
    </row>
    <row r="466" spans="1:5">
      <c r="A466" t="str">
        <v>Reduccion Tuerca Inox 304 SCH 40 2x1-1/2"</v>
      </c>
      <c r="B466">
        <v>3</v>
      </c>
      <c r="C466" t="str">
        <v>UND</v>
      </c>
      <c r="D466">
        <v>29376</v>
      </c>
      <c r="E466">
        <v>88128</v>
      </c>
    </row>
    <row r="467" spans="1:5">
      <c r="A467" t="str">
        <v>Reduccion Tuerca Inox 304 SCH 40 3/4x1/2"</v>
      </c>
      <c r="B467">
        <v>1</v>
      </c>
      <c r="C467" t="str">
        <v>UND</v>
      </c>
      <c r="D467">
        <v>7761</v>
      </c>
      <c r="E467">
        <v>7761</v>
      </c>
    </row>
    <row r="468" spans="1:5">
      <c r="A468" t="str">
        <v>Reduccion Tuerca Inox 304 SCH 40 3/4x1/9"</v>
      </c>
      <c r="B468">
        <v>9</v>
      </c>
      <c r="C468" t="str">
        <v>UND</v>
      </c>
      <c r="D468">
        <v>2584</v>
      </c>
      <c r="E468">
        <v>23256</v>
      </c>
    </row>
    <row r="469" spans="1:5">
      <c r="A469" t="str">
        <v>Reduccion Tuerca Inox 304 SCH 40 4x3"</v>
      </c>
      <c r="B469">
        <v>2</v>
      </c>
      <c r="C469" t="str">
        <v>UND</v>
      </c>
      <c r="D469">
        <v>137907</v>
      </c>
      <c r="E469">
        <v>275814</v>
      </c>
    </row>
    <row r="470" spans="1:5" hidden="1">
      <c r="A470" t="str">
        <v>Sellador para conexiones fuerza media 36ml</v>
      </c>
      <c r="B470">
        <v>-1</v>
      </c>
      <c r="C470" t="str">
        <v>NO ELEMENTO</v>
      </c>
      <c r="D470" t="e">
        <v>#N/A</v>
      </c>
      <c r="E470">
        <v>0</v>
      </c>
    </row>
    <row r="471" spans="1:5" hidden="1">
      <c r="A471" t="str">
        <v>Sifón 180° Sin Codo PVC Sanitario Soldar 2" CxC</v>
      </c>
      <c r="B471">
        <v>1</v>
      </c>
      <c r="C471" t="str">
        <v>UND</v>
      </c>
      <c r="D471">
        <v>3391.5</v>
      </c>
      <c r="E471">
        <v>3391.5</v>
      </c>
    </row>
    <row r="472" spans="1:5" hidden="1">
      <c r="A472" t="str">
        <v>Tapon  Roscado PVC Sanitario Macho  1-1/2"</v>
      </c>
      <c r="B472">
        <v>2</v>
      </c>
      <c r="C472" t="str">
        <v>UND</v>
      </c>
      <c r="D472">
        <v>579.5</v>
      </c>
      <c r="E472">
        <v>1159</v>
      </c>
    </row>
    <row r="473" spans="1:5" hidden="1">
      <c r="A473" t="str">
        <v>Tapon Liso  PVC Presion SCH 40 3/4"</v>
      </c>
      <c r="B473">
        <v>10</v>
      </c>
      <c r="C473" t="str">
        <v>UND</v>
      </c>
      <c r="D473">
        <v>437.76000000000005</v>
      </c>
      <c r="E473">
        <v>4377.6000000000004</v>
      </c>
    </row>
    <row r="474" spans="1:5" hidden="1">
      <c r="A474" t="str">
        <v>Tapon Liso CPVC SCH 40 (Ultratemp)1-1/2"</v>
      </c>
      <c r="B474">
        <v>2</v>
      </c>
      <c r="C474" t="str">
        <v>UND</v>
      </c>
      <c r="D474">
        <v>9966</v>
      </c>
      <c r="E474">
        <v>19932</v>
      </c>
    </row>
    <row r="475" spans="1:5" hidden="1">
      <c r="A475" t="str">
        <v>Tapon Liso PVC Presion SCH 40 1/2"</v>
      </c>
      <c r="B475">
        <v>8</v>
      </c>
      <c r="C475" t="str">
        <v>UND</v>
      </c>
      <c r="D475">
        <v>218.40000000000003</v>
      </c>
      <c r="E475">
        <v>1747.2000000000003</v>
      </c>
    </row>
    <row r="476" spans="1:5" hidden="1">
      <c r="A476" t="str">
        <v>Tapon Liso PVC Presion SCH 40 1-1/2"</v>
      </c>
      <c r="B476">
        <v>10</v>
      </c>
      <c r="C476" t="str">
        <v>UND</v>
      </c>
      <c r="D476">
        <v>2296.3199999999997</v>
      </c>
      <c r="E476">
        <v>22963.199999999997</v>
      </c>
    </row>
    <row r="477" spans="1:5" hidden="1">
      <c r="A477" t="str">
        <v>Tapon Liso PVC Presion SCH 40 1-1/4"</v>
      </c>
      <c r="B477">
        <v>5</v>
      </c>
      <c r="C477" t="str">
        <v>UND</v>
      </c>
      <c r="D477">
        <v>1764</v>
      </c>
      <c r="E477">
        <v>8820</v>
      </c>
    </row>
    <row r="478" spans="1:5" hidden="1">
      <c r="A478" t="str">
        <v>Tapon Liso PVC Presion SCH 40 2"</v>
      </c>
      <c r="B478">
        <v>37</v>
      </c>
      <c r="C478" t="str">
        <v>UND</v>
      </c>
      <c r="D478">
        <v>3648.96</v>
      </c>
      <c r="E478">
        <v>135011.51999999999</v>
      </c>
    </row>
    <row r="479" spans="1:5" hidden="1">
      <c r="A479" t="str">
        <v>Tapon Liso PVC Presion SCH 40 2-1/2"</v>
      </c>
      <c r="B479">
        <v>5</v>
      </c>
      <c r="C479" t="str">
        <v>UND</v>
      </c>
      <c r="D479">
        <v>8590.08</v>
      </c>
      <c r="E479">
        <v>42950.400000000001</v>
      </c>
    </row>
    <row r="480" spans="1:5" hidden="1">
      <c r="A480" t="str">
        <v>Tapon Liso PVC Presion SCH 40 3"</v>
      </c>
      <c r="B480">
        <v>2</v>
      </c>
      <c r="C480" t="str">
        <v>UND</v>
      </c>
      <c r="D480">
        <v>13961.76</v>
      </c>
      <c r="E480">
        <v>27923.52</v>
      </c>
    </row>
    <row r="481" spans="1:5" hidden="1">
      <c r="A481" t="str">
        <v>Tapon Liso PVC Presion SCH 40 4"</v>
      </c>
      <c r="B481">
        <v>4</v>
      </c>
      <c r="C481" t="str">
        <v>UND</v>
      </c>
      <c r="D481">
        <v>25367.52</v>
      </c>
      <c r="E481">
        <v>101470.08</v>
      </c>
    </row>
    <row r="482" spans="1:5" hidden="1">
      <c r="A482" t="str">
        <v>Tapon Liso PVC Presion SCH 80 1-1/4"</v>
      </c>
      <c r="B482">
        <v>1</v>
      </c>
      <c r="C482" t="str">
        <v>UND</v>
      </c>
      <c r="D482">
        <v>8568</v>
      </c>
      <c r="E482">
        <v>8568</v>
      </c>
    </row>
    <row r="483" spans="1:5" hidden="1">
      <c r="A483" t="str">
        <v>Tapon Liso PVC Sanitario  4"</v>
      </c>
      <c r="B483">
        <v>1</v>
      </c>
      <c r="C483" t="str">
        <v>UND</v>
      </c>
      <c r="D483">
        <v>1912</v>
      </c>
      <c r="E483">
        <v>1912</v>
      </c>
    </row>
    <row r="484" spans="1:5" hidden="1">
      <c r="A484" t="str">
        <v>Tapon Liso PVC Sanitario  6"</v>
      </c>
      <c r="B484">
        <v>3</v>
      </c>
      <c r="C484" t="str">
        <v>UND</v>
      </c>
      <c r="D484">
        <v>8600</v>
      </c>
      <c r="E484">
        <v>25800</v>
      </c>
    </row>
    <row r="485" spans="1:5" hidden="1">
      <c r="A485" t="str">
        <v>Tapon Macho Roscar Galvanizado SCH 40 1"</v>
      </c>
      <c r="B485">
        <v>2</v>
      </c>
      <c r="C485" t="str">
        <v>UND</v>
      </c>
      <c r="D485">
        <v>1320</v>
      </c>
      <c r="E485">
        <v>2640</v>
      </c>
    </row>
    <row r="486" spans="1:5" hidden="1">
      <c r="A486" t="str">
        <v>Tapon Macho Roscar Galvanizado SCH 40 1/2"</v>
      </c>
      <c r="B486">
        <v>1</v>
      </c>
      <c r="C486" t="str">
        <v>UND</v>
      </c>
      <c r="D486">
        <v>880</v>
      </c>
      <c r="E486">
        <v>880</v>
      </c>
    </row>
    <row r="487" spans="1:5" hidden="1">
      <c r="A487" t="str">
        <v>Tapon Macho Roscar Galvanizado SCH 40 3"</v>
      </c>
      <c r="B487">
        <v>2</v>
      </c>
      <c r="C487" t="str">
        <v>UND</v>
      </c>
      <c r="D487">
        <v>10384</v>
      </c>
      <c r="E487">
        <v>20768</v>
      </c>
    </row>
    <row r="488" spans="1:5" hidden="1">
      <c r="A488" t="str">
        <v>Tapon Macho Roscar Galvanizado SCH 40 3/4"</v>
      </c>
      <c r="B488">
        <v>4</v>
      </c>
      <c r="C488" t="str">
        <v>UND</v>
      </c>
      <c r="D488">
        <v>1256</v>
      </c>
      <c r="E488">
        <v>5024</v>
      </c>
    </row>
    <row r="489" spans="1:5" hidden="1">
      <c r="A489" t="str">
        <v>Tapon Roscado Hembra PVC Presion SCH 40 1"</v>
      </c>
      <c r="B489">
        <v>9</v>
      </c>
      <c r="C489" t="str">
        <v>UND</v>
      </c>
      <c r="D489">
        <v>1245.1199999999999</v>
      </c>
      <c r="E489">
        <v>11206.079999999998</v>
      </c>
    </row>
    <row r="490" spans="1:5" hidden="1">
      <c r="A490" t="str">
        <v>Tapon Roscado Hembra PVC Presion SCH 40 1/2"</v>
      </c>
      <c r="B490">
        <v>37</v>
      </c>
      <c r="C490" t="str">
        <v>UND</v>
      </c>
      <c r="D490">
        <v>298.56</v>
      </c>
      <c r="E490">
        <v>11046.72</v>
      </c>
    </row>
    <row r="491" spans="1:5" hidden="1">
      <c r="A491" t="str">
        <v>Tapon Roscado Hembra PVC Presion SCH 40 1-1/4"</v>
      </c>
      <c r="B491">
        <v>2</v>
      </c>
      <c r="C491" t="str">
        <v>UND</v>
      </c>
      <c r="D491">
        <v>2203.6799999999998</v>
      </c>
      <c r="E491">
        <v>4407.3599999999997</v>
      </c>
    </row>
    <row r="492" spans="1:5" hidden="1">
      <c r="A492" t="str">
        <v>Tapon Roscado Hembra PVC Presion SCH 40 2"</v>
      </c>
      <c r="B492">
        <v>17</v>
      </c>
      <c r="C492" t="str">
        <v>UND</v>
      </c>
      <c r="D492">
        <v>4768.32</v>
      </c>
      <c r="E492">
        <v>81061.440000000002</v>
      </c>
    </row>
    <row r="493" spans="1:5" hidden="1">
      <c r="A493" t="str">
        <v>Tapon Roscado Hembra PVC Presion SCH 40 2-1/2"</v>
      </c>
      <c r="B493">
        <v>1</v>
      </c>
      <c r="C493" t="str">
        <v>UND</v>
      </c>
      <c r="D493">
        <v>10988.16</v>
      </c>
      <c r="E493">
        <v>10988.16</v>
      </c>
    </row>
    <row r="494" spans="1:5" hidden="1">
      <c r="A494" t="str">
        <v>Tapon Roscado Hembra PVC Presion SCH 40 3/4"</v>
      </c>
      <c r="B494">
        <v>5</v>
      </c>
      <c r="C494" t="str">
        <v>UND</v>
      </c>
      <c r="D494">
        <v>875.04</v>
      </c>
      <c r="E494">
        <v>4375.2</v>
      </c>
    </row>
    <row r="495" spans="1:5" hidden="1">
      <c r="A495" t="str">
        <v>Tapon Roscado Hembra PVC Presion SCH 40 4"</v>
      </c>
      <c r="B495">
        <v>1</v>
      </c>
      <c r="C495" t="str">
        <v>UND</v>
      </c>
      <c r="D495">
        <v>32297.279999999999</v>
      </c>
      <c r="E495">
        <v>32297.279999999999</v>
      </c>
    </row>
    <row r="496" spans="1:5" hidden="1">
      <c r="A496" t="str">
        <v>Tee CPVC SCH 40 (Ultratemp)1"</v>
      </c>
      <c r="B496">
        <v>11</v>
      </c>
      <c r="C496" t="str">
        <v>UND</v>
      </c>
      <c r="D496">
        <v>10580</v>
      </c>
      <c r="E496">
        <v>116380</v>
      </c>
    </row>
    <row r="497" spans="1:5" hidden="1">
      <c r="A497" t="str">
        <v>Tee CPVC SCH 40 (Ultratemp)1-1/2"</v>
      </c>
      <c r="B497">
        <v>4</v>
      </c>
      <c r="C497" t="str">
        <v>UND</v>
      </c>
      <c r="D497">
        <v>28946</v>
      </c>
      <c r="E497">
        <v>115784</v>
      </c>
    </row>
    <row r="498" spans="1:5" hidden="1">
      <c r="A498" t="str">
        <v>Tee CPVC SCH 40 (Ultratemp)1-1/4"</v>
      </c>
      <c r="B498">
        <v>2</v>
      </c>
      <c r="C498" t="str">
        <v>UND</v>
      </c>
      <c r="D498">
        <v>17730</v>
      </c>
      <c r="E498">
        <v>35460</v>
      </c>
    </row>
    <row r="499" spans="1:5" hidden="1">
      <c r="A499" t="str">
        <v>Tee CPVC SCH 40 (Ultratemp)2"</v>
      </c>
      <c r="B499">
        <v>1</v>
      </c>
      <c r="C499" t="str">
        <v>UND</v>
      </c>
      <c r="D499">
        <v>52664</v>
      </c>
      <c r="E499">
        <v>52664</v>
      </c>
    </row>
    <row r="500" spans="1:5" hidden="1">
      <c r="A500" t="str">
        <v>Tee Inox 304 L SCH 10 Soldar 1-1/2"</v>
      </c>
      <c r="B500">
        <v>3</v>
      </c>
      <c r="C500" t="str">
        <v>UND</v>
      </c>
      <c r="D500">
        <v>25304</v>
      </c>
      <c r="E500">
        <v>75912</v>
      </c>
    </row>
    <row r="501" spans="1:5" hidden="1">
      <c r="A501" t="str">
        <v>Tee Inox 304 L SCH 10 Soldar 2-1/2"</v>
      </c>
      <c r="B501">
        <v>3</v>
      </c>
      <c r="C501" t="str">
        <v>UND</v>
      </c>
      <c r="D501">
        <v>40200</v>
      </c>
      <c r="E501">
        <v>120600</v>
      </c>
    </row>
    <row r="502" spans="1:5" hidden="1">
      <c r="A502" t="str">
        <v>Tee Lisa PVC Presion SCH 40 2"</v>
      </c>
      <c r="B502">
        <v>17</v>
      </c>
      <c r="C502" t="str">
        <v>UND</v>
      </c>
      <c r="D502">
        <v>8992.32</v>
      </c>
      <c r="E502">
        <v>152869.44</v>
      </c>
    </row>
    <row r="503" spans="1:5" hidden="1">
      <c r="A503" t="str">
        <v>Tee PP Azul 20</v>
      </c>
      <c r="B503">
        <v>22</v>
      </c>
      <c r="C503" t="str">
        <v>UND</v>
      </c>
      <c r="D503">
        <v>1384</v>
      </c>
      <c r="E503">
        <v>30448</v>
      </c>
    </row>
    <row r="504" spans="1:5" hidden="1">
      <c r="A504" t="str">
        <v>Tee PP Azul 32</v>
      </c>
      <c r="B504">
        <v>37</v>
      </c>
      <c r="C504" t="str">
        <v>UND</v>
      </c>
      <c r="D504">
        <v>4888</v>
      </c>
      <c r="E504">
        <v>180856</v>
      </c>
    </row>
    <row r="505" spans="1:5" hidden="1">
      <c r="A505" t="str">
        <v>Tee PP Azul 50</v>
      </c>
      <c r="B505">
        <v>3</v>
      </c>
      <c r="C505" t="str">
        <v>UND</v>
      </c>
      <c r="D505">
        <v>13264</v>
      </c>
      <c r="E505">
        <v>39792</v>
      </c>
    </row>
    <row r="506" spans="1:5" hidden="1">
      <c r="A506" t="str">
        <v>Tee PP Verde 32</v>
      </c>
      <c r="B506">
        <v>2</v>
      </c>
      <c r="C506" t="str">
        <v>UND</v>
      </c>
      <c r="D506">
        <v>4888</v>
      </c>
      <c r="E506">
        <v>9776</v>
      </c>
    </row>
    <row r="507" spans="1:5" hidden="1">
      <c r="A507" t="str">
        <v>Tee PVC Lisa  Presion SCH 80 1"</v>
      </c>
      <c r="B507">
        <v>5</v>
      </c>
      <c r="C507" t="str">
        <v>UND</v>
      </c>
      <c r="D507">
        <v>14624.8</v>
      </c>
      <c r="E507">
        <v>73124</v>
      </c>
    </row>
    <row r="508" spans="1:5" hidden="1">
      <c r="A508" t="str">
        <v>Tee PVC Lisa Presion SCH 40 1"</v>
      </c>
      <c r="B508">
        <v>-3</v>
      </c>
      <c r="C508" t="str">
        <v>UND</v>
      </c>
      <c r="D508">
        <v>1665.6</v>
      </c>
      <c r="E508">
        <v>-4996.7999999999993</v>
      </c>
    </row>
    <row r="509" spans="1:5" hidden="1">
      <c r="A509" t="str">
        <v>Tee PVC Lisa Presion SCH 40 1-1/4"</v>
      </c>
      <c r="B509">
        <v>10</v>
      </c>
      <c r="C509" t="str">
        <v>UND</v>
      </c>
      <c r="D509">
        <v>4301.76</v>
      </c>
      <c r="E509">
        <v>43017.600000000006</v>
      </c>
    </row>
    <row r="510" spans="1:5" hidden="1">
      <c r="A510" t="str">
        <v>Tee PVC Presion SCH 40 1/2"</v>
      </c>
      <c r="B510">
        <v>27</v>
      </c>
      <c r="C510" t="str">
        <v>UND</v>
      </c>
      <c r="D510">
        <v>504</v>
      </c>
      <c r="E510">
        <v>13608</v>
      </c>
    </row>
    <row r="511" spans="1:5" hidden="1">
      <c r="A511" t="str">
        <v>Tee PVC Presion SCH 40 3/4"</v>
      </c>
      <c r="B511">
        <v>49</v>
      </c>
      <c r="C511" t="str">
        <v>UND</v>
      </c>
      <c r="D511">
        <v>852.48</v>
      </c>
      <c r="E511">
        <v>41771.520000000004</v>
      </c>
    </row>
    <row r="512" spans="1:5" hidden="1">
      <c r="A512" t="str">
        <v>Tee PVC Presion SCH 40 6" CxC Durman</v>
      </c>
      <c r="B512">
        <v>3</v>
      </c>
      <c r="C512" t="str">
        <v>UND</v>
      </c>
      <c r="D512">
        <v>97824</v>
      </c>
      <c r="E512">
        <v>293472</v>
      </c>
    </row>
    <row r="513" spans="1:5" hidden="1">
      <c r="A513" t="str">
        <v>Tee PVC Presion SCH 80 3/4"</v>
      </c>
      <c r="B513">
        <v>1</v>
      </c>
      <c r="C513" t="str">
        <v>UND</v>
      </c>
      <c r="D513">
        <v>7512</v>
      </c>
      <c r="E513">
        <v>7512</v>
      </c>
    </row>
    <row r="514" spans="1:5" hidden="1">
      <c r="A514" t="str">
        <v>Tee PVC Presion Soldar SCH 80 1-1/4"</v>
      </c>
      <c r="B514">
        <v>1</v>
      </c>
      <c r="C514" t="str">
        <v>UND</v>
      </c>
      <c r="D514">
        <v>39376</v>
      </c>
      <c r="E514">
        <v>39376</v>
      </c>
    </row>
    <row r="515" spans="1:5" hidden="1">
      <c r="A515" t="str">
        <v>Tee PVC Sanitario  1-1/2" CxC</v>
      </c>
      <c r="B515">
        <v>7</v>
      </c>
      <c r="C515" t="str">
        <v>UND</v>
      </c>
      <c r="D515">
        <v>3648</v>
      </c>
      <c r="E515">
        <v>25536</v>
      </c>
    </row>
    <row r="516" spans="1:5" hidden="1">
      <c r="A516" t="str">
        <v>Tee PVC Sanitario  2" CxC</v>
      </c>
      <c r="B516">
        <v>6</v>
      </c>
      <c r="C516" t="str">
        <v>UND</v>
      </c>
      <c r="D516">
        <v>4180.5</v>
      </c>
      <c r="E516">
        <v>25083</v>
      </c>
    </row>
    <row r="517" spans="1:5" hidden="1">
      <c r="A517" t="str">
        <v>Tee PVC Sanitario  6" CxC</v>
      </c>
      <c r="B517">
        <v>1</v>
      </c>
      <c r="C517" t="str">
        <v>UND</v>
      </c>
      <c r="D517">
        <v>99278</v>
      </c>
      <c r="E517">
        <v>99278</v>
      </c>
    </row>
    <row r="518" spans="1:5" hidden="1">
      <c r="A518" t="str">
        <v>Tee PVC Sanitario Soldar 4" CxC</v>
      </c>
      <c r="B518">
        <v>4</v>
      </c>
      <c r="C518" t="str">
        <v>UND</v>
      </c>
      <c r="D518">
        <v>10933</v>
      </c>
      <c r="E518">
        <v>43732</v>
      </c>
    </row>
    <row r="519" spans="1:5" hidden="1">
      <c r="A519" t="str">
        <v xml:space="preserve">Tee Reducida Soldar PVC Presión  SCH 80 1-1/2x1/2" </v>
      </c>
      <c r="B519">
        <v>1</v>
      </c>
      <c r="C519" t="str">
        <v>UND</v>
      </c>
      <c r="D519">
        <v>57568</v>
      </c>
      <c r="E519">
        <v>57568</v>
      </c>
    </row>
    <row r="520" spans="1:5" hidden="1">
      <c r="A520" t="str">
        <v>Tee Roscar Galvanizada SCH 40 1"</v>
      </c>
      <c r="B520">
        <v>7</v>
      </c>
      <c r="C520" t="str">
        <v>UND</v>
      </c>
      <c r="D520">
        <v>4576</v>
      </c>
      <c r="E520">
        <v>32032</v>
      </c>
    </row>
    <row r="521" spans="1:5" hidden="1">
      <c r="A521" t="str">
        <v>Tee Roscar Galvanizada SCH 40 1/2"</v>
      </c>
      <c r="B521">
        <v>24</v>
      </c>
      <c r="C521" t="str">
        <v>UND</v>
      </c>
      <c r="D521">
        <v>1864</v>
      </c>
      <c r="E521">
        <v>44736</v>
      </c>
    </row>
    <row r="522" spans="1:5" hidden="1">
      <c r="A522" t="str">
        <v>Tee Roscar Galvanizada SCH 40 1/4"</v>
      </c>
      <c r="B522">
        <v>1</v>
      </c>
      <c r="C522" t="str">
        <v>UND</v>
      </c>
      <c r="D522">
        <v>2192</v>
      </c>
      <c r="E522">
        <v>2192</v>
      </c>
    </row>
    <row r="523" spans="1:5" hidden="1">
      <c r="A523" t="str">
        <v>Tee Roscar Galvanizada SCH 40 1-1/2"</v>
      </c>
      <c r="B523">
        <v>4</v>
      </c>
      <c r="C523" t="str">
        <v>UND</v>
      </c>
      <c r="D523">
        <v>9112</v>
      </c>
      <c r="E523">
        <v>36448</v>
      </c>
    </row>
    <row r="524" spans="1:5" hidden="1">
      <c r="A524" t="str">
        <v>Tee Roscar Galvanizada SCH 40 1-1/4"</v>
      </c>
      <c r="B524">
        <v>2</v>
      </c>
      <c r="C524" t="str">
        <v>UND</v>
      </c>
      <c r="D524">
        <v>5893</v>
      </c>
      <c r="E524">
        <v>11786</v>
      </c>
    </row>
    <row r="525" spans="1:5" hidden="1">
      <c r="A525" t="str">
        <v>Tee Roscar Galvanizada SCH 40 2"</v>
      </c>
      <c r="B525">
        <v>1</v>
      </c>
      <c r="C525" t="str">
        <v>UND</v>
      </c>
      <c r="D525">
        <v>17000</v>
      </c>
      <c r="E525">
        <v>17000</v>
      </c>
    </row>
    <row r="526" spans="1:5" hidden="1">
      <c r="A526" t="str">
        <v>Tee Roscar Galvanizada SCH 40 2-1/2"</v>
      </c>
      <c r="B526">
        <v>1</v>
      </c>
      <c r="C526" t="str">
        <v>UND</v>
      </c>
      <c r="D526">
        <v>27200</v>
      </c>
      <c r="E526">
        <v>27200</v>
      </c>
    </row>
    <row r="527" spans="1:5" hidden="1">
      <c r="A527" t="str">
        <v>Tee Roscar Inox 304 SCH 40 1"</v>
      </c>
      <c r="B527">
        <v>1</v>
      </c>
      <c r="C527" t="str">
        <v>UND</v>
      </c>
      <c r="D527">
        <v>15024</v>
      </c>
      <c r="E527">
        <v>15024</v>
      </c>
    </row>
    <row r="528" spans="1:5" hidden="1">
      <c r="A528" t="str">
        <v>Tee Roscar Inox 304 SCH 40 1/2"</v>
      </c>
      <c r="B528">
        <v>3</v>
      </c>
      <c r="C528" t="str">
        <v>UND</v>
      </c>
      <c r="D528">
        <v>15360</v>
      </c>
      <c r="E528">
        <v>46080</v>
      </c>
    </row>
    <row r="529" spans="1:5" hidden="1">
      <c r="A529" t="str">
        <v>Tee Roscar Inox 304 SCH 40 1-1/2"</v>
      </c>
      <c r="B529">
        <v>4</v>
      </c>
      <c r="C529" t="str">
        <v>UND</v>
      </c>
      <c r="D529">
        <v>37880</v>
      </c>
      <c r="E529">
        <v>151520</v>
      </c>
    </row>
    <row r="530" spans="1:5" hidden="1">
      <c r="A530" t="str">
        <v>Tee Roscar Inox 304 SCH 40 2"</v>
      </c>
      <c r="B530">
        <v>7</v>
      </c>
      <c r="C530" t="str">
        <v>UND</v>
      </c>
      <c r="D530">
        <v>48220.2</v>
      </c>
      <c r="E530">
        <v>337541.39999999997</v>
      </c>
    </row>
    <row r="531" spans="1:5" hidden="1">
      <c r="A531" t="str">
        <v>Tee Soldar AC SCH 40 1/2"</v>
      </c>
      <c r="B531">
        <v>2</v>
      </c>
      <c r="C531" t="str">
        <v>UND</v>
      </c>
      <c r="D531">
        <v>2100</v>
      </c>
      <c r="E531">
        <v>4200</v>
      </c>
    </row>
    <row r="532" spans="1:5" hidden="1">
      <c r="A532" t="str">
        <v>Tee Soldar AC SCH 40 1-1/2"</v>
      </c>
      <c r="B532">
        <v>3</v>
      </c>
      <c r="C532" t="str">
        <v>UND</v>
      </c>
      <c r="D532">
        <v>9880</v>
      </c>
      <c r="E532">
        <v>29640</v>
      </c>
    </row>
    <row r="533" spans="1:5" hidden="1">
      <c r="A533" t="str">
        <v>Tee Soldar AC SCH 40 2"</v>
      </c>
      <c r="B533">
        <v>4</v>
      </c>
      <c r="C533" t="str">
        <v>UND</v>
      </c>
      <c r="D533">
        <v>16220</v>
      </c>
      <c r="E533">
        <v>64880</v>
      </c>
    </row>
    <row r="534" spans="1:5" hidden="1">
      <c r="A534" t="str">
        <v>Tee Soldar Inox 304  SCH 10 4"</v>
      </c>
      <c r="B534">
        <v>1</v>
      </c>
      <c r="C534" t="str">
        <v>UND</v>
      </c>
      <c r="D534">
        <v>82016</v>
      </c>
      <c r="E534">
        <v>82016</v>
      </c>
    </row>
    <row r="535" spans="1:5" hidden="1">
      <c r="A535" t="str">
        <v>Tee Soldar Inox 304 SCH 10 1"</v>
      </c>
      <c r="B535">
        <v>6</v>
      </c>
      <c r="C535" t="str">
        <v>UND</v>
      </c>
      <c r="D535">
        <v>18224</v>
      </c>
      <c r="E535">
        <v>109344</v>
      </c>
    </row>
    <row r="536" spans="1:5" hidden="1">
      <c r="A536" t="str">
        <v>Tee Soldar Inox 304 SCH 10 1/2"</v>
      </c>
      <c r="B536">
        <v>14</v>
      </c>
      <c r="C536" t="str">
        <v>UND</v>
      </c>
      <c r="D536">
        <v>11512</v>
      </c>
      <c r="E536">
        <v>161168</v>
      </c>
    </row>
    <row r="537" spans="1:5" hidden="1">
      <c r="A537" t="str">
        <v>Tee Soldar Inox 304 SCH 10 1-1/2"</v>
      </c>
      <c r="B537">
        <v>18</v>
      </c>
      <c r="C537" t="str">
        <v>UND</v>
      </c>
      <c r="D537">
        <v>22560</v>
      </c>
      <c r="E537">
        <v>406080</v>
      </c>
    </row>
    <row r="538" spans="1:5" hidden="1">
      <c r="A538" t="str">
        <v>Tee Soldar Inox 304 SCH 10 2-1/2"</v>
      </c>
      <c r="B538">
        <v>4</v>
      </c>
      <c r="C538" t="str">
        <v>UND</v>
      </c>
      <c r="D538">
        <v>50880</v>
      </c>
      <c r="E538">
        <v>203520</v>
      </c>
    </row>
    <row r="539" spans="1:5" hidden="1">
      <c r="A539" t="str">
        <v>Tee Soldar Inox 304 SCH 10 6"</v>
      </c>
      <c r="B539">
        <v>2</v>
      </c>
      <c r="C539" t="str">
        <v>UND</v>
      </c>
      <c r="D539">
        <v>199900</v>
      </c>
      <c r="E539">
        <v>399800</v>
      </c>
    </row>
    <row r="540" spans="1:5" hidden="1">
      <c r="A540" t="str">
        <v>Tee Soldar Inox 316 SCH 10 1-1/2"</v>
      </c>
      <c r="B540">
        <v>2</v>
      </c>
      <c r="C540" t="str">
        <v>UND</v>
      </c>
      <c r="D540">
        <v>29552</v>
      </c>
      <c r="E540">
        <v>59104</v>
      </c>
    </row>
    <row r="541" spans="1:5" hidden="1">
      <c r="A541" t="str">
        <v xml:space="preserve">Tee Soldar PVC Presión Sch 40 1-1/2" </v>
      </c>
      <c r="B541">
        <v>4</v>
      </c>
      <c r="C541" t="str">
        <v>UND</v>
      </c>
      <c r="D541">
        <v>5647.2</v>
      </c>
      <c r="E541">
        <v>22588.799999999999</v>
      </c>
    </row>
    <row r="542" spans="1:5" hidden="1">
      <c r="A542" t="str">
        <v>Tee Soldar PVC Presion SCH 40 2-1/2"</v>
      </c>
      <c r="B542">
        <v>14</v>
      </c>
      <c r="C542" t="str">
        <v>UND</v>
      </c>
      <c r="D542">
        <v>21329.279999999999</v>
      </c>
      <c r="E542">
        <v>298609.91999999998</v>
      </c>
    </row>
    <row r="543" spans="1:5" hidden="1">
      <c r="A543" t="str">
        <v>Tee Soldar PVC Presion SCH 40 3"</v>
      </c>
      <c r="B543">
        <v>3</v>
      </c>
      <c r="C543" t="str">
        <v>UND</v>
      </c>
      <c r="D543">
        <v>33929.279999999999</v>
      </c>
      <c r="E543">
        <v>101787.84</v>
      </c>
    </row>
    <row r="544" spans="1:5" hidden="1">
      <c r="A544" t="str">
        <v>Tee Soldar PVC Presion SCH 40 4"</v>
      </c>
      <c r="B544">
        <v>2</v>
      </c>
      <c r="C544" t="str">
        <v>UND</v>
      </c>
      <c r="D544">
        <v>74040.959999999992</v>
      </c>
      <c r="E544">
        <v>148081.91999999998</v>
      </c>
    </row>
    <row r="545" spans="1:5" hidden="1">
      <c r="A545" t="str">
        <v xml:space="preserve">Tee Soldar PVC Presion SCH 40 6" </v>
      </c>
      <c r="B545">
        <v>4</v>
      </c>
      <c r="C545" t="str">
        <v>UND</v>
      </c>
      <c r="D545">
        <v>97824</v>
      </c>
      <c r="E545">
        <v>391296</v>
      </c>
    </row>
    <row r="546" spans="1:5" hidden="1">
      <c r="A546" t="str">
        <v xml:space="preserve">Tee Soldar PVC Presión Sch 80 1-1/2" </v>
      </c>
      <c r="B546">
        <v>4</v>
      </c>
      <c r="C546" t="str">
        <v>UND</v>
      </c>
      <c r="D546">
        <v>42240</v>
      </c>
      <c r="E546">
        <v>168960</v>
      </c>
    </row>
    <row r="547" spans="1:5" hidden="1">
      <c r="A547" t="str">
        <v>Tee Soldar PVC Presion SCH 80 4"</v>
      </c>
      <c r="B547">
        <v>1</v>
      </c>
      <c r="C547" t="str">
        <v>UND</v>
      </c>
      <c r="D547">
        <v>74176</v>
      </c>
      <c r="E547">
        <v>74176</v>
      </c>
    </row>
    <row r="548" spans="1:5" hidden="1">
      <c r="A548" t="str">
        <v>Tornillo Cabeza Hexagonal  Cuello Inox 304 1/2x1-1/8"</v>
      </c>
      <c r="B548">
        <v>14</v>
      </c>
      <c r="C548" t="str">
        <v>NO ELEMENTO</v>
      </c>
      <c r="D548" t="e">
        <v>#N/A</v>
      </c>
      <c r="E548">
        <v>0</v>
      </c>
    </row>
    <row r="549" spans="1:5" hidden="1">
      <c r="A549" t="str">
        <v>Tornillo Cabeza Hexagonal  Cuello Inox 304 1/2x2"</v>
      </c>
      <c r="B549">
        <v>3</v>
      </c>
      <c r="C549" t="str">
        <v>UND</v>
      </c>
      <c r="D549">
        <v>0</v>
      </c>
      <c r="E549">
        <v>0</v>
      </c>
    </row>
    <row r="550" spans="1:5" hidden="1">
      <c r="A550" t="str">
        <v>Tornillo Cabeza Hexagonal  Cuello Inox 304 1/2x3-1/2"</v>
      </c>
      <c r="B550">
        <v>6</v>
      </c>
      <c r="C550" t="str">
        <v>UND</v>
      </c>
      <c r="D550">
        <v>0</v>
      </c>
      <c r="E550">
        <v>0</v>
      </c>
    </row>
    <row r="551" spans="1:5" hidden="1">
      <c r="A551" t="str">
        <v>Tornillo Cabeza Hexagonal  Cuello Inox 304 1/2x5"</v>
      </c>
      <c r="B551">
        <v>1</v>
      </c>
      <c r="C551" t="str">
        <v>UND</v>
      </c>
      <c r="D551">
        <v>0</v>
      </c>
      <c r="E551">
        <v>0</v>
      </c>
    </row>
    <row r="552" spans="1:5" hidden="1">
      <c r="A552" t="str">
        <v>Tornillo Cabeza Hexagonal  Cuello Inox 304 1/4x1"</v>
      </c>
      <c r="B552">
        <v>151</v>
      </c>
      <c r="C552" t="str">
        <v>UND</v>
      </c>
      <c r="D552">
        <v>0</v>
      </c>
      <c r="E552">
        <v>0</v>
      </c>
    </row>
    <row r="553" spans="1:5" hidden="1">
      <c r="A553" t="str">
        <v>Tornillo Cabeza Hexagonal  Cuello Inox 304 1/4x1-1/2"</v>
      </c>
      <c r="B553">
        <v>43</v>
      </c>
      <c r="C553" t="str">
        <v>UND</v>
      </c>
      <c r="D553">
        <v>325</v>
      </c>
      <c r="E553">
        <v>13975</v>
      </c>
    </row>
    <row r="554" spans="1:5" hidden="1">
      <c r="A554" t="str">
        <v>Tornillo Cabeza Hexagonal  Cuello Inox 304 1/4x1-1/4"</v>
      </c>
      <c r="B554">
        <v>152</v>
      </c>
      <c r="C554" t="str">
        <v>UND</v>
      </c>
      <c r="D554">
        <v>237</v>
      </c>
      <c r="E554">
        <v>36024</v>
      </c>
    </row>
    <row r="555" spans="1:5" hidden="1">
      <c r="A555" t="str">
        <v>Tornillo Cabeza Hexagonal  Cuello Inox 304 1/4x2"</v>
      </c>
      <c r="B555">
        <v>116</v>
      </c>
      <c r="C555" t="str">
        <v>UND</v>
      </c>
      <c r="D555">
        <v>362</v>
      </c>
      <c r="E555">
        <v>41992</v>
      </c>
    </row>
    <row r="556" spans="1:5" hidden="1">
      <c r="A556" t="str">
        <v>Tornillo Cabeza Hexagonal  Cuello Inox 304 3/8x1-1/2"</v>
      </c>
      <c r="B556">
        <v>6</v>
      </c>
      <c r="C556" t="str">
        <v>UND</v>
      </c>
      <c r="D556">
        <v>0</v>
      </c>
      <c r="E556">
        <v>0</v>
      </c>
    </row>
    <row r="557" spans="1:5" hidden="1">
      <c r="A557" t="str">
        <v>Tornillo Cabeza Hexagonal  Cuello Inox 304 3/8x6"</v>
      </c>
      <c r="B557">
        <v>68</v>
      </c>
      <c r="C557" t="str">
        <v>UND</v>
      </c>
      <c r="D557">
        <v>0</v>
      </c>
      <c r="E557">
        <v>0</v>
      </c>
    </row>
    <row r="558" spans="1:5" hidden="1">
      <c r="A558" t="str">
        <v>Tornillo Cabeza Hexagonal  Cuello Inox 304 5/8x3-1/2"</v>
      </c>
      <c r="B558">
        <v>20</v>
      </c>
      <c r="C558" t="str">
        <v>UND</v>
      </c>
      <c r="D558">
        <v>0</v>
      </c>
      <c r="E558">
        <v>0</v>
      </c>
    </row>
    <row r="559" spans="1:5" hidden="1">
      <c r="A559" t="str">
        <v>Tornillo Cabeza Hexagonal  Cuello Inox 304 7/16x2"</v>
      </c>
      <c r="B559">
        <v>2</v>
      </c>
      <c r="C559" t="str">
        <v>UND</v>
      </c>
      <c r="D559">
        <v>0</v>
      </c>
      <c r="E559">
        <v>0</v>
      </c>
    </row>
    <row r="560" spans="1:5" hidden="1">
      <c r="A560" t="str">
        <v>Tornillo Cabeza Hexagonal  Cuello Inox 304 7/16x3"</v>
      </c>
      <c r="B560">
        <v>1</v>
      </c>
      <c r="C560" t="str">
        <v>UND</v>
      </c>
      <c r="D560">
        <v>0</v>
      </c>
      <c r="E560">
        <v>0</v>
      </c>
    </row>
    <row r="561" spans="1:5" hidden="1">
      <c r="A561" t="str">
        <v>Tornillo Cabeza Hexagonal  Rosca Continua Galvanizado en caliente 1/4x1"</v>
      </c>
      <c r="B561">
        <v>1</v>
      </c>
      <c r="C561" t="str">
        <v>UND</v>
      </c>
      <c r="D561">
        <v>0</v>
      </c>
      <c r="E561">
        <v>0</v>
      </c>
    </row>
    <row r="562" spans="1:5" hidden="1">
      <c r="A562" t="str">
        <v>Tornillo Cabeza Hexagonal  Rosca Continua Galvanizado en caliente 1/4x5/8"</v>
      </c>
      <c r="B562">
        <v>1</v>
      </c>
      <c r="C562" t="str">
        <v>UND</v>
      </c>
      <c r="D562">
        <v>0</v>
      </c>
      <c r="E562">
        <v>0</v>
      </c>
    </row>
    <row r="563" spans="1:5" hidden="1">
      <c r="A563" t="str">
        <v>Tornillo Cabeza Hexagonal  Rosca Continua Galvanizado en caliente 3/4x4"</v>
      </c>
      <c r="B563">
        <v>32</v>
      </c>
      <c r="C563" t="str">
        <v>UND</v>
      </c>
      <c r="D563">
        <v>2703</v>
      </c>
      <c r="E563">
        <v>86496</v>
      </c>
    </row>
    <row r="564" spans="1:5" hidden="1">
      <c r="A564" t="str">
        <v>Tornillo Cabeza Hexagonal  Rosca Continua Galvanizado en caliente 3/8x1"</v>
      </c>
      <c r="B564">
        <v>60</v>
      </c>
      <c r="C564" t="str">
        <v>UND</v>
      </c>
      <c r="D564">
        <v>233.2</v>
      </c>
      <c r="E564">
        <v>13992</v>
      </c>
    </row>
    <row r="565" spans="1:5" hidden="1">
      <c r="A565" t="str">
        <v>Tornillo Cabeza Hexagonal  Rosca Continua Galvanizado en caliente 5/16x 2-1/2"</v>
      </c>
      <c r="B565">
        <v>1</v>
      </c>
      <c r="C565" t="str">
        <v>UND</v>
      </c>
      <c r="D565">
        <v>0</v>
      </c>
      <c r="E565">
        <v>0</v>
      </c>
    </row>
    <row r="566" spans="1:5" hidden="1">
      <c r="A566" t="str">
        <v>Tornillo Cabeza Hexagonal  Rosca Continua Galvanizado Frio 1/2x 2-1/2"</v>
      </c>
      <c r="B566">
        <v>14</v>
      </c>
      <c r="C566" t="str">
        <v>UND</v>
      </c>
      <c r="D566">
        <v>0</v>
      </c>
      <c r="E566">
        <v>0</v>
      </c>
    </row>
    <row r="567" spans="1:5" hidden="1">
      <c r="A567" t="str">
        <v>Tornillo Cabeza Hexagonal  Rosca Continua Galvanizado Frio 1x5-1/2"</v>
      </c>
      <c r="B567">
        <v>1</v>
      </c>
      <c r="C567" t="str">
        <v>UND</v>
      </c>
      <c r="D567">
        <v>0</v>
      </c>
      <c r="E567">
        <v>0</v>
      </c>
    </row>
    <row r="568" spans="1:5" hidden="1">
      <c r="A568" t="str">
        <v>Tornillo Cabeza Hexagonal  Rosca Continua Galvanizado Frio 3/8 x4"</v>
      </c>
      <c r="B568">
        <v>5</v>
      </c>
      <c r="C568" t="str">
        <v>UND</v>
      </c>
      <c r="D568">
        <v>0</v>
      </c>
      <c r="E568">
        <v>0</v>
      </c>
    </row>
    <row r="569" spans="1:5" hidden="1">
      <c r="A569" t="str">
        <v>Tornillo Cabeza Hexagonal  Rosca Continua Galvanizado Frio 3/8x1"</v>
      </c>
      <c r="B569">
        <v>6</v>
      </c>
      <c r="C569" t="str">
        <v>UND</v>
      </c>
      <c r="D569">
        <v>233</v>
      </c>
      <c r="E569">
        <v>1398</v>
      </c>
    </row>
    <row r="570" spans="1:5" hidden="1">
      <c r="A570" t="str">
        <v>Tornillo Cabeza Hexagonal  Rosca Continua Galvanizado Frio 3/8x1-1/4"</v>
      </c>
      <c r="B570">
        <v>4</v>
      </c>
      <c r="C570" t="str">
        <v>UND</v>
      </c>
      <c r="D570">
        <v>0</v>
      </c>
      <c r="E570">
        <v>0</v>
      </c>
    </row>
    <row r="571" spans="1:5" hidden="1">
      <c r="A571" t="str">
        <v>Tornillo Cabeza Hexagonal  Rosca Continua Galvanizado Frio 5/16 x1-1/2"</v>
      </c>
      <c r="B571">
        <v>24</v>
      </c>
      <c r="C571" t="str">
        <v>UND</v>
      </c>
      <c r="D571">
        <v>0</v>
      </c>
      <c r="E571">
        <v>0</v>
      </c>
    </row>
    <row r="572" spans="1:5" hidden="1">
      <c r="A572" t="str">
        <v>Tornillo Cabeza Hexagonal  Rosca Continua Galvanizado Frio 5/16x2"</v>
      </c>
      <c r="B572">
        <v>1</v>
      </c>
      <c r="C572" t="str">
        <v>UND</v>
      </c>
      <c r="D572">
        <v>0</v>
      </c>
      <c r="E572">
        <v>0</v>
      </c>
    </row>
    <row r="573" spans="1:5" hidden="1">
      <c r="A573" t="str">
        <v>Tornillo Cabeza Hexagonal  Rosca Continua Galvanizado Frio 5/16x2-1/2"</v>
      </c>
      <c r="B573">
        <v>1</v>
      </c>
      <c r="C573" t="str">
        <v>UND</v>
      </c>
      <c r="D573">
        <v>0</v>
      </c>
      <c r="E573">
        <v>0</v>
      </c>
    </row>
    <row r="574" spans="1:5" hidden="1">
      <c r="A574" t="str">
        <v>Tornillo Cabeza Hexagonal cuello Galvanizado en caliente 1/2x1-1/2"</v>
      </c>
      <c r="B574">
        <v>111</v>
      </c>
      <c r="C574" t="str">
        <v>UND</v>
      </c>
      <c r="D574">
        <v>1988</v>
      </c>
      <c r="E574">
        <v>220668</v>
      </c>
    </row>
    <row r="575" spans="1:5" hidden="1">
      <c r="A575" t="str">
        <v>Tornillo Cabeza Hexagonal cuello Galvanizado en caliente 1/2x2"</v>
      </c>
      <c r="B575">
        <v>4</v>
      </c>
      <c r="C575" t="str">
        <v>UND</v>
      </c>
      <c r="D575">
        <v>0</v>
      </c>
      <c r="E575">
        <v>0</v>
      </c>
    </row>
    <row r="576" spans="1:5" hidden="1">
      <c r="A576" t="str">
        <v>Tornillo Cabeza Hexagonal cuello Galvanizado en caliente 1/2x2-1/2"</v>
      </c>
      <c r="B576">
        <v>1</v>
      </c>
      <c r="C576" t="str">
        <v>UND</v>
      </c>
      <c r="D576">
        <v>1800</v>
      </c>
      <c r="E576">
        <v>1800</v>
      </c>
    </row>
    <row r="577" spans="1:5" hidden="1">
      <c r="A577" t="str">
        <v>Tornillo Cabeza Hexagonal cuello Galvanizado en caliente 1/2x3"</v>
      </c>
      <c r="B577">
        <v>24</v>
      </c>
      <c r="C577" t="str">
        <v>UND</v>
      </c>
      <c r="D577">
        <v>809</v>
      </c>
      <c r="E577">
        <v>19416</v>
      </c>
    </row>
    <row r="578" spans="1:5" hidden="1">
      <c r="A578" t="str">
        <v>Tornillo Cabeza Hexagonal cuello Galvanizado en caliente 1/2x4"</v>
      </c>
      <c r="B578">
        <v>2</v>
      </c>
      <c r="C578" t="str">
        <v>UND</v>
      </c>
      <c r="D578">
        <v>0</v>
      </c>
      <c r="E578">
        <v>0</v>
      </c>
    </row>
    <row r="579" spans="1:5" hidden="1">
      <c r="A579" t="str">
        <v>Tornillo Cabeza Hexagonal cuello Galvanizado en caliente 1/2x5"</v>
      </c>
      <c r="B579">
        <v>106</v>
      </c>
      <c r="C579" t="str">
        <v>UND</v>
      </c>
      <c r="D579">
        <v>0</v>
      </c>
      <c r="E579">
        <v>0</v>
      </c>
    </row>
    <row r="580" spans="1:5" hidden="1">
      <c r="A580" t="str">
        <v>Tornillo Cabeza Hexagonal cuello Galvanizado en caliente 1-1/8x6"</v>
      </c>
      <c r="B580">
        <v>19</v>
      </c>
      <c r="C580" t="str">
        <v>UND</v>
      </c>
      <c r="D580">
        <v>0</v>
      </c>
      <c r="E580">
        <v>0</v>
      </c>
    </row>
    <row r="581" spans="1:5" hidden="1">
      <c r="A581" t="str">
        <v>Tornillo Cabeza Hexagonal cuello Galvanizado en caliente 1-3/16x2-1/2"</v>
      </c>
      <c r="B581">
        <v>6</v>
      </c>
      <c r="C581" t="str">
        <v>UND</v>
      </c>
      <c r="D581">
        <v>0</v>
      </c>
      <c r="E581">
        <v>0</v>
      </c>
    </row>
    <row r="582" spans="1:5" hidden="1">
      <c r="A582" t="str">
        <v>Tornillo Cabeza Hexagonal cuello Galvanizado en caliente 1-3/16x5-1/2"</v>
      </c>
      <c r="B582">
        <v>1</v>
      </c>
      <c r="C582" t="str">
        <v>UND</v>
      </c>
      <c r="D582">
        <v>0</v>
      </c>
      <c r="E582">
        <v>0</v>
      </c>
    </row>
    <row r="583" spans="1:5" hidden="1">
      <c r="A583" t="str">
        <v>Tornillo Cabeza Hexagonal cuello Galvanizado en caliente 1-3/16x8"</v>
      </c>
      <c r="B583">
        <v>13</v>
      </c>
      <c r="C583" t="str">
        <v>UND</v>
      </c>
      <c r="D583">
        <v>0</v>
      </c>
      <c r="E583">
        <v>0</v>
      </c>
    </row>
    <row r="584" spans="1:5" hidden="1">
      <c r="A584" t="str">
        <v>Tornillo Cabeza Hexagonal cuello Galvanizado en caliente 1x3-1/2"</v>
      </c>
      <c r="B584">
        <v>1</v>
      </c>
      <c r="C584" t="str">
        <v>UND</v>
      </c>
      <c r="D584">
        <v>0</v>
      </c>
      <c r="E584">
        <v>0</v>
      </c>
    </row>
    <row r="585" spans="1:5" hidden="1">
      <c r="A585" t="str">
        <v>Tornillo Cabeza Hexagonal cuello Galvanizado en caliente 1x6"</v>
      </c>
      <c r="B585">
        <v>20</v>
      </c>
      <c r="C585" t="str">
        <v>UND</v>
      </c>
      <c r="D585">
        <v>0</v>
      </c>
      <c r="E585">
        <v>0</v>
      </c>
    </row>
    <row r="586" spans="1:5" hidden="1">
      <c r="A586" t="str">
        <v>Tornillo Cabeza Hexagonal cuello Galvanizado en caliente 1x7"</v>
      </c>
      <c r="B586">
        <v>20</v>
      </c>
      <c r="C586" t="str">
        <v>UND</v>
      </c>
      <c r="D586">
        <v>0</v>
      </c>
      <c r="E586">
        <v>0</v>
      </c>
    </row>
    <row r="587" spans="1:5" hidden="1">
      <c r="A587" t="str">
        <v>Tornillo Cabeza Hexagonal cuello Galvanizado en caliente 3/4x3"</v>
      </c>
      <c r="B587">
        <v>22</v>
      </c>
      <c r="C587" t="str">
        <v>UND</v>
      </c>
      <c r="D587">
        <v>2099.8000000000002</v>
      </c>
      <c r="E587">
        <v>46195.600000000006</v>
      </c>
    </row>
    <row r="588" spans="1:5" hidden="1">
      <c r="A588" t="str">
        <v>Tornillo Cabeza Hexagonal cuello Galvanizado en caliente 3/4x3-1/2"</v>
      </c>
      <c r="B588">
        <v>32</v>
      </c>
      <c r="C588" t="str">
        <v>UND</v>
      </c>
      <c r="D588">
        <v>2782.64</v>
      </c>
      <c r="E588">
        <v>89044.479999999996</v>
      </c>
    </row>
    <row r="589" spans="1:5" hidden="1">
      <c r="A589" t="str">
        <v>Tornillo Cabeza Hexagonal cuello Galvanizado en caliente 3/4x5"</v>
      </c>
      <c r="B589">
        <v>9</v>
      </c>
      <c r="C589" t="str">
        <v>UND</v>
      </c>
      <c r="D589">
        <v>5573</v>
      </c>
      <c r="E589">
        <v>50157</v>
      </c>
    </row>
    <row r="590" spans="1:5" hidden="1">
      <c r="A590" t="str">
        <v>Tornillo Cabeza Hexagonal cuello Galvanizado en caliente 3/4x5-1/2"</v>
      </c>
      <c r="B590">
        <v>51</v>
      </c>
      <c r="C590" t="str">
        <v>UND</v>
      </c>
      <c r="D590">
        <v>3738.4</v>
      </c>
      <c r="E590">
        <v>190658.4</v>
      </c>
    </row>
    <row r="591" spans="1:5" hidden="1">
      <c r="A591" t="str">
        <v>Tornillo Cabeza Hexagonal cuello Galvanizado en caliente 3/4x6"</v>
      </c>
      <c r="B591">
        <v>58</v>
      </c>
      <c r="C591" t="str">
        <v>UND</v>
      </c>
      <c r="D591">
        <v>4003</v>
      </c>
      <c r="E591">
        <v>232174</v>
      </c>
    </row>
    <row r="592" spans="1:5" hidden="1">
      <c r="A592" t="str">
        <v>Tornillo Cabeza Hexagonal cuello Galvanizado en caliente 3/4x7"</v>
      </c>
      <c r="B592">
        <v>17</v>
      </c>
      <c r="C592" t="str">
        <v>UND</v>
      </c>
      <c r="D592">
        <v>4905</v>
      </c>
      <c r="E592">
        <v>83385</v>
      </c>
    </row>
    <row r="593" spans="1:5" hidden="1">
      <c r="A593" t="str">
        <v>Tornillo Cabeza Hexagonal cuello Galvanizado en caliente 5/8x1-3/4"</v>
      </c>
      <c r="B593">
        <v>17</v>
      </c>
      <c r="C593" t="str">
        <v>UND</v>
      </c>
      <c r="D593">
        <v>0</v>
      </c>
      <c r="E593">
        <v>0</v>
      </c>
    </row>
    <row r="594" spans="1:5" hidden="1">
      <c r="A594" t="str">
        <v>Tornillo Cabeza Hexagonal cuello Galvanizado en caliente 5/8x2"</v>
      </c>
      <c r="B594">
        <v>2</v>
      </c>
      <c r="C594" t="str">
        <v>UND</v>
      </c>
      <c r="D594">
        <v>0</v>
      </c>
      <c r="E594">
        <v>0</v>
      </c>
    </row>
    <row r="595" spans="1:5" hidden="1">
      <c r="A595" t="str">
        <v>Tornillo Cabeza Hexagonal cuello Galvanizado en caliente 5/8x2-1/2"</v>
      </c>
      <c r="B595">
        <v>21</v>
      </c>
      <c r="C595" t="str">
        <v>UND</v>
      </c>
      <c r="D595">
        <v>1187</v>
      </c>
      <c r="E595">
        <v>24927</v>
      </c>
    </row>
    <row r="596" spans="1:5" hidden="1">
      <c r="A596" t="str">
        <v>Tornillo Cabeza Hexagonal cuello Galvanizado en caliente 5/8x3"</v>
      </c>
      <c r="B596">
        <v>8</v>
      </c>
      <c r="C596" t="str">
        <v>UND</v>
      </c>
      <c r="D596">
        <v>1784.83</v>
      </c>
      <c r="E596">
        <v>14278.64</v>
      </c>
    </row>
    <row r="597" spans="1:5" hidden="1">
      <c r="A597" t="str">
        <v>Tornillo Cabeza Hexagonal cuello Galvanizado en caliente 5/8x3-1/2"</v>
      </c>
      <c r="B597">
        <v>10</v>
      </c>
      <c r="C597" t="str">
        <v>UND</v>
      </c>
      <c r="D597">
        <v>2310</v>
      </c>
      <c r="E597">
        <v>23100</v>
      </c>
    </row>
    <row r="598" spans="1:5" hidden="1">
      <c r="A598" t="str">
        <v>Tornillo Cabeza Hexagonal cuello Galvanizado en caliente 5/8x4"</v>
      </c>
      <c r="B598">
        <v>143</v>
      </c>
      <c r="C598" t="str">
        <v>UND</v>
      </c>
      <c r="D598">
        <v>2207</v>
      </c>
      <c r="E598">
        <v>315601</v>
      </c>
    </row>
    <row r="599" spans="1:5" hidden="1">
      <c r="A599" t="str">
        <v>Tornillo Cabeza Hexagonal cuello Galvanizado en caliente 5/8x4-1/2"</v>
      </c>
      <c r="B599">
        <v>29</v>
      </c>
      <c r="C599" t="str">
        <v>UND</v>
      </c>
      <c r="D599">
        <v>2825</v>
      </c>
      <c r="E599">
        <v>81925</v>
      </c>
    </row>
    <row r="600" spans="1:5" hidden="1">
      <c r="A600" t="str">
        <v>Tornillo Cabeza Hexagonal cuello Galvanizado en caliente 5/8x5"</v>
      </c>
      <c r="B600">
        <v>45</v>
      </c>
      <c r="C600" t="str">
        <v>UND</v>
      </c>
      <c r="D600">
        <v>3260.5</v>
      </c>
      <c r="E600">
        <v>146722.5</v>
      </c>
    </row>
    <row r="601" spans="1:5" hidden="1">
      <c r="A601" t="str">
        <v>Tornillo Cabeza Hexagonal cuello Galvanizado en caliente 5/8x5-1/2"</v>
      </c>
      <c r="B601">
        <v>24</v>
      </c>
      <c r="C601" t="str">
        <v>UND</v>
      </c>
      <c r="D601">
        <v>2855.07</v>
      </c>
      <c r="E601">
        <v>68521.680000000008</v>
      </c>
    </row>
    <row r="602" spans="1:5" hidden="1">
      <c r="A602" t="str">
        <v>Tornillo Cabeza Hexagonal cuello Galvanizado en caliente 5/8x6"</v>
      </c>
      <c r="B602">
        <v>133</v>
      </c>
      <c r="C602" t="str">
        <v>UND</v>
      </c>
      <c r="D602">
        <v>3333</v>
      </c>
      <c r="E602">
        <v>443289</v>
      </c>
    </row>
    <row r="603" spans="1:5" hidden="1">
      <c r="A603" t="str">
        <v>Tornillo Cabeza Hexagonal cuello Galvanizado en caliente 7/8x2"</v>
      </c>
      <c r="B603">
        <v>1</v>
      </c>
      <c r="C603" t="str">
        <v>UND</v>
      </c>
      <c r="D603">
        <v>0</v>
      </c>
      <c r="E603">
        <v>0</v>
      </c>
    </row>
    <row r="604" spans="1:5" hidden="1">
      <c r="A604" t="str">
        <v>Tornillo Cabeza Hexagonal cuello Galvanizado en caliente 7/8x2-1/2"</v>
      </c>
      <c r="B604">
        <v>5</v>
      </c>
      <c r="C604" t="str">
        <v>UND</v>
      </c>
      <c r="D604">
        <v>0</v>
      </c>
      <c r="E604">
        <v>0</v>
      </c>
    </row>
    <row r="605" spans="1:5" hidden="1">
      <c r="A605" t="str">
        <v>Tornillo Cabeza Hexagonal cuello Galvanizado en caliente 7/8x3-1/2"</v>
      </c>
      <c r="B605">
        <v>1</v>
      </c>
      <c r="C605" t="str">
        <v>UND</v>
      </c>
      <c r="D605">
        <v>0</v>
      </c>
      <c r="E605">
        <v>0</v>
      </c>
    </row>
    <row r="606" spans="1:5" hidden="1">
      <c r="A606" t="str">
        <v>Tornillo Cabeza Hexagonal cuello Galvanizado en caliente 7/8x8"</v>
      </c>
      <c r="B606">
        <v>13</v>
      </c>
      <c r="C606" t="str">
        <v>UND</v>
      </c>
      <c r="D606">
        <v>0</v>
      </c>
      <c r="E606">
        <v>0</v>
      </c>
    </row>
    <row r="607" spans="1:5" hidden="1">
      <c r="A607" t="str">
        <v>Tornillo Cabeza Hexagonal cuello Galvanizado en frio 5/8x3-1/2"</v>
      </c>
      <c r="B607">
        <v>1</v>
      </c>
      <c r="C607" t="str">
        <v>UND</v>
      </c>
      <c r="D607">
        <v>2310</v>
      </c>
      <c r="E607">
        <v>2310</v>
      </c>
    </row>
    <row r="608" spans="1:5" hidden="1">
      <c r="A608" t="str">
        <v>Tornillo Cabeza Hexagonal cuello Galvanizado en frio 5/8x6"</v>
      </c>
      <c r="B608">
        <v>72</v>
      </c>
      <c r="C608" t="str">
        <v>UND</v>
      </c>
      <c r="D608">
        <v>3333</v>
      </c>
      <c r="E608">
        <v>239976</v>
      </c>
    </row>
    <row r="609" spans="1:5" hidden="1">
      <c r="A609" t="str">
        <v>Tornillo Cabeza Hexagonal cuello Galvanizado Frio 3/4x4"</v>
      </c>
      <c r="B609">
        <v>63</v>
      </c>
      <c r="C609" t="str">
        <v>UND</v>
      </c>
      <c r="D609">
        <v>0</v>
      </c>
      <c r="E609">
        <v>0</v>
      </c>
    </row>
    <row r="610" spans="1:5" hidden="1">
      <c r="A610" t="str">
        <v>Tornillo Cabeza Hexagonal Rosca Continua Inox 304 1/2x1"</v>
      </c>
      <c r="B610">
        <v>9</v>
      </c>
      <c r="C610" t="str">
        <v>UND</v>
      </c>
      <c r="D610">
        <v>0</v>
      </c>
      <c r="E610">
        <v>0</v>
      </c>
    </row>
    <row r="611" spans="1:5" hidden="1">
      <c r="A611" t="str">
        <v>Tornillo Cabeza Hexagonal Rosca Continua Inox 304 1/2x1-1/2"</v>
      </c>
      <c r="B611">
        <v>33</v>
      </c>
      <c r="C611" t="str">
        <v>UND</v>
      </c>
      <c r="D611">
        <v>0</v>
      </c>
      <c r="E611">
        <v>0</v>
      </c>
    </row>
    <row r="612" spans="1:5" hidden="1">
      <c r="A612" t="str">
        <v>Tornillo Cabeza Hexagonal Rosca Continua Inox 304 1/2x1-1/8"</v>
      </c>
      <c r="B612">
        <v>2</v>
      </c>
      <c r="C612" t="str">
        <v>UND</v>
      </c>
      <c r="D612">
        <v>0</v>
      </c>
      <c r="E612">
        <v>0</v>
      </c>
    </row>
    <row r="613" spans="1:5" hidden="1">
      <c r="A613" t="str">
        <v>Tornillo Cabeza Hexagonal Rosca Continua Inox 304 1/2x1-3/8"</v>
      </c>
      <c r="B613">
        <v>2</v>
      </c>
      <c r="C613" t="str">
        <v>UND</v>
      </c>
      <c r="D613">
        <v>0</v>
      </c>
      <c r="E613">
        <v>0</v>
      </c>
    </row>
    <row r="614" spans="1:5" hidden="1">
      <c r="A614" t="str">
        <v>Tornillo Cabeza Hexagonal Rosca Continua Inox 304 1/2x2"</v>
      </c>
      <c r="B614">
        <v>10</v>
      </c>
      <c r="C614" t="str">
        <v>UND</v>
      </c>
      <c r="D614">
        <v>0</v>
      </c>
      <c r="E614">
        <v>0</v>
      </c>
    </row>
    <row r="615" spans="1:5" hidden="1">
      <c r="A615" t="str">
        <v>Tornillo Cabeza Hexagonal Rosca Continua Inox 304 1/2x2-1/2"</v>
      </c>
      <c r="B615">
        <v>8</v>
      </c>
      <c r="C615" t="str">
        <v>UND</v>
      </c>
      <c r="D615">
        <v>0</v>
      </c>
      <c r="E615">
        <v>0</v>
      </c>
    </row>
    <row r="616" spans="1:5" hidden="1">
      <c r="A616" t="str">
        <v>Tornillo Cabeza Hexagonal Rosca Continua Inox 304 1/2x3"</v>
      </c>
      <c r="B616">
        <v>1</v>
      </c>
      <c r="C616" t="str">
        <v>UND</v>
      </c>
      <c r="D616">
        <v>0</v>
      </c>
      <c r="E616">
        <v>0</v>
      </c>
    </row>
    <row r="617" spans="1:5" hidden="1">
      <c r="A617" t="str">
        <v>Tornillo Cabeza Hexagonal Rosca Continua Inox 304 1/2x3-1/2"</v>
      </c>
      <c r="B617">
        <v>1</v>
      </c>
      <c r="C617" t="str">
        <v>UND</v>
      </c>
      <c r="D617">
        <v>0</v>
      </c>
      <c r="E617">
        <v>0</v>
      </c>
    </row>
    <row r="618" spans="1:5" hidden="1">
      <c r="A618" t="str">
        <v>Tornillo Cabeza Hexagonal Rosca Continua Inox 304 1/2x4-1/2"</v>
      </c>
      <c r="B618">
        <v>1</v>
      </c>
      <c r="C618" t="str">
        <v>UND</v>
      </c>
      <c r="D618">
        <v>0</v>
      </c>
      <c r="E618">
        <v>0</v>
      </c>
    </row>
    <row r="619" spans="1:5" hidden="1">
      <c r="A619" t="str">
        <v>Tornillo Cabeza Hexagonal Rosca Continua Inox 304 1/2x5"</v>
      </c>
      <c r="B619">
        <v>1</v>
      </c>
      <c r="C619" t="str">
        <v>UND</v>
      </c>
      <c r="D619">
        <v>0</v>
      </c>
      <c r="E619">
        <v>0</v>
      </c>
    </row>
    <row r="620" spans="1:5" hidden="1">
      <c r="A620" t="str">
        <v>Tornillo Cabeza Hexagonal Rosca Continua Inox 304 1/4x1"</v>
      </c>
      <c r="B620">
        <v>7</v>
      </c>
      <c r="C620" t="str">
        <v>UND</v>
      </c>
      <c r="D620">
        <v>0</v>
      </c>
      <c r="E620">
        <v>0</v>
      </c>
    </row>
    <row r="621" spans="1:5" hidden="1">
      <c r="A621" t="str">
        <v>Tornillo Cabeza Hexagonal Rosca Continua Inox 304 1/4x1-1/2"</v>
      </c>
      <c r="B621">
        <v>25</v>
      </c>
      <c r="C621" t="str">
        <v>UND</v>
      </c>
      <c r="D621">
        <v>0</v>
      </c>
      <c r="E621">
        <v>0</v>
      </c>
    </row>
    <row r="622" spans="1:5" hidden="1">
      <c r="A622" t="str">
        <v>Tornillo Cabeza Hexagonal Rosca Continua Inox 304 1/4x1-1/4"</v>
      </c>
      <c r="B622">
        <v>5</v>
      </c>
      <c r="C622" t="str">
        <v>UND</v>
      </c>
      <c r="D622">
        <v>237</v>
      </c>
      <c r="E622">
        <v>1185</v>
      </c>
    </row>
    <row r="623" spans="1:5" hidden="1">
      <c r="A623" t="str">
        <v>Tornillo Cabeza Hexagonal Rosca Continua Inox 304 1/4x2"</v>
      </c>
      <c r="B623">
        <v>11</v>
      </c>
      <c r="C623" t="str">
        <v>UND</v>
      </c>
      <c r="D623">
        <v>0</v>
      </c>
      <c r="E623">
        <v>0</v>
      </c>
    </row>
    <row r="624" spans="1:5" hidden="1">
      <c r="A624" t="str">
        <v>Tornillo Cabeza Hexagonal Rosca Continua Inox 304 1-3/16x4"</v>
      </c>
      <c r="B624">
        <v>2</v>
      </c>
      <c r="C624" t="str">
        <v>UND</v>
      </c>
      <c r="D624">
        <v>0</v>
      </c>
      <c r="E624">
        <v>0</v>
      </c>
    </row>
    <row r="625" spans="1:5" hidden="1">
      <c r="A625" t="str">
        <v>Tornillo Cabeza Hexagonal Rosca Continua Inox 304 1x2"</v>
      </c>
      <c r="B625">
        <v>5</v>
      </c>
      <c r="C625" t="str">
        <v>UND</v>
      </c>
      <c r="D625">
        <v>0</v>
      </c>
      <c r="E625">
        <v>0</v>
      </c>
    </row>
    <row r="626" spans="1:5" hidden="1">
      <c r="A626" t="str">
        <v>Tornillo Cabeza Hexagonal Rosca Continua Inox 304 1x3-1/2"</v>
      </c>
      <c r="B626">
        <v>1</v>
      </c>
      <c r="C626" t="str">
        <v>UND</v>
      </c>
      <c r="D626">
        <v>0</v>
      </c>
      <c r="E626">
        <v>0</v>
      </c>
    </row>
    <row r="627" spans="1:5" hidden="1">
      <c r="A627" t="str">
        <v>Tornillo Cabeza Hexagonal Rosca Continua Inox 304 1x4"</v>
      </c>
      <c r="B627">
        <v>2</v>
      </c>
      <c r="C627" t="str">
        <v>UND</v>
      </c>
      <c r="D627">
        <v>0</v>
      </c>
      <c r="E627">
        <v>0</v>
      </c>
    </row>
    <row r="628" spans="1:5" hidden="1">
      <c r="A628" t="str">
        <v>Tornillo Cabeza Hexagonal Rosca Continua Inox 304 1x4-1/2"</v>
      </c>
      <c r="B628">
        <v>1</v>
      </c>
      <c r="C628" t="str">
        <v>UND</v>
      </c>
      <c r="D628">
        <v>0</v>
      </c>
      <c r="E628">
        <v>0</v>
      </c>
    </row>
    <row r="629" spans="1:5" hidden="1">
      <c r="A629" t="str">
        <v>Tornillo Cabeza Hexagonal Rosca Continua Inox 304 3/4x2"</v>
      </c>
      <c r="B629">
        <v>1</v>
      </c>
      <c r="C629" t="str">
        <v>UND</v>
      </c>
      <c r="D629">
        <v>0</v>
      </c>
      <c r="E629">
        <v>0</v>
      </c>
    </row>
    <row r="630" spans="1:5" hidden="1">
      <c r="A630" t="str">
        <v>Tornillo Cabeza Hexagonal Rosca Continua Inox 304 3/4x3"</v>
      </c>
      <c r="B630">
        <v>1</v>
      </c>
      <c r="C630" t="str">
        <v>UND</v>
      </c>
      <c r="D630">
        <v>0</v>
      </c>
      <c r="E630">
        <v>0</v>
      </c>
    </row>
    <row r="631" spans="1:5" hidden="1">
      <c r="A631" t="str">
        <v>Tornillo Cabeza Hexagonal Rosca Continua Inox 304 3/4x3-1/2"</v>
      </c>
      <c r="B631">
        <v>4</v>
      </c>
      <c r="C631" t="str">
        <v>UND</v>
      </c>
      <c r="D631">
        <v>5849.53</v>
      </c>
      <c r="E631">
        <v>23398.12</v>
      </c>
    </row>
    <row r="632" spans="1:5" hidden="1">
      <c r="A632" t="str">
        <v>Tornillo Cabeza Hexagonal Rosca Continua Inox 304 3/4x4"</v>
      </c>
      <c r="B632">
        <v>1</v>
      </c>
      <c r="C632" t="str">
        <v>UND</v>
      </c>
      <c r="D632">
        <v>0</v>
      </c>
      <c r="E632">
        <v>0</v>
      </c>
    </row>
    <row r="633" spans="1:5" hidden="1">
      <c r="A633" t="str">
        <v>Tornillo Cabeza Hexagonal Rosca Continua Inox 304 3/4x6"</v>
      </c>
      <c r="B633">
        <v>6</v>
      </c>
      <c r="C633" t="str">
        <v>UND</v>
      </c>
      <c r="D633">
        <v>0</v>
      </c>
      <c r="E633">
        <v>0</v>
      </c>
    </row>
    <row r="634" spans="1:5" hidden="1">
      <c r="A634" t="str">
        <v>Tornillo Cabeza Hexagonal Rosca Continua Inox 304 3/8x1"</v>
      </c>
      <c r="B634">
        <v>3</v>
      </c>
      <c r="C634" t="str">
        <v>UND</v>
      </c>
      <c r="D634">
        <v>0</v>
      </c>
      <c r="E634">
        <v>0</v>
      </c>
    </row>
    <row r="635" spans="1:5" hidden="1">
      <c r="A635" t="str">
        <v>Tornillo Cabeza Hexagonal Rosca Continua Inox 304 3/8x1-1/2"</v>
      </c>
      <c r="B635">
        <v>6</v>
      </c>
      <c r="C635" t="str">
        <v>UND</v>
      </c>
      <c r="D635">
        <v>0</v>
      </c>
      <c r="E635">
        <v>0</v>
      </c>
    </row>
    <row r="636" spans="1:5" hidden="1">
      <c r="A636" t="str">
        <v>Tornillo Cabeza Hexagonal Rosca Continua Inox 304 3/8x1-1/4"</v>
      </c>
      <c r="B636">
        <v>3</v>
      </c>
      <c r="C636" t="str">
        <v>UND</v>
      </c>
      <c r="D636">
        <v>0</v>
      </c>
      <c r="E636">
        <v>0</v>
      </c>
    </row>
    <row r="637" spans="1:5" hidden="1">
      <c r="A637" t="str">
        <v>Tornillo Cabeza Hexagonal Rosca Continua Inox 304 3/8x2"</v>
      </c>
      <c r="B637">
        <v>6</v>
      </c>
      <c r="C637" t="str">
        <v>UND</v>
      </c>
      <c r="D637">
        <v>0</v>
      </c>
      <c r="E637">
        <v>0</v>
      </c>
    </row>
    <row r="638" spans="1:5" hidden="1">
      <c r="A638" t="str">
        <v>Tornillo Cabeza Hexagonal Rosca Continua Inox 304 3/8x2-1/2"</v>
      </c>
      <c r="B638">
        <v>1</v>
      </c>
      <c r="C638" t="str">
        <v>UND</v>
      </c>
      <c r="D638">
        <v>0</v>
      </c>
      <c r="E638">
        <v>0</v>
      </c>
    </row>
    <row r="639" spans="1:5" hidden="1">
      <c r="A639" t="str">
        <v>Tornillo Cabeza Hexagonal Rosca Continua Inox 304 3/8x3"</v>
      </c>
      <c r="B639">
        <v>39</v>
      </c>
      <c r="C639" t="str">
        <v>UND</v>
      </c>
      <c r="D639">
        <v>0</v>
      </c>
      <c r="E639">
        <v>0</v>
      </c>
    </row>
    <row r="640" spans="1:5" hidden="1">
      <c r="A640" t="str">
        <v>Tornillo Cabeza Hexagonal Rosca Continua Inox 304 3/8x3-1/2"</v>
      </c>
      <c r="B640">
        <v>3</v>
      </c>
      <c r="C640" t="str">
        <v>UND</v>
      </c>
      <c r="D640">
        <v>0</v>
      </c>
      <c r="E640">
        <v>0</v>
      </c>
    </row>
    <row r="641" spans="1:5" hidden="1">
      <c r="A641" t="str">
        <v>Tornillo Cabeza Hexagonal Rosca Continua Inox 304 3/8x5"</v>
      </c>
      <c r="B641">
        <v>38</v>
      </c>
      <c r="C641" t="str">
        <v>UND</v>
      </c>
      <c r="D641">
        <v>0</v>
      </c>
      <c r="E641">
        <v>0</v>
      </c>
    </row>
    <row r="642" spans="1:5" hidden="1">
      <c r="A642" t="str">
        <v>Tornillo Cabeza Hexagonal Rosca Continua Inox 304 3/8x6"</v>
      </c>
      <c r="B642">
        <v>32</v>
      </c>
      <c r="C642" t="str">
        <v>UND</v>
      </c>
      <c r="D642">
        <v>0</v>
      </c>
      <c r="E642">
        <v>0</v>
      </c>
    </row>
    <row r="643" spans="1:5" hidden="1">
      <c r="A643" t="str">
        <v>Tornillo Cabeza Hexagonal Rosca Continua Inox 304 304 5/8x1"</v>
      </c>
      <c r="B643">
        <v>10</v>
      </c>
      <c r="C643" t="str">
        <v>UND</v>
      </c>
      <c r="D643">
        <v>0</v>
      </c>
      <c r="E643">
        <v>0</v>
      </c>
    </row>
    <row r="644" spans="1:5" hidden="1">
      <c r="A644" t="str">
        <v>Tornillo Cabeza Hexagonal Rosca Continua Inox 304 304 5/8x2"</v>
      </c>
      <c r="B644">
        <v>15</v>
      </c>
      <c r="C644" t="str">
        <v>UND</v>
      </c>
      <c r="D644">
        <v>0</v>
      </c>
      <c r="E644">
        <v>0</v>
      </c>
    </row>
    <row r="645" spans="1:5" hidden="1">
      <c r="A645" t="str">
        <v>Tornillo Cabeza Hexagonal Rosca Continua Inox 304 304 7/8x6"</v>
      </c>
      <c r="B645">
        <v>4</v>
      </c>
      <c r="C645" t="str">
        <v>UND</v>
      </c>
      <c r="D645">
        <v>0</v>
      </c>
      <c r="E645">
        <v>0</v>
      </c>
    </row>
    <row r="646" spans="1:5" hidden="1">
      <c r="A646" t="str">
        <v>Tornillo Cabeza Hexagonal Rosca Continua Inox 304 5/16x1"</v>
      </c>
      <c r="B646">
        <v>7</v>
      </c>
      <c r="C646" t="str">
        <v>UND</v>
      </c>
      <c r="D646">
        <v>0</v>
      </c>
      <c r="E646">
        <v>0</v>
      </c>
    </row>
    <row r="647" spans="1:5" hidden="1">
      <c r="A647" t="str">
        <v>Tornillo Cabeza Hexagonal Rosca Continua Inox 304 5/16x1/2"</v>
      </c>
      <c r="B647">
        <v>27</v>
      </c>
      <c r="C647" t="str">
        <v>UND</v>
      </c>
      <c r="D647">
        <v>0</v>
      </c>
      <c r="E647">
        <v>0</v>
      </c>
    </row>
    <row r="648" spans="1:5" hidden="1">
      <c r="A648" t="str">
        <v>Tornillo Cabeza Hexagonal Rosca Continua Inox 304 5/16x1-1/2"</v>
      </c>
      <c r="B648">
        <v>21</v>
      </c>
      <c r="C648" t="str">
        <v>UND</v>
      </c>
      <c r="D648">
        <v>0</v>
      </c>
      <c r="E648">
        <v>0</v>
      </c>
    </row>
    <row r="649" spans="1:5" hidden="1">
      <c r="A649" t="str">
        <v>Tornillo Cabeza Hexagonal Rosca Continua Inox 304 5/16x1-1/4"</v>
      </c>
      <c r="B649">
        <v>23</v>
      </c>
      <c r="C649" t="str">
        <v>UND</v>
      </c>
      <c r="D649">
        <v>0</v>
      </c>
      <c r="E649">
        <v>0</v>
      </c>
    </row>
    <row r="650" spans="1:5" hidden="1">
      <c r="A650" t="str">
        <v>Tornillo Cabeza Hexagonal Rosca Continua Inox 304 5/16x2"</v>
      </c>
      <c r="B650">
        <v>20</v>
      </c>
      <c r="C650" t="str">
        <v>UND</v>
      </c>
      <c r="D650">
        <v>0</v>
      </c>
      <c r="E650">
        <v>0</v>
      </c>
    </row>
    <row r="651" spans="1:5" hidden="1">
      <c r="A651" t="str">
        <v>Tornillo Cabeza Hexagonal Rosca Continua Inox 304 5/16x3/4"</v>
      </c>
      <c r="B651">
        <v>32</v>
      </c>
      <c r="C651" t="str">
        <v>UND</v>
      </c>
      <c r="D651">
        <v>0</v>
      </c>
      <c r="E651">
        <v>0</v>
      </c>
    </row>
    <row r="652" spans="1:5" hidden="1">
      <c r="A652" t="str">
        <v>Tornillo Cabeza Hexagonal Rosca Continua Inox 304 5/8x2-1/2"</v>
      </c>
      <c r="B652">
        <v>6</v>
      </c>
      <c r="C652" t="str">
        <v>UND</v>
      </c>
      <c r="D652">
        <v>0</v>
      </c>
      <c r="E652">
        <v>0</v>
      </c>
    </row>
    <row r="653" spans="1:5" hidden="1">
      <c r="A653" t="str">
        <v>Tornillo Cabeza Hexagonal Rosca Continua Inox 304 5/8x3"</v>
      </c>
      <c r="B653">
        <v>1</v>
      </c>
      <c r="C653" t="str">
        <v>UND</v>
      </c>
      <c r="D653">
        <v>0</v>
      </c>
      <c r="E653">
        <v>0</v>
      </c>
    </row>
    <row r="654" spans="1:5" hidden="1">
      <c r="A654" t="str">
        <v>Tornillo Cabeza Hexagonal Rosca Continua Inox 304 5/8x3-1/2"</v>
      </c>
      <c r="B654">
        <v>6</v>
      </c>
      <c r="C654" t="str">
        <v>UND</v>
      </c>
      <c r="D654">
        <v>6744.4900000000007</v>
      </c>
      <c r="E654">
        <v>40466.94</v>
      </c>
    </row>
    <row r="655" spans="1:5" hidden="1">
      <c r="A655" t="str">
        <v>Tornillo Cabeza Hexagonal Rosca Continua Inox 304 5/8x4"</v>
      </c>
      <c r="B655">
        <v>3</v>
      </c>
      <c r="C655" t="str">
        <v>UND</v>
      </c>
      <c r="D655">
        <v>0</v>
      </c>
      <c r="E655">
        <v>0</v>
      </c>
    </row>
    <row r="656" spans="1:5" hidden="1">
      <c r="A656" t="str">
        <v>Tornillo Cabeza Hexagonal Rosca Continua Inox 304 7/16x1-1/2"</v>
      </c>
      <c r="B656">
        <v>23</v>
      </c>
      <c r="C656" t="str">
        <v>UND</v>
      </c>
      <c r="D656">
        <v>0</v>
      </c>
      <c r="E656">
        <v>0</v>
      </c>
    </row>
    <row r="657" spans="1:5" hidden="1">
      <c r="A657" t="str">
        <v>Tornillo Cabeza Hexagonal Rosca Continua Inox 304 7/16x2"</v>
      </c>
      <c r="B657">
        <v>6</v>
      </c>
      <c r="C657" t="str">
        <v>UND</v>
      </c>
      <c r="D657">
        <v>0</v>
      </c>
      <c r="E657">
        <v>0</v>
      </c>
    </row>
    <row r="658" spans="1:5" hidden="1">
      <c r="A658" t="str">
        <v>Tornillo Cabeza Hexagonal Rosca Continua Inox 304 7/8x2"</v>
      </c>
      <c r="B658">
        <v>6</v>
      </c>
      <c r="C658" t="str">
        <v>UND</v>
      </c>
      <c r="D658">
        <v>0</v>
      </c>
      <c r="E658">
        <v>0</v>
      </c>
    </row>
    <row r="659" spans="1:5" hidden="1">
      <c r="A659" t="str">
        <v>Tornillo Cabeza Hexagonal Rosca Continua Inox 304 9/16x1-1/2"</v>
      </c>
      <c r="B659">
        <v>21</v>
      </c>
      <c r="C659" t="str">
        <v>UND</v>
      </c>
      <c r="D659">
        <v>0</v>
      </c>
      <c r="E659">
        <v>0</v>
      </c>
    </row>
    <row r="660" spans="1:5" hidden="1">
      <c r="A660" t="str">
        <v>Tornillo Cabeza Hexagonal Rosca Continua Inox 304 9/16x2"</v>
      </c>
      <c r="B660">
        <v>27</v>
      </c>
      <c r="C660" t="str">
        <v>UND</v>
      </c>
      <c r="D660">
        <v>0</v>
      </c>
      <c r="E660">
        <v>0</v>
      </c>
    </row>
    <row r="661" spans="1:5" hidden="1">
      <c r="A661" t="str">
        <v>Tornillo Cabeza Hexagonal Rosca Continua Inox 304 9/16x2-1/2"</v>
      </c>
      <c r="B661">
        <v>6</v>
      </c>
      <c r="C661" t="str">
        <v>UND</v>
      </c>
      <c r="D661">
        <v>0</v>
      </c>
      <c r="E661">
        <v>0</v>
      </c>
    </row>
    <row r="662" spans="1:5" hidden="1">
      <c r="A662" t="str">
        <v>Tornillo Cabeza Hexagonal Rosca Continua Inox 304 9/16x3-1/2"</v>
      </c>
      <c r="B662">
        <v>32</v>
      </c>
      <c r="C662" t="str">
        <v>UND</v>
      </c>
      <c r="D662">
        <v>0</v>
      </c>
      <c r="E662">
        <v>0</v>
      </c>
    </row>
    <row r="663" spans="1:5" hidden="1">
      <c r="A663" t="str">
        <v>Tornillo Cabeza Hexagonal Rosca Continua Inox 304 9/16x4"</v>
      </c>
      <c r="B663">
        <v>3</v>
      </c>
      <c r="C663" t="str">
        <v>UND</v>
      </c>
      <c r="D663">
        <v>0</v>
      </c>
      <c r="E663">
        <v>0</v>
      </c>
    </row>
    <row r="664" spans="1:5" hidden="1">
      <c r="A664" t="str">
        <v>Tubo Inox 304 SCH 10 1/2"x6MT</v>
      </c>
      <c r="B664">
        <v>1</v>
      </c>
      <c r="C664" t="str">
        <v>UND</v>
      </c>
      <c r="D664">
        <v>0</v>
      </c>
      <c r="E664">
        <v>0</v>
      </c>
    </row>
    <row r="665" spans="1:5" hidden="1">
      <c r="A665" t="str">
        <v>Tubo PP Azul 32mm</v>
      </c>
      <c r="B665">
        <v>-5</v>
      </c>
      <c r="C665" t="str">
        <v>MT</v>
      </c>
      <c r="D665">
        <v>0</v>
      </c>
      <c r="E665">
        <v>0</v>
      </c>
    </row>
    <row r="666" spans="1:5" hidden="1">
      <c r="A666" t="str">
        <v>Tubo PVC Conduit (verde) 1"x3MT</v>
      </c>
      <c r="B666">
        <v>5</v>
      </c>
      <c r="C666" t="str">
        <v>UND</v>
      </c>
      <c r="D666">
        <v>5630</v>
      </c>
      <c r="E666">
        <v>28150</v>
      </c>
    </row>
    <row r="667" spans="1:5" hidden="1">
      <c r="A667" t="str">
        <v>Tubo PVC Conduit (verde) 3/4"x3MT</v>
      </c>
      <c r="B667">
        <v>7</v>
      </c>
      <c r="C667" t="str">
        <v>UND</v>
      </c>
      <c r="D667">
        <v>7563</v>
      </c>
      <c r="E667">
        <v>52941</v>
      </c>
    </row>
    <row r="668" spans="1:5" hidden="1">
      <c r="A668" t="str">
        <v>Tubo PVC Conduit Extrafuerte SCH 40 (gris) 1/2"x3MT</v>
      </c>
      <c r="B668">
        <v>1</v>
      </c>
      <c r="C668" t="str">
        <v>UND</v>
      </c>
      <c r="D668">
        <v>4286</v>
      </c>
      <c r="E668">
        <v>4286</v>
      </c>
    </row>
    <row r="669" spans="1:5" hidden="1">
      <c r="A669" t="str">
        <v>Tubo PVC Conduit Extrafuerte SCH 40 (gris) 3/4"x3MT</v>
      </c>
      <c r="B669">
        <v>2</v>
      </c>
      <c r="C669" t="str">
        <v>UND</v>
      </c>
      <c r="D669">
        <v>5588</v>
      </c>
      <c r="E669">
        <v>11176</v>
      </c>
    </row>
    <row r="670" spans="1:5" hidden="1">
      <c r="A670" t="str">
        <v>Tubo PVC Presion RDE 13.5 - 1/2"x6MT</v>
      </c>
      <c r="B670">
        <v>4</v>
      </c>
      <c r="C670" t="str">
        <v>UND</v>
      </c>
      <c r="D670">
        <v>9887.0399999999991</v>
      </c>
      <c r="E670">
        <v>39548.159999999996</v>
      </c>
    </row>
    <row r="671" spans="1:5" hidden="1">
      <c r="A671" t="str">
        <v>Tubo PVC Presion RDE 21 -  2 1/2"x6MT</v>
      </c>
      <c r="B671">
        <v>1</v>
      </c>
      <c r="C671" t="str">
        <v>UND</v>
      </c>
      <c r="D671">
        <v>118754.87999999999</v>
      </c>
      <c r="E671">
        <v>118754.87999999999</v>
      </c>
    </row>
    <row r="672" spans="1:5" hidden="1">
      <c r="A672" t="str">
        <v>Tubo PVC Presion RDE 21 -  2"x6MT</v>
      </c>
      <c r="B672">
        <v>6</v>
      </c>
      <c r="C672" t="str">
        <v>UND</v>
      </c>
      <c r="D672">
        <v>62001.599999999999</v>
      </c>
      <c r="E672">
        <v>372009.6</v>
      </c>
    </row>
    <row r="673" spans="1:5" hidden="1">
      <c r="A673" t="str">
        <v>Tubo PVC Presion RDE 21 - 1 1/ 2"x6MT</v>
      </c>
      <c r="B673">
        <v>1</v>
      </c>
      <c r="C673" t="str">
        <v>UND</v>
      </c>
      <c r="D673">
        <v>40432.799999999996</v>
      </c>
      <c r="E673">
        <v>40432.799999999996</v>
      </c>
    </row>
    <row r="674" spans="1:5" hidden="1">
      <c r="A674" t="str">
        <v>Tubo PVC Presion RDE 21 - 1 1/4"x6MT</v>
      </c>
      <c r="B674">
        <v>1</v>
      </c>
      <c r="C674" t="str">
        <v>UND</v>
      </c>
      <c r="D674">
        <v>30965.759999999998</v>
      </c>
      <c r="E674">
        <v>30965.759999999998</v>
      </c>
    </row>
    <row r="675" spans="1:5" hidden="1">
      <c r="A675" t="str">
        <v>Tubo PVC Presion RDE 21 - 3"x6MT</v>
      </c>
      <c r="B675">
        <v>2</v>
      </c>
      <c r="C675" t="str">
        <v>UND</v>
      </c>
      <c r="D675">
        <v>139485.12</v>
      </c>
      <c r="E675">
        <v>278970.23999999999</v>
      </c>
    </row>
    <row r="676" spans="1:5" hidden="1">
      <c r="A676" t="str">
        <v>Tubo PVC Presion RDE 21 - 4"x6MT</v>
      </c>
      <c r="B676">
        <v>4</v>
      </c>
      <c r="C676" t="str">
        <v>UND</v>
      </c>
      <c r="D676">
        <v>237374.88</v>
      </c>
      <c r="E676">
        <v>949499.52</v>
      </c>
    </row>
    <row r="677" spans="1:5" hidden="1">
      <c r="A677" t="str">
        <v>Tubo PVC Presion RDE 21 - 6"x6MT</v>
      </c>
      <c r="B677">
        <v>3</v>
      </c>
      <c r="C677" t="str">
        <v>UND</v>
      </c>
      <c r="D677">
        <v>506037.59999999992</v>
      </c>
      <c r="E677">
        <v>1518112.7999999998</v>
      </c>
    </row>
    <row r="678" spans="1:5" hidden="1">
      <c r="A678" t="str">
        <v>Tubo PVC Presion RDE21 - 3/4"x6MT</v>
      </c>
      <c r="B678">
        <v>3</v>
      </c>
      <c r="C678" t="str">
        <v>UND</v>
      </c>
      <c r="D678">
        <v>12251.039999999999</v>
      </c>
      <c r="E678">
        <v>36753.119999999995</v>
      </c>
    </row>
    <row r="679" spans="1:5" hidden="1">
      <c r="A679" t="str">
        <v>Tubo PVC Sanitario 6"x6MT</v>
      </c>
      <c r="B679">
        <v>10</v>
      </c>
      <c r="C679" t="str">
        <v>UND</v>
      </c>
      <c r="D679">
        <v>203327</v>
      </c>
      <c r="E679">
        <v>2033270</v>
      </c>
    </row>
    <row r="680" spans="1:5">
      <c r="A680" t="str">
        <v>Tuerca Galvanizado 13/16"</v>
      </c>
      <c r="B680">
        <v>10</v>
      </c>
      <c r="C680" t="str">
        <v>UND</v>
      </c>
      <c r="D680">
        <v>0</v>
      </c>
      <c r="E680">
        <v>0</v>
      </c>
    </row>
    <row r="681" spans="1:5">
      <c r="A681" t="str">
        <v>Tuerca Hexagonal De Seguridad Inox 304 1/4"</v>
      </c>
      <c r="B681">
        <v>218</v>
      </c>
      <c r="C681" t="str">
        <v>UND</v>
      </c>
      <c r="D681">
        <v>137.78</v>
      </c>
      <c r="E681">
        <v>30036.04</v>
      </c>
    </row>
    <row r="682" spans="1:5">
      <c r="A682" t="str">
        <v>Tuerca Hexagonal Galvanizado en caliente 1/2"</v>
      </c>
      <c r="B682">
        <v>339</v>
      </c>
      <c r="C682" t="str">
        <v>UND</v>
      </c>
      <c r="D682">
        <v>445.59999999999997</v>
      </c>
      <c r="E682">
        <v>151058.4</v>
      </c>
    </row>
    <row r="683" spans="1:5">
      <c r="A683" t="str">
        <v>Tuerca Hexagonal Galvanizado en caliente 1-1/8"</v>
      </c>
      <c r="B683">
        <v>45</v>
      </c>
      <c r="C683" t="str">
        <v>UND</v>
      </c>
      <c r="D683">
        <v>0</v>
      </c>
      <c r="E683">
        <v>0</v>
      </c>
    </row>
    <row r="684" spans="1:5">
      <c r="A684" t="str">
        <v xml:space="preserve">Tuerca Hexagonal Galvanizado en caliente 3/4" </v>
      </c>
      <c r="B684">
        <v>142</v>
      </c>
      <c r="C684" t="str">
        <v>UND</v>
      </c>
      <c r="D684">
        <v>870</v>
      </c>
      <c r="E684">
        <v>123540</v>
      </c>
    </row>
    <row r="685" spans="1:5">
      <c r="A685" t="str">
        <v xml:space="preserve">Tuerca Hexagonal Galvanizado en caliente 5/8" </v>
      </c>
      <c r="B685">
        <v>135</v>
      </c>
      <c r="C685" t="str">
        <v>UND</v>
      </c>
      <c r="D685">
        <v>562.11</v>
      </c>
      <c r="E685">
        <v>75884.850000000006</v>
      </c>
    </row>
    <row r="686" spans="1:5">
      <c r="A686" t="str">
        <v xml:space="preserve">Tuerca Hexagonal Galvanizado en caliente 7/8" </v>
      </c>
      <c r="B686">
        <v>12</v>
      </c>
      <c r="C686" t="str">
        <v>UND</v>
      </c>
      <c r="D686">
        <v>2241</v>
      </c>
      <c r="E686">
        <v>26892</v>
      </c>
    </row>
    <row r="687" spans="1:5">
      <c r="A687" t="str">
        <v>Tuerca Hexagonal Galvanizado Frio 1-1/8"</v>
      </c>
      <c r="B687">
        <v>45</v>
      </c>
      <c r="C687" t="str">
        <v>UND</v>
      </c>
      <c r="D687">
        <v>0</v>
      </c>
      <c r="E687">
        <v>0</v>
      </c>
    </row>
    <row r="688" spans="1:5">
      <c r="A688" t="str">
        <v>Tuerca Hexagonal Galvanizado Frio 3/4"</v>
      </c>
      <c r="B688">
        <v>62</v>
      </c>
      <c r="C688" t="str">
        <v>UND</v>
      </c>
      <c r="D688">
        <v>263</v>
      </c>
      <c r="E688">
        <v>16306</v>
      </c>
    </row>
    <row r="689" spans="1:5">
      <c r="A689" t="str">
        <v>Tuerca Hexagonal Galvanizado Frio 5/8"</v>
      </c>
      <c r="B689">
        <v>5</v>
      </c>
      <c r="C689" t="str">
        <v>UND</v>
      </c>
      <c r="D689">
        <v>685</v>
      </c>
      <c r="E689">
        <v>3425</v>
      </c>
    </row>
    <row r="690" spans="1:5">
      <c r="A690" t="str">
        <v>Tuerca Hexagonal Inox 304 1"</v>
      </c>
      <c r="B690">
        <v>5</v>
      </c>
      <c r="C690" t="str">
        <v>UND</v>
      </c>
      <c r="D690">
        <v>11616</v>
      </c>
      <c r="E690">
        <v>58080</v>
      </c>
    </row>
    <row r="691" spans="1:5">
      <c r="A691" t="str">
        <v>Tuerca Hexagonal Inox 304 1/4"</v>
      </c>
      <c r="B691">
        <v>40</v>
      </c>
      <c r="C691" t="str">
        <v>UND</v>
      </c>
      <c r="D691">
        <v>188</v>
      </c>
      <c r="E691">
        <v>7520</v>
      </c>
    </row>
    <row r="692" spans="1:5">
      <c r="A692" t="str">
        <v>Tuerca Hexagonal Inox 304 1-1/16"</v>
      </c>
      <c r="B692">
        <v>15</v>
      </c>
      <c r="C692" t="str">
        <v>UND</v>
      </c>
      <c r="D692">
        <v>0</v>
      </c>
      <c r="E692">
        <v>0</v>
      </c>
    </row>
    <row r="693" spans="1:5">
      <c r="A693" t="str">
        <v>Tuerca Hexagonal Inox 304 1-1/8"</v>
      </c>
      <c r="B693">
        <v>5</v>
      </c>
      <c r="C693" t="str">
        <v>UND</v>
      </c>
      <c r="D693">
        <v>0</v>
      </c>
      <c r="E693">
        <v>0</v>
      </c>
    </row>
    <row r="694" spans="1:5">
      <c r="A694" t="str">
        <v>Tuerca Hexagonal Inox 304 5/8"</v>
      </c>
      <c r="B694">
        <v>124</v>
      </c>
      <c r="C694" t="str">
        <v>UND</v>
      </c>
      <c r="D694">
        <v>1417.88</v>
      </c>
      <c r="E694">
        <v>175817.12000000002</v>
      </c>
    </row>
    <row r="695" spans="1:5">
      <c r="A695" t="str">
        <v>Tuerca Hexagonal Inox 304 7/8"</v>
      </c>
      <c r="B695">
        <v>6</v>
      </c>
      <c r="C695" t="str">
        <v>UND</v>
      </c>
      <c r="D695">
        <v>0</v>
      </c>
      <c r="E695">
        <v>0</v>
      </c>
    </row>
    <row r="696" spans="1:5">
      <c r="A696" t="str">
        <v>Tuerca Inox 1"</v>
      </c>
      <c r="B696">
        <v>18</v>
      </c>
      <c r="C696" t="str">
        <v>UND</v>
      </c>
      <c r="D696">
        <v>0</v>
      </c>
      <c r="E696">
        <v>0</v>
      </c>
    </row>
    <row r="697" spans="1:5">
      <c r="A697" t="str">
        <v>Tuerca Inox A2 - 70 1"</v>
      </c>
      <c r="B697">
        <v>5</v>
      </c>
      <c r="C697" t="str">
        <v>UND</v>
      </c>
      <c r="D697">
        <v>0</v>
      </c>
      <c r="E697">
        <v>0</v>
      </c>
    </row>
    <row r="698" spans="1:5" hidden="1">
      <c r="A698" t="str">
        <v>Unión HI Temp 2" CPVC</v>
      </c>
      <c r="B698">
        <v>6</v>
      </c>
      <c r="C698" t="str">
        <v>UND</v>
      </c>
      <c r="D698">
        <v>18928</v>
      </c>
      <c r="E698">
        <v>113568</v>
      </c>
    </row>
    <row r="699" spans="1:5" hidden="1">
      <c r="A699" t="str">
        <v>Union lisa CPVC SCH 40 (Ultratemp)1"</v>
      </c>
      <c r="B699">
        <v>6</v>
      </c>
      <c r="C699" t="str">
        <v>UND</v>
      </c>
      <c r="D699">
        <v>4151</v>
      </c>
      <c r="E699">
        <v>24906</v>
      </c>
    </row>
    <row r="700" spans="1:5" hidden="1">
      <c r="A700" t="str">
        <v>Union lisa CPVC SCH 40 (Ultratemp)1/2"</v>
      </c>
      <c r="B700">
        <v>6</v>
      </c>
      <c r="C700" t="str">
        <v>UND</v>
      </c>
      <c r="D700">
        <v>840</v>
      </c>
      <c r="E700">
        <v>5040</v>
      </c>
    </row>
    <row r="701" spans="1:5" hidden="1">
      <c r="A701" t="str">
        <v>Union lisa CPVC SCH 40 (Ultratemp)1-1/2"</v>
      </c>
      <c r="B701">
        <v>7</v>
      </c>
      <c r="C701" t="str">
        <v>UND</v>
      </c>
      <c r="D701">
        <v>16833</v>
      </c>
      <c r="E701">
        <v>117831</v>
      </c>
    </row>
    <row r="702" spans="1:5" hidden="1">
      <c r="A702" t="str">
        <v>Union lisa PP azul 32x32</v>
      </c>
      <c r="B702">
        <v>11</v>
      </c>
      <c r="C702" t="str">
        <v>UND</v>
      </c>
      <c r="D702">
        <v>2313.6</v>
      </c>
      <c r="E702">
        <v>25449.599999999999</v>
      </c>
    </row>
    <row r="703" spans="1:5" hidden="1">
      <c r="A703" t="str">
        <v>Union lisa PP verde 20x20</v>
      </c>
      <c r="B703">
        <v>12</v>
      </c>
      <c r="C703" t="str">
        <v>UND</v>
      </c>
      <c r="D703">
        <v>1856</v>
      </c>
      <c r="E703">
        <v>22272</v>
      </c>
    </row>
    <row r="704" spans="1:5" hidden="1">
      <c r="A704" t="str">
        <v>Union lisa PVC presion SCH 40 1"</v>
      </c>
      <c r="B704">
        <v>2</v>
      </c>
      <c r="C704" t="str">
        <v>UND</v>
      </c>
      <c r="D704">
        <v>631.67999999999995</v>
      </c>
      <c r="E704">
        <v>1263.3599999999999</v>
      </c>
    </row>
    <row r="705" spans="1:5" hidden="1">
      <c r="A705" t="str">
        <v>Union lisa PVC presion SCH 40 1/2"</v>
      </c>
      <c r="B705">
        <v>35</v>
      </c>
      <c r="C705" t="str">
        <v>UND</v>
      </c>
      <c r="D705">
        <v>244.31999999999996</v>
      </c>
      <c r="E705">
        <v>8551.1999999999989</v>
      </c>
    </row>
    <row r="706" spans="1:5" hidden="1">
      <c r="A706" t="str">
        <v>Union lisa PVC presion SCH 40 1-1/2"</v>
      </c>
      <c r="B706">
        <v>13</v>
      </c>
      <c r="C706" t="str">
        <v>UND</v>
      </c>
      <c r="D706">
        <v>1580.1599999999999</v>
      </c>
      <c r="E706">
        <v>20542.079999999998</v>
      </c>
    </row>
    <row r="707" spans="1:5" hidden="1">
      <c r="A707" t="str">
        <v>Union lisa PVC presion SCH 40 1-1/4"</v>
      </c>
      <c r="B707">
        <v>36</v>
      </c>
      <c r="C707" t="str">
        <v>UND</v>
      </c>
      <c r="D707">
        <v>1156.8</v>
      </c>
      <c r="E707">
        <v>41644.799999999996</v>
      </c>
    </row>
    <row r="708" spans="1:5" hidden="1">
      <c r="A708" t="str">
        <v>Union lisa PVC presion SCH 40 3/4"</v>
      </c>
      <c r="B708">
        <v>73</v>
      </c>
      <c r="C708" t="str">
        <v>UND</v>
      </c>
      <c r="D708">
        <v>385.44</v>
      </c>
      <c r="E708">
        <v>28137.119999999999</v>
      </c>
    </row>
    <row r="709" spans="1:5" hidden="1">
      <c r="A709" t="str">
        <v>Union lisa PVC presion SCH 40 4"</v>
      </c>
      <c r="B709">
        <v>18</v>
      </c>
      <c r="C709" t="str">
        <v>UND</v>
      </c>
      <c r="D709">
        <v>27565.919999999998</v>
      </c>
      <c r="E709">
        <v>496186.55999999994</v>
      </c>
    </row>
    <row r="710" spans="1:5" hidden="1">
      <c r="A710" t="str">
        <v>Union lisa PVC presion SCH 40 6"</v>
      </c>
      <c r="B710">
        <v>1</v>
      </c>
      <c r="C710" t="str">
        <v>UND</v>
      </c>
      <c r="D710">
        <v>77436.800000000003</v>
      </c>
      <c r="E710">
        <v>77436.800000000003</v>
      </c>
    </row>
    <row r="711" spans="1:5" hidden="1">
      <c r="A711" t="str">
        <v>Union lisa PVC presion SCH 80 1"</v>
      </c>
      <c r="B711">
        <v>2</v>
      </c>
      <c r="C711" t="str">
        <v>UND</v>
      </c>
      <c r="D711">
        <v>7440</v>
      </c>
      <c r="E711">
        <v>14880</v>
      </c>
    </row>
    <row r="712" spans="1:5" hidden="1">
      <c r="A712" t="str">
        <v>Union lisa PVC presion SCH 80 1/2"</v>
      </c>
      <c r="B712">
        <v>13</v>
      </c>
      <c r="C712" t="str">
        <v>UND</v>
      </c>
      <c r="D712">
        <v>9491.2000000000007</v>
      </c>
      <c r="E712">
        <v>123385.60000000001</v>
      </c>
    </row>
    <row r="713" spans="1:5" hidden="1">
      <c r="A713" t="str">
        <v>Union lisa PVC presion SCH 80 1-1/2"</v>
      </c>
      <c r="B713">
        <v>4</v>
      </c>
      <c r="C713" t="str">
        <v>UND</v>
      </c>
      <c r="D713">
        <v>16160</v>
      </c>
      <c r="E713">
        <v>64640</v>
      </c>
    </row>
    <row r="714" spans="1:5" hidden="1">
      <c r="A714" t="str">
        <v>Union lisa PVC presion SCH 80 6"</v>
      </c>
      <c r="B714">
        <v>1</v>
      </c>
      <c r="C714" t="str">
        <v>UND</v>
      </c>
      <c r="D714">
        <v>116160</v>
      </c>
      <c r="E714">
        <v>116160</v>
      </c>
    </row>
    <row r="715" spans="1:5" hidden="1">
      <c r="A715" t="str">
        <v>Union lisa PVC presion soldar 3"</v>
      </c>
      <c r="B715">
        <v>20</v>
      </c>
      <c r="C715" t="str">
        <v>UND</v>
      </c>
      <c r="D715">
        <v>11249.279999999999</v>
      </c>
      <c r="E715">
        <v>224985.59999999998</v>
      </c>
    </row>
    <row r="716" spans="1:5" hidden="1">
      <c r="A716" t="str">
        <v>Union lisa PVC sanitario  1-1/2"</v>
      </c>
      <c r="B716">
        <v>3</v>
      </c>
      <c r="C716" t="str">
        <v>UND</v>
      </c>
      <c r="D716">
        <v>1443.5</v>
      </c>
      <c r="E716">
        <v>4330.5</v>
      </c>
    </row>
    <row r="717" spans="1:5" hidden="1">
      <c r="A717" t="str">
        <v>Union lisa PVC sanitario  2"</v>
      </c>
      <c r="B717">
        <v>13</v>
      </c>
      <c r="C717" t="str">
        <v>UND</v>
      </c>
      <c r="D717">
        <v>1653</v>
      </c>
      <c r="E717">
        <v>21489</v>
      </c>
    </row>
    <row r="718" spans="1:5" hidden="1">
      <c r="A718" t="str">
        <v>Union lisa PVC sanitario  4"</v>
      </c>
      <c r="B718">
        <v>11</v>
      </c>
      <c r="C718" t="str">
        <v>UND</v>
      </c>
      <c r="D718">
        <v>4809</v>
      </c>
      <c r="E718">
        <v>52899</v>
      </c>
    </row>
    <row r="719" spans="1:5" hidden="1">
      <c r="A719" t="str">
        <v>Union lisa PVC sanitario  6"</v>
      </c>
      <c r="B719">
        <v>8</v>
      </c>
      <c r="C719" t="str">
        <v>UND</v>
      </c>
      <c r="D719">
        <v>20890</v>
      </c>
      <c r="E719">
        <v>167120</v>
      </c>
    </row>
    <row r="720" spans="1:5" hidden="1">
      <c r="A720" t="str">
        <v>Union lisa PVC sanitario  8"</v>
      </c>
      <c r="B720">
        <v>1</v>
      </c>
      <c r="C720" t="str">
        <v>UND</v>
      </c>
      <c r="D720">
        <v>60123</v>
      </c>
      <c r="E720">
        <v>60123</v>
      </c>
    </row>
    <row r="721" spans="1:5" hidden="1">
      <c r="A721" t="str">
        <v>Union Roscar Galvanizada SCH 40 1/2"</v>
      </c>
      <c r="B721">
        <v>12</v>
      </c>
      <c r="C721" t="str">
        <v>UND</v>
      </c>
      <c r="D721">
        <v>1618</v>
      </c>
      <c r="E721">
        <v>19416</v>
      </c>
    </row>
    <row r="722" spans="1:5" hidden="1">
      <c r="A722" t="str">
        <v>Union Roscar Galvanizada SCH 40 1/4"</v>
      </c>
      <c r="B722">
        <v>2</v>
      </c>
      <c r="C722" t="str">
        <v>UND</v>
      </c>
      <c r="D722">
        <v>1400</v>
      </c>
      <c r="E722">
        <v>2800</v>
      </c>
    </row>
    <row r="723" spans="1:5" hidden="1">
      <c r="A723" t="str">
        <v>Union Roscar Galvanizada SCH 40 1-1/2"</v>
      </c>
      <c r="B723">
        <v>7</v>
      </c>
      <c r="C723" t="str">
        <v>UND</v>
      </c>
      <c r="D723">
        <v>4880</v>
      </c>
      <c r="E723">
        <v>34160</v>
      </c>
    </row>
    <row r="724" spans="1:5" hidden="1">
      <c r="A724" t="str">
        <v>Union Roscar Galvanizada SCH 40 1-1/4"</v>
      </c>
      <c r="B724">
        <v>2</v>
      </c>
      <c r="C724" t="str">
        <v>UND</v>
      </c>
      <c r="D724">
        <v>3689</v>
      </c>
      <c r="E724">
        <v>7378</v>
      </c>
    </row>
    <row r="725" spans="1:5" hidden="1">
      <c r="A725" t="str">
        <v>Union Roscar Galvanizada SCH 40 2"</v>
      </c>
      <c r="B725">
        <v>3</v>
      </c>
      <c r="C725" t="str">
        <v>UND</v>
      </c>
      <c r="D725">
        <v>8480</v>
      </c>
      <c r="E725">
        <v>25440</v>
      </c>
    </row>
    <row r="726" spans="1:5" hidden="1">
      <c r="A726" t="str">
        <v>Union Roscar Galvanizada SCH 40 2-1/2"</v>
      </c>
      <c r="B726">
        <v>4</v>
      </c>
      <c r="C726" t="str">
        <v>UND</v>
      </c>
      <c r="D726">
        <v>11775</v>
      </c>
      <c r="E726">
        <v>47100</v>
      </c>
    </row>
    <row r="727" spans="1:5" hidden="1">
      <c r="A727" t="str">
        <v>Union Roscar Galvanizada SCH 40 3/4"</v>
      </c>
      <c r="B727">
        <v>6</v>
      </c>
      <c r="C727" t="str">
        <v>UND</v>
      </c>
      <c r="D727">
        <v>2700</v>
      </c>
      <c r="E727">
        <v>16200</v>
      </c>
    </row>
    <row r="728" spans="1:5" hidden="1">
      <c r="A728" t="str">
        <v>Union roscar Inox 304  150 L 2"</v>
      </c>
      <c r="B728">
        <v>-2</v>
      </c>
      <c r="C728" t="str">
        <v>UND</v>
      </c>
      <c r="D728">
        <v>0</v>
      </c>
      <c r="E728">
        <v>0</v>
      </c>
    </row>
    <row r="729" spans="1:5" hidden="1">
      <c r="A729" t="str">
        <v>Union roscar Inox 304 150 L 1"</v>
      </c>
      <c r="B729">
        <v>3</v>
      </c>
      <c r="C729" t="str">
        <v>UND</v>
      </c>
      <c r="D729">
        <v>6568</v>
      </c>
      <c r="E729">
        <v>19704</v>
      </c>
    </row>
    <row r="730" spans="1:5" hidden="1">
      <c r="A730" t="str">
        <v>Union roscar Inox 304 150 L 1/2"</v>
      </c>
      <c r="B730">
        <v>3</v>
      </c>
      <c r="C730" t="str">
        <v>UND</v>
      </c>
      <c r="D730">
        <v>3240</v>
      </c>
      <c r="E730">
        <v>9720</v>
      </c>
    </row>
    <row r="731" spans="1:5" hidden="1">
      <c r="A731" t="str">
        <v>Union roscar Inox 304 150 L 1-1/2"</v>
      </c>
      <c r="B731">
        <v>6</v>
      </c>
      <c r="C731" t="str">
        <v>UND</v>
      </c>
      <c r="D731">
        <v>11952</v>
      </c>
      <c r="E731">
        <v>71712</v>
      </c>
    </row>
    <row r="732" spans="1:5" hidden="1">
      <c r="A732" t="str">
        <v>Union roscar Inox 304 150 L 1-1/4"</v>
      </c>
      <c r="B732">
        <v>2</v>
      </c>
      <c r="C732" t="str">
        <v>UND</v>
      </c>
      <c r="D732">
        <v>15735</v>
      </c>
      <c r="E732">
        <v>31470</v>
      </c>
    </row>
    <row r="733" spans="1:5" hidden="1">
      <c r="A733" t="str">
        <v>Union roscar Inox 304 150 L 2-1/2"</v>
      </c>
      <c r="B733">
        <v>2</v>
      </c>
      <c r="C733" t="str">
        <v>UND</v>
      </c>
      <c r="D733">
        <v>44848</v>
      </c>
      <c r="E733">
        <v>89696</v>
      </c>
    </row>
    <row r="734" spans="1:5" hidden="1">
      <c r="A734" t="str">
        <v>Union roscar Inox 304 150 L 3/4"</v>
      </c>
      <c r="B734">
        <v>2</v>
      </c>
      <c r="C734" t="str">
        <v>UND</v>
      </c>
      <c r="D734">
        <v>5280</v>
      </c>
      <c r="E734">
        <v>10560</v>
      </c>
    </row>
    <row r="735" spans="1:5" hidden="1">
      <c r="A735" t="str">
        <v>Union roscar inox 304 SCH 40 1/2"</v>
      </c>
      <c r="B735">
        <v>-2</v>
      </c>
      <c r="C735" t="str">
        <v>UND</v>
      </c>
      <c r="D735">
        <v>0</v>
      </c>
      <c r="E735">
        <v>0</v>
      </c>
    </row>
    <row r="736" spans="1:5" hidden="1">
      <c r="A736" t="str">
        <v>Universal  lisa PVC presion SCH 40 1/2"</v>
      </c>
      <c r="B736">
        <v>5</v>
      </c>
      <c r="C736" t="str">
        <v>UND</v>
      </c>
      <c r="D736">
        <v>2125.92</v>
      </c>
      <c r="E736">
        <v>10629.6</v>
      </c>
    </row>
    <row r="737" spans="1:5" hidden="1">
      <c r="A737" t="str">
        <v>Universal  lisa PVC presion SCH 40 1-1/4"</v>
      </c>
      <c r="B737">
        <v>14</v>
      </c>
      <c r="C737" t="str">
        <v>UND</v>
      </c>
      <c r="D737">
        <v>4301.76</v>
      </c>
      <c r="E737">
        <v>60224.639999999999</v>
      </c>
    </row>
    <row r="738" spans="1:5" hidden="1">
      <c r="A738" t="str">
        <v>Universal  lisa PVC presion SCH 80 1-1/4"</v>
      </c>
      <c r="B738">
        <v>8</v>
      </c>
      <c r="C738" t="str">
        <v>UND</v>
      </c>
      <c r="D738">
        <v>53615.200000000004</v>
      </c>
      <c r="E738">
        <v>428921.60000000003</v>
      </c>
    </row>
    <row r="739" spans="1:5" hidden="1">
      <c r="A739" t="str">
        <v>Universal  lisa PVC presion soldar 3"</v>
      </c>
      <c r="B739">
        <v>2</v>
      </c>
      <c r="C739" t="str">
        <v>UND</v>
      </c>
      <c r="D739">
        <v>24880</v>
      </c>
      <c r="E739">
        <v>49760</v>
      </c>
    </row>
    <row r="740" spans="1:5" hidden="1">
      <c r="A740" t="str">
        <v>Universal lisa  PVC presion SCH 40 1"</v>
      </c>
      <c r="B740">
        <v>20</v>
      </c>
      <c r="C740" t="str">
        <v>UND</v>
      </c>
      <c r="D740">
        <v>5697.5999999999995</v>
      </c>
      <c r="E740">
        <v>113951.99999999999</v>
      </c>
    </row>
    <row r="741" spans="1:5" hidden="1">
      <c r="A741" t="str">
        <v>Universal lisa  PVC presion SCH 80 1"</v>
      </c>
      <c r="B741">
        <v>1</v>
      </c>
      <c r="C741" t="str">
        <v>UND</v>
      </c>
      <c r="D741">
        <v>10800</v>
      </c>
      <c r="E741">
        <v>10800</v>
      </c>
    </row>
    <row r="742" spans="1:5" hidden="1">
      <c r="A742" t="str">
        <v>Universal lisa PVC presion SCH 40 1-1/2"</v>
      </c>
      <c r="B742">
        <v>17</v>
      </c>
      <c r="C742" t="str">
        <v>UND</v>
      </c>
      <c r="D742">
        <v>17652.48</v>
      </c>
      <c r="E742">
        <v>300092.15999999997</v>
      </c>
    </row>
    <row r="743" spans="1:5" hidden="1">
      <c r="A743" t="str">
        <v>Universal lisa PVC presion SCH 40 2"</v>
      </c>
      <c r="B743">
        <v>12</v>
      </c>
      <c r="C743" t="str">
        <v>UND</v>
      </c>
      <c r="D743">
        <v>22564.799999999999</v>
      </c>
      <c r="E743">
        <v>270777.59999999998</v>
      </c>
    </row>
    <row r="744" spans="1:5" hidden="1">
      <c r="A744" t="str">
        <v>Universal lisa PVC presion SCH 40 2-1/2"</v>
      </c>
      <c r="B744">
        <v>5</v>
      </c>
      <c r="C744" t="str">
        <v>UND</v>
      </c>
      <c r="D744">
        <v>22296</v>
      </c>
      <c r="E744">
        <v>111480</v>
      </c>
    </row>
    <row r="745" spans="1:5" hidden="1">
      <c r="A745" t="str">
        <v>Universal lisa PVC presion SCH 40 3/4"</v>
      </c>
      <c r="B745">
        <v>4</v>
      </c>
      <c r="C745" t="str">
        <v>UND</v>
      </c>
      <c r="D745">
        <v>3769.44</v>
      </c>
      <c r="E745">
        <v>15077.76</v>
      </c>
    </row>
    <row r="746" spans="1:5" hidden="1">
      <c r="A746" t="str">
        <v>Universal lisa PVC presion SCH 80 1/2"</v>
      </c>
      <c r="B746">
        <v>2</v>
      </c>
      <c r="C746" t="str">
        <v>UND</v>
      </c>
      <c r="D746">
        <v>12160</v>
      </c>
      <c r="E746">
        <v>24320</v>
      </c>
    </row>
    <row r="747" spans="1:5" hidden="1">
      <c r="A747" t="str">
        <v>Universal lisa PVC presion SCH 80 1-1/2"</v>
      </c>
      <c r="B747">
        <v>5</v>
      </c>
      <c r="C747" t="str">
        <v>UND</v>
      </c>
      <c r="D747">
        <v>55840</v>
      </c>
      <c r="E747">
        <v>279200</v>
      </c>
    </row>
    <row r="748" spans="1:5" hidden="1">
      <c r="A748" t="str">
        <v>Universal PP  azul 20</v>
      </c>
      <c r="B748">
        <v>10</v>
      </c>
      <c r="C748" t="str">
        <v>UND</v>
      </c>
      <c r="D748">
        <v>12960</v>
      </c>
      <c r="E748">
        <v>129600</v>
      </c>
    </row>
    <row r="749" spans="1:5" hidden="1">
      <c r="A749" t="str">
        <v>Universal PP  azul 32</v>
      </c>
      <c r="B749">
        <v>13</v>
      </c>
      <c r="C749" t="str">
        <v>UND</v>
      </c>
      <c r="D749">
        <v>12888</v>
      </c>
      <c r="E749">
        <v>167544</v>
      </c>
    </row>
    <row r="750" spans="1:5" hidden="1">
      <c r="A750" t="str">
        <v>Universal PP  verde 20</v>
      </c>
      <c r="B750">
        <v>7</v>
      </c>
      <c r="C750" t="str">
        <v>UND</v>
      </c>
      <c r="D750">
        <v>12960</v>
      </c>
      <c r="E750">
        <v>90720</v>
      </c>
    </row>
    <row r="751" spans="1:5" hidden="1">
      <c r="A751" t="str">
        <v>Universal roscada PVC presion SCH 40 1"</v>
      </c>
      <c r="B751">
        <v>5</v>
      </c>
      <c r="C751" t="str">
        <v>UND</v>
      </c>
      <c r="D751">
        <v>5688</v>
      </c>
      <c r="E751">
        <v>28440</v>
      </c>
    </row>
    <row r="752" spans="1:5" hidden="1">
      <c r="A752" t="str">
        <v>Universal roscada PVC presion SCH 40 1/2"</v>
      </c>
      <c r="B752">
        <v>5</v>
      </c>
      <c r="C752" t="str">
        <v>UND</v>
      </c>
      <c r="D752">
        <v>2520</v>
      </c>
      <c r="E752">
        <v>12600</v>
      </c>
    </row>
    <row r="753" spans="1:5" hidden="1">
      <c r="A753" t="str">
        <v>Universal roscada PVC presion SCH 40 2-1/2"</v>
      </c>
      <c r="B753">
        <v>3</v>
      </c>
      <c r="C753" t="str">
        <v>UND</v>
      </c>
      <c r="D753">
        <v>16960</v>
      </c>
      <c r="E753">
        <v>50880</v>
      </c>
    </row>
    <row r="754" spans="1:5" hidden="1">
      <c r="A754" t="str">
        <v>Universal Roscar Galvanizada SCH 40 1"</v>
      </c>
      <c r="B754">
        <v>9</v>
      </c>
      <c r="C754" t="str">
        <v>UND</v>
      </c>
      <c r="D754">
        <v>11904</v>
      </c>
      <c r="E754">
        <v>107136</v>
      </c>
    </row>
    <row r="755" spans="1:5" hidden="1">
      <c r="A755" t="str">
        <v>Universal Roscar Galvanizada SCH 40 1/2"</v>
      </c>
      <c r="B755">
        <v>2</v>
      </c>
      <c r="C755" t="str">
        <v>UND</v>
      </c>
      <c r="D755">
        <v>9618</v>
      </c>
      <c r="E755">
        <v>19236</v>
      </c>
    </row>
    <row r="756" spans="1:5" hidden="1">
      <c r="A756" t="str">
        <v>Universal Roscar Galvanizada SCH 40 1-1/2"</v>
      </c>
      <c r="B756">
        <v>3</v>
      </c>
      <c r="C756" t="str">
        <v>UND</v>
      </c>
      <c r="D756">
        <v>23040</v>
      </c>
      <c r="E756">
        <v>69120</v>
      </c>
    </row>
    <row r="757" spans="1:5" hidden="1">
      <c r="A757" t="str">
        <v>Universal Roscar Galvanizada SCH 40 1-1/4"</v>
      </c>
      <c r="B757">
        <v>3</v>
      </c>
      <c r="C757" t="str">
        <v>UND</v>
      </c>
      <c r="D757">
        <v>13575</v>
      </c>
      <c r="E757">
        <v>40725</v>
      </c>
    </row>
    <row r="758" spans="1:5" hidden="1">
      <c r="A758" t="str">
        <v>Universal Roscar Galvanizada SCH 40 2"</v>
      </c>
      <c r="B758">
        <v>14</v>
      </c>
      <c r="C758" t="str">
        <v>UND</v>
      </c>
      <c r="D758">
        <v>36400</v>
      </c>
      <c r="E758">
        <v>509600</v>
      </c>
    </row>
    <row r="759" spans="1:5" hidden="1">
      <c r="A759" t="str">
        <v>Universal Roscar Galvanizada SCH 40 2-1/2"</v>
      </c>
      <c r="B759">
        <v>5</v>
      </c>
      <c r="C759" t="str">
        <v>UND</v>
      </c>
      <c r="D759">
        <v>62186</v>
      </c>
      <c r="E759">
        <v>310930</v>
      </c>
    </row>
    <row r="760" spans="1:5" hidden="1">
      <c r="A760" t="str">
        <v>Universal Roscar Inox 304  150 L 1/4"</v>
      </c>
      <c r="B760">
        <v>1</v>
      </c>
      <c r="C760" t="str">
        <v>UND</v>
      </c>
      <c r="D760">
        <v>6168</v>
      </c>
      <c r="E760">
        <v>6168</v>
      </c>
    </row>
    <row r="761" spans="1:5" hidden="1">
      <c r="A761" t="str">
        <v>Universal Roscar Inox 304  150 L 1-1/4"</v>
      </c>
      <c r="B761">
        <v>1</v>
      </c>
      <c r="C761" t="str">
        <v>UND</v>
      </c>
      <c r="D761">
        <v>20736</v>
      </c>
      <c r="E761">
        <v>20736</v>
      </c>
    </row>
    <row r="762" spans="1:5" hidden="1">
      <c r="A762" t="str">
        <v>Universal Roscar Inox 304 150 L 1"</v>
      </c>
      <c r="B762">
        <v>3</v>
      </c>
      <c r="C762" t="str">
        <v>UND</v>
      </c>
      <c r="D762">
        <v>17024</v>
      </c>
      <c r="E762">
        <v>51072</v>
      </c>
    </row>
    <row r="763" spans="1:5" hidden="1">
      <c r="A763" t="str">
        <v>Universal Roscar Inox 304 150 L 1/2"</v>
      </c>
      <c r="B763">
        <v>2</v>
      </c>
      <c r="C763" t="str">
        <v>UND</v>
      </c>
      <c r="D763">
        <v>9200</v>
      </c>
      <c r="E763">
        <v>18400</v>
      </c>
    </row>
    <row r="764" spans="1:5" hidden="1">
      <c r="A764" t="str">
        <v>Universal Roscar Inox 304 150 L 1-1/2"</v>
      </c>
      <c r="B764">
        <v>5</v>
      </c>
      <c r="C764" t="str">
        <v>UND</v>
      </c>
      <c r="D764">
        <v>42200</v>
      </c>
      <c r="E764">
        <v>211000</v>
      </c>
    </row>
    <row r="765" spans="1:5" hidden="1">
      <c r="A765" t="str">
        <v>Universal Roscar Inox 304 150 L 2"</v>
      </c>
      <c r="B765">
        <v>5</v>
      </c>
      <c r="C765" t="str">
        <v>UND</v>
      </c>
      <c r="D765">
        <v>35144</v>
      </c>
      <c r="E765">
        <v>175720</v>
      </c>
    </row>
    <row r="766" spans="1:5" hidden="1">
      <c r="A766" t="str">
        <v>Universal Roscar Inox 304 150 L 3/4"</v>
      </c>
      <c r="B766">
        <v>1</v>
      </c>
      <c r="C766" t="str">
        <v>UND</v>
      </c>
      <c r="D766">
        <v>15736</v>
      </c>
      <c r="E766">
        <v>15736</v>
      </c>
    </row>
    <row r="767" spans="1:5" hidden="1">
      <c r="A767" t="str">
        <v>Valvula  globo bronce 3/4" Pegler</v>
      </c>
      <c r="B767">
        <v>1</v>
      </c>
      <c r="C767" t="str">
        <v>UND</v>
      </c>
      <c r="D767">
        <v>57816</v>
      </c>
      <c r="E767">
        <v>57816</v>
      </c>
    </row>
    <row r="768" spans="1:5" hidden="1">
      <c r="A768" t="str">
        <v>Valvula alivio bronce 1- 1/2x1-1/2" Malgorani</v>
      </c>
      <c r="B768">
        <v>1</v>
      </c>
      <c r="C768" t="str">
        <v>UND</v>
      </c>
      <c r="D768">
        <v>282176</v>
      </c>
      <c r="E768">
        <v>282176</v>
      </c>
    </row>
    <row r="769" spans="1:5" hidden="1">
      <c r="A769" t="str">
        <v>Valvula alivio bronce 1- 1/2x1-1/2" Safety</v>
      </c>
      <c r="B769">
        <v>1</v>
      </c>
      <c r="C769" t="str">
        <v>UND</v>
      </c>
      <c r="D769">
        <v>476400</v>
      </c>
      <c r="E769">
        <v>476400</v>
      </c>
    </row>
    <row r="770" spans="1:5" hidden="1">
      <c r="A770" t="str">
        <v>Valvula alivio bronce 1/2x1/2" Safety</v>
      </c>
      <c r="B770">
        <v>5</v>
      </c>
      <c r="C770" t="str">
        <v>UND</v>
      </c>
      <c r="D770">
        <v>226288</v>
      </c>
      <c r="E770">
        <v>1131440</v>
      </c>
    </row>
    <row r="771" spans="1:5" hidden="1">
      <c r="A771" t="str">
        <v>Valvula alivio bronce 1x1" Safety</v>
      </c>
      <c r="B771">
        <v>1</v>
      </c>
      <c r="C771" t="str">
        <v>UND</v>
      </c>
      <c r="D771">
        <v>316848</v>
      </c>
      <c r="E771">
        <v>316848</v>
      </c>
    </row>
    <row r="772" spans="1:5" hidden="1">
      <c r="A772" t="str">
        <v>Valvula alivio bronce 2x2" Helbert</v>
      </c>
      <c r="B772">
        <v>1</v>
      </c>
      <c r="C772" t="str">
        <v>UND</v>
      </c>
      <c r="D772">
        <v>878584</v>
      </c>
      <c r="E772">
        <v>878584</v>
      </c>
    </row>
    <row r="773" spans="1:5" hidden="1">
      <c r="A773" t="str">
        <v>Valvula alivio Inox 316 1/2x1" Safety 150 PSI</v>
      </c>
      <c r="B773">
        <v>3</v>
      </c>
      <c r="C773" t="str">
        <v>UND</v>
      </c>
      <c r="D773">
        <v>555720</v>
      </c>
      <c r="E773">
        <v>1667160</v>
      </c>
    </row>
    <row r="774" spans="1:5" hidden="1">
      <c r="A774" t="str">
        <v>Valvula compuerta PL  bronce 1-1/2" RW</v>
      </c>
      <c r="B774">
        <v>2</v>
      </c>
      <c r="C774" t="str">
        <v>UND</v>
      </c>
      <c r="D774">
        <v>153208</v>
      </c>
      <c r="E774">
        <v>306416</v>
      </c>
    </row>
    <row r="775" spans="1:5" hidden="1">
      <c r="A775" t="str">
        <v>Valvula compuerta PL bronce 1" Italy</v>
      </c>
      <c r="B775">
        <v>1</v>
      </c>
      <c r="C775" t="str">
        <v>UND</v>
      </c>
      <c r="D775">
        <v>31848</v>
      </c>
      <c r="E775">
        <v>31848</v>
      </c>
    </row>
    <row r="776" spans="1:5" hidden="1">
      <c r="A776" t="str">
        <v>Valvula compuerta PL bronce 1" Napoli</v>
      </c>
      <c r="B776">
        <v>1</v>
      </c>
      <c r="C776" t="str">
        <v>UND</v>
      </c>
      <c r="D776">
        <v>32960</v>
      </c>
      <c r="E776">
        <v>32960</v>
      </c>
    </row>
    <row r="777" spans="1:5" hidden="1">
      <c r="A777" t="str">
        <v>Valvula compuerta PL bronce 1" RW</v>
      </c>
      <c r="B777">
        <v>5</v>
      </c>
      <c r="C777" t="str">
        <v>UND</v>
      </c>
      <c r="D777">
        <v>85040</v>
      </c>
      <c r="E777">
        <v>425200</v>
      </c>
    </row>
    <row r="778" spans="1:5" hidden="1">
      <c r="A778" t="str">
        <v>Valvula compuerta PL bronce 1"Double-lin</v>
      </c>
      <c r="B778">
        <v>2</v>
      </c>
      <c r="C778" t="str">
        <v>UND</v>
      </c>
      <c r="D778">
        <v>31848</v>
      </c>
      <c r="E778">
        <v>63696</v>
      </c>
    </row>
    <row r="779" spans="1:5" hidden="1">
      <c r="A779" t="str">
        <v>Valvula compuerta PL bronce 1/2" RW</v>
      </c>
      <c r="B779">
        <v>2</v>
      </c>
      <c r="C779" t="str">
        <v>UND</v>
      </c>
      <c r="D779">
        <v>13752</v>
      </c>
      <c r="E779">
        <v>27504</v>
      </c>
    </row>
    <row r="780" spans="1:5" hidden="1">
      <c r="A780" t="str">
        <v>Valvula compuerta PL bronce 1/4" (sin marca)</v>
      </c>
      <c r="B780">
        <v>1</v>
      </c>
      <c r="C780" t="str">
        <v>UND</v>
      </c>
      <c r="D780">
        <v>32385</v>
      </c>
      <c r="E780">
        <v>32385</v>
      </c>
    </row>
    <row r="781" spans="1:5" hidden="1">
      <c r="A781" t="str">
        <v>Valvula compuerta PL bronce 1-1/4" Double-lin</v>
      </c>
      <c r="B781">
        <v>1</v>
      </c>
      <c r="C781" t="str">
        <v>UND</v>
      </c>
      <c r="D781">
        <v>32520</v>
      </c>
      <c r="E781">
        <v>32520</v>
      </c>
    </row>
    <row r="782" spans="1:5" hidden="1">
      <c r="A782" t="str">
        <v>Valvula compuerta PL bronce 2" Double-lin</v>
      </c>
      <c r="B782">
        <v>1</v>
      </c>
      <c r="C782" t="str">
        <v>UND</v>
      </c>
      <c r="D782">
        <v>62312</v>
      </c>
      <c r="E782">
        <v>62312</v>
      </c>
    </row>
    <row r="783" spans="1:5" hidden="1">
      <c r="A783" t="str">
        <v>Valvula compuerta PL bronce 2" Toyo-RW</v>
      </c>
      <c r="B783">
        <v>2</v>
      </c>
      <c r="C783" t="str">
        <v>UND</v>
      </c>
      <c r="D783">
        <v>273456</v>
      </c>
      <c r="E783">
        <v>546912</v>
      </c>
    </row>
    <row r="784" spans="1:5" hidden="1">
      <c r="A784" t="str">
        <v>Valvula compuerta PL bronce 2-1/2" Double-lin</v>
      </c>
      <c r="B784">
        <v>4</v>
      </c>
      <c r="C784" t="str">
        <v>UND</v>
      </c>
      <c r="D784">
        <v>161100</v>
      </c>
      <c r="E784">
        <v>644400</v>
      </c>
    </row>
    <row r="785" spans="1:5" hidden="1">
      <c r="A785" t="str">
        <v>Valvula compuerta PL bronce 3 " Italy</v>
      </c>
      <c r="B785">
        <v>1</v>
      </c>
      <c r="C785" t="str">
        <v>UND</v>
      </c>
      <c r="D785">
        <v>127238</v>
      </c>
      <c r="E785">
        <v>127238</v>
      </c>
    </row>
    <row r="786" spans="1:5" hidden="1">
      <c r="A786" t="str">
        <v>Valvula compuerta PL bronce 3/4" Double-lin</v>
      </c>
      <c r="B786">
        <v>9</v>
      </c>
      <c r="C786" t="str">
        <v>UND</v>
      </c>
      <c r="D786">
        <v>15912</v>
      </c>
      <c r="E786">
        <v>143208</v>
      </c>
    </row>
    <row r="787" spans="1:5" hidden="1">
      <c r="A787" t="str">
        <v>Valvula compuerta PL bronce 3/4" RW</v>
      </c>
      <c r="B787">
        <v>1</v>
      </c>
      <c r="C787" t="str">
        <v>UND</v>
      </c>
      <c r="D787">
        <v>56544</v>
      </c>
      <c r="E787">
        <v>56544</v>
      </c>
    </row>
    <row r="788" spans="1:5" hidden="1">
      <c r="A788" t="str">
        <v>Valvula compuerta PL Inox 316  1" 200 PSI Double-Lin</v>
      </c>
      <c r="B788">
        <v>1</v>
      </c>
      <c r="C788" t="str">
        <v>UND</v>
      </c>
      <c r="D788">
        <v>70624</v>
      </c>
      <c r="E788">
        <v>70624</v>
      </c>
    </row>
    <row r="789" spans="1:5" hidden="1">
      <c r="A789" t="str">
        <v>Valvula compuerta PL Inox 316  1" 200 PSI Magna</v>
      </c>
      <c r="B789">
        <v>9</v>
      </c>
      <c r="C789" t="str">
        <v>UND</v>
      </c>
      <c r="D789">
        <v>70624</v>
      </c>
      <c r="E789">
        <v>635616</v>
      </c>
    </row>
    <row r="790" spans="1:5" hidden="1">
      <c r="A790" t="str">
        <v>Valvula compuerta PL Inox 316  1" 200 PSI SIO</v>
      </c>
      <c r="B790">
        <v>8</v>
      </c>
      <c r="C790" t="str">
        <v>UND</v>
      </c>
      <c r="D790">
        <v>70624</v>
      </c>
      <c r="E790">
        <v>564992</v>
      </c>
    </row>
    <row r="791" spans="1:5" hidden="1">
      <c r="A791" t="str">
        <v>Valvula compuerta PL Inox 316  1" 200 PSI volante negro (3) volante rojo (3) (sin marca)</v>
      </c>
      <c r="B791">
        <v>6</v>
      </c>
      <c r="C791" t="str">
        <v>UND</v>
      </c>
      <c r="D791">
        <v>73344</v>
      </c>
      <c r="E791">
        <v>440064</v>
      </c>
    </row>
    <row r="792" spans="1:5" hidden="1">
      <c r="A792" t="str">
        <v>Valvula compuerta PL Inox 316 1-1/2" 200 PSI Magna</v>
      </c>
      <c r="B792">
        <v>3</v>
      </c>
      <c r="C792" t="str">
        <v>UND</v>
      </c>
      <c r="D792">
        <v>141128</v>
      </c>
      <c r="E792">
        <v>423384</v>
      </c>
    </row>
    <row r="793" spans="1:5" hidden="1">
      <c r="A793" t="str">
        <v>Valvula compuerta PL Inox 316 1-1/2" 200 PSI SIO</v>
      </c>
      <c r="B793">
        <v>1</v>
      </c>
      <c r="C793" t="str">
        <v>UND</v>
      </c>
      <c r="D793">
        <v>141128</v>
      </c>
      <c r="E793">
        <v>141128</v>
      </c>
    </row>
    <row r="794" spans="1:5" hidden="1">
      <c r="A794" t="str">
        <v>Valvula compuerta PL Inox 316 2" 200 PSI Magna</v>
      </c>
      <c r="B794">
        <v>1</v>
      </c>
      <c r="C794" t="str">
        <v>UND</v>
      </c>
      <c r="D794">
        <v>209536</v>
      </c>
      <c r="E794">
        <v>209536</v>
      </c>
    </row>
    <row r="795" spans="1:5" hidden="1">
      <c r="A795" t="str">
        <v>Valvula compuerta PL Inox 316 3/4" 200 PSI (sin marca)</v>
      </c>
      <c r="B795">
        <v>3</v>
      </c>
      <c r="C795" t="str">
        <v>UND</v>
      </c>
      <c r="D795">
        <v>51240</v>
      </c>
      <c r="E795">
        <v>153720</v>
      </c>
    </row>
    <row r="796" spans="1:5" hidden="1">
      <c r="A796" t="str">
        <v>Valvula de bola  PP azul 20 mm  PN 25</v>
      </c>
      <c r="B796">
        <v>64</v>
      </c>
      <c r="C796" t="str">
        <v>UND</v>
      </c>
      <c r="D796">
        <v>23440</v>
      </c>
      <c r="E796">
        <v>1500160</v>
      </c>
    </row>
    <row r="797" spans="1:5" hidden="1">
      <c r="A797" t="str">
        <v>Valvula de bola  PP azul 32 mm PN 25</v>
      </c>
      <c r="B797">
        <v>20</v>
      </c>
      <c r="C797" t="str">
        <v>UND</v>
      </c>
      <c r="D797">
        <v>52080</v>
      </c>
      <c r="E797">
        <v>1041600</v>
      </c>
    </row>
    <row r="798" spans="1:5" hidden="1">
      <c r="A798" t="str">
        <v>Valvula de bola  PP verde 20 mm PN 25</v>
      </c>
      <c r="B798">
        <v>3</v>
      </c>
      <c r="C798" t="str">
        <v>UND</v>
      </c>
      <c r="D798">
        <v>23440</v>
      </c>
      <c r="E798">
        <v>70320</v>
      </c>
    </row>
    <row r="799" spans="1:5" hidden="1">
      <c r="A799" t="str">
        <v>Valvula de bola doble universal lisa PVC presion SCH 40 1" (Hayward)</v>
      </c>
      <c r="B799">
        <v>5</v>
      </c>
      <c r="C799" t="str">
        <v>UND</v>
      </c>
      <c r="D799">
        <v>4310</v>
      </c>
      <c r="E799">
        <v>21550</v>
      </c>
    </row>
    <row r="800" spans="1:5" hidden="1">
      <c r="A800" t="str">
        <v>Valvula de bola doble universal lisa/rosca  PVC presion SCH 40 1" (GF)</v>
      </c>
      <c r="B800">
        <v>1</v>
      </c>
      <c r="C800" t="str">
        <v>UND</v>
      </c>
      <c r="D800">
        <v>273412</v>
      </c>
      <c r="E800">
        <v>273412</v>
      </c>
    </row>
    <row r="801" spans="1:5" hidden="1">
      <c r="A801" t="str">
        <v>Valvula de bola doble Universal PVC presion SCH 40 1/2"</v>
      </c>
      <c r="B801">
        <v>2</v>
      </c>
      <c r="C801" t="str">
        <v>UND</v>
      </c>
      <c r="D801">
        <v>27968</v>
      </c>
      <c r="E801">
        <v>55936</v>
      </c>
    </row>
    <row r="802" spans="1:5" hidden="1">
      <c r="A802" t="str">
        <v>Valvula de bola doble Universal PVC presion SCH 40 1/2" Tecnoplastic</v>
      </c>
      <c r="B802">
        <v>32</v>
      </c>
      <c r="C802" t="str">
        <v>UND</v>
      </c>
      <c r="D802">
        <v>29928</v>
      </c>
      <c r="E802">
        <v>957696</v>
      </c>
    </row>
    <row r="803" spans="1:5" hidden="1">
      <c r="A803" t="str">
        <v>Valvula de bola doble Universal PVC presion SCH 40 1-1/2"</v>
      </c>
      <c r="B803">
        <v>2</v>
      </c>
      <c r="C803" t="str">
        <v>UND</v>
      </c>
      <c r="D803">
        <v>7624.8</v>
      </c>
      <c r="E803">
        <v>15249.6</v>
      </c>
    </row>
    <row r="804" spans="1:5" hidden="1">
      <c r="A804" t="str">
        <v>Valvula de bola doble Universal PVC presion SCH 40 1-1/2" sello en EPDM</v>
      </c>
      <c r="B804">
        <v>3</v>
      </c>
      <c r="C804" t="str">
        <v>UND</v>
      </c>
      <c r="D804">
        <v>140662</v>
      </c>
      <c r="E804">
        <v>421986</v>
      </c>
    </row>
    <row r="805" spans="1:5" hidden="1">
      <c r="A805" t="str">
        <v>Valvula de bola doble Universal PVC presion SCH 40 1-1/2" Tecnoplastic</v>
      </c>
      <c r="B805">
        <v>7</v>
      </c>
      <c r="C805" t="str">
        <v>UND</v>
      </c>
      <c r="D805">
        <v>83936</v>
      </c>
      <c r="E805">
        <v>587552</v>
      </c>
    </row>
    <row r="806" spans="1:5" hidden="1">
      <c r="A806" t="str">
        <v>Valvula de bola doble Universal PVC presion SCH 40 2" Tecnoplastic</v>
      </c>
      <c r="B806">
        <v>5</v>
      </c>
      <c r="C806" t="str">
        <v>UND</v>
      </c>
      <c r="D806">
        <v>115800</v>
      </c>
      <c r="E806">
        <v>579000</v>
      </c>
    </row>
    <row r="807" spans="1:5" hidden="1">
      <c r="A807" t="str">
        <v>Valvula de bola doble Universal PVC presion SCH 40 3/4" Tecnoplastic</v>
      </c>
      <c r="B807">
        <v>14</v>
      </c>
      <c r="C807" t="str">
        <v>UND</v>
      </c>
      <c r="D807">
        <v>35269</v>
      </c>
      <c r="E807">
        <v>493766</v>
      </c>
    </row>
    <row r="808" spans="1:5" hidden="1">
      <c r="A808" t="str">
        <v>Valvula de bola Inox 316 1/4" 1000 PSI SIO</v>
      </c>
      <c r="B808">
        <v>2</v>
      </c>
      <c r="C808" t="str">
        <v>UND</v>
      </c>
      <c r="D808">
        <v>16568</v>
      </c>
      <c r="E808">
        <v>33136</v>
      </c>
    </row>
    <row r="809" spans="1:5" hidden="1">
      <c r="A809" t="str">
        <v>Valvula de bola Inox 316 3/4" 1000 PSI SIO</v>
      </c>
      <c r="B809">
        <v>1</v>
      </c>
      <c r="C809" t="str">
        <v>UND</v>
      </c>
      <c r="D809">
        <v>28576</v>
      </c>
      <c r="E809">
        <v>28576</v>
      </c>
    </row>
    <row r="810" spans="1:5" hidden="1">
      <c r="A810" t="str">
        <v>Valvula de bola Inox 316 3/4" 1000 PSI Val-Valve</v>
      </c>
      <c r="B810">
        <v>2</v>
      </c>
      <c r="C810" t="str">
        <v>UND</v>
      </c>
      <c r="D810">
        <v>28576</v>
      </c>
      <c r="E810">
        <v>57152</v>
      </c>
    </row>
    <row r="811" spans="1:5" hidden="1">
      <c r="A811" t="str">
        <v>Valvula de bola Inox 316 3/8" 1000 PSI WT</v>
      </c>
      <c r="B811">
        <v>2</v>
      </c>
      <c r="C811" t="str">
        <v>UND</v>
      </c>
      <c r="D811">
        <v>21976</v>
      </c>
      <c r="E811">
        <v>43952</v>
      </c>
    </row>
    <row r="812" spans="1:5" hidden="1">
      <c r="A812" t="str">
        <v>Valvula de bola rosca  Br/Cr 1/2"  PN40 Italy</v>
      </c>
      <c r="B812">
        <v>8</v>
      </c>
      <c r="C812" t="str">
        <v>UND</v>
      </c>
      <c r="D812">
        <v>10576</v>
      </c>
      <c r="E812">
        <v>84608</v>
      </c>
    </row>
    <row r="813" spans="1:5" hidden="1">
      <c r="A813" t="str">
        <v xml:space="preserve">Valvula de bola rosca  Br/Cr 1/4"  PN40 Italy </v>
      </c>
      <c r="B813">
        <v>2</v>
      </c>
      <c r="C813" t="str">
        <v>UND</v>
      </c>
      <c r="D813">
        <v>6496</v>
      </c>
      <c r="E813">
        <v>12992</v>
      </c>
    </row>
    <row r="814" spans="1:5" hidden="1">
      <c r="A814" t="str">
        <v xml:space="preserve">Valvula de bola rosca  Br/Cr 1-1/2"  PN40 Italy </v>
      </c>
      <c r="B814">
        <v>1</v>
      </c>
      <c r="C814" t="str">
        <v>UND</v>
      </c>
      <c r="D814">
        <v>48792</v>
      </c>
      <c r="E814">
        <v>48792</v>
      </c>
    </row>
    <row r="815" spans="1:5" hidden="1">
      <c r="A815" t="str">
        <v>Valvula de bola rosca  bronce  1/2"  PN25 Double-Lin</v>
      </c>
      <c r="B815">
        <v>1</v>
      </c>
      <c r="C815" t="str">
        <v>UND</v>
      </c>
      <c r="D815">
        <v>10576</v>
      </c>
      <c r="E815">
        <v>10576</v>
      </c>
    </row>
    <row r="816" spans="1:5" hidden="1">
      <c r="A816" t="str">
        <v xml:space="preserve">Valvula de bola rosca  bronce 1/2"  PN30 Italy </v>
      </c>
      <c r="B816">
        <v>2</v>
      </c>
      <c r="C816" t="str">
        <v>UND</v>
      </c>
      <c r="D816">
        <v>10576</v>
      </c>
      <c r="E816">
        <v>21152</v>
      </c>
    </row>
    <row r="817" spans="1:5" hidden="1">
      <c r="A817" t="str">
        <v>Valvula de bola rosca  bronce 1-1/2"  PN25 Double-Lin</v>
      </c>
      <c r="B817">
        <v>1</v>
      </c>
      <c r="C817" t="str">
        <v>UND</v>
      </c>
      <c r="D817">
        <v>48792</v>
      </c>
      <c r="E817">
        <v>48792</v>
      </c>
    </row>
    <row r="818" spans="1:5" hidden="1">
      <c r="A818" t="str">
        <v>Valvula de bola rosca Br/Cr  1"  PN40 Italy</v>
      </c>
      <c r="B818">
        <v>6</v>
      </c>
      <c r="C818" t="str">
        <v>UND</v>
      </c>
      <c r="D818">
        <v>23712</v>
      </c>
      <c r="E818">
        <v>142272</v>
      </c>
    </row>
    <row r="819" spans="1:5" hidden="1">
      <c r="A819" t="str">
        <v>Valvula de bola rosca bronce 1"  PN30 Italy</v>
      </c>
      <c r="B819">
        <v>2</v>
      </c>
      <c r="C819" t="str">
        <v>UND</v>
      </c>
      <c r="D819">
        <v>23712</v>
      </c>
      <c r="E819">
        <v>47424</v>
      </c>
    </row>
    <row r="820" spans="1:5" hidden="1">
      <c r="A820" t="str">
        <v>Valvula de bola rosca bronce 1-1/2"  PN40 Italy</v>
      </c>
      <c r="B820">
        <v>1</v>
      </c>
      <c r="C820" t="str">
        <v>UND</v>
      </c>
      <c r="D820">
        <v>48792</v>
      </c>
      <c r="E820">
        <v>48792</v>
      </c>
    </row>
    <row r="821" spans="1:5" hidden="1">
      <c r="A821" t="str">
        <v>Valvula de bola rosca Inox 304 3" 1000 PSI WT</v>
      </c>
      <c r="B821">
        <v>1</v>
      </c>
      <c r="C821" t="str">
        <v>UND</v>
      </c>
      <c r="D821">
        <v>449440</v>
      </c>
      <c r="E821">
        <v>449440</v>
      </c>
    </row>
    <row r="822" spans="1:5" hidden="1">
      <c r="A822" t="str">
        <v>Valvula de bola rosca Inox 316 1" 1000 PSI Magna</v>
      </c>
      <c r="B822">
        <v>1</v>
      </c>
      <c r="C822" t="str">
        <v>UND</v>
      </c>
      <c r="D822">
        <v>47408</v>
      </c>
      <c r="E822">
        <v>47408</v>
      </c>
    </row>
    <row r="823" spans="1:5" hidden="1">
      <c r="A823" t="str">
        <v>Valvula de bola rosca Inox 316 1" 1000 PSI Neptune</v>
      </c>
      <c r="B823">
        <v>5</v>
      </c>
      <c r="C823" t="str">
        <v>UND</v>
      </c>
      <c r="D823">
        <v>47408</v>
      </c>
      <c r="E823">
        <v>237040</v>
      </c>
    </row>
    <row r="824" spans="1:5" hidden="1">
      <c r="A824" t="str">
        <v>Valvula de bola rosca Inox 316 1" 1000 PSI SIO</v>
      </c>
      <c r="B824">
        <v>2</v>
      </c>
      <c r="C824" t="str">
        <v>UND</v>
      </c>
      <c r="D824">
        <v>47408</v>
      </c>
      <c r="E824">
        <v>94816</v>
      </c>
    </row>
    <row r="825" spans="1:5" hidden="1">
      <c r="A825" t="str">
        <v>Valvula de bola rosca Inox 316 1" 1000 PSI WT</v>
      </c>
      <c r="B825">
        <v>1</v>
      </c>
      <c r="C825" t="str">
        <v>UND</v>
      </c>
      <c r="D825">
        <v>36000</v>
      </c>
      <c r="E825">
        <v>36000</v>
      </c>
    </row>
    <row r="826" spans="1:5" hidden="1">
      <c r="A826" t="str">
        <v>Valvula de bola rosca Inox 316 1/2" 1000 PSI JAS</v>
      </c>
      <c r="B826">
        <v>1</v>
      </c>
      <c r="C826" t="str">
        <v>UND</v>
      </c>
      <c r="D826">
        <v>23960</v>
      </c>
      <c r="E826">
        <v>23960</v>
      </c>
    </row>
    <row r="827" spans="1:5" hidden="1">
      <c r="A827" t="str">
        <v>Valvula de bola rosca Inox 316 1/2" 1000 PSI Magna</v>
      </c>
      <c r="B827">
        <v>27</v>
      </c>
      <c r="C827" t="str">
        <v>UND</v>
      </c>
      <c r="D827">
        <v>26475</v>
      </c>
      <c r="E827">
        <v>714825</v>
      </c>
    </row>
    <row r="828" spans="1:5" hidden="1">
      <c r="A828" t="str">
        <v>Valvula de bola rosca Inox 316 1/2" 1000 PSI SIO</v>
      </c>
      <c r="B828">
        <v>2</v>
      </c>
      <c r="C828" t="str">
        <v>UND</v>
      </c>
      <c r="D828">
        <v>23960</v>
      </c>
      <c r="E828">
        <v>47920</v>
      </c>
    </row>
    <row r="829" spans="1:5" hidden="1">
      <c r="A829" t="str">
        <v>Valvula de bola rosca Inox 316 1-1/2" 1000 PSI Magna</v>
      </c>
      <c r="B829">
        <v>1</v>
      </c>
      <c r="C829" t="str">
        <v>UND</v>
      </c>
      <c r="D829">
        <v>86456</v>
      </c>
      <c r="E829">
        <v>86456</v>
      </c>
    </row>
    <row r="830" spans="1:5" hidden="1">
      <c r="A830" t="str">
        <v>Valvula de bola rosca mixta H/M bronce 3/4"  PN40 Italy</v>
      </c>
      <c r="B830">
        <v>1</v>
      </c>
      <c r="C830" t="str">
        <v>UND</v>
      </c>
      <c r="D830">
        <v>0</v>
      </c>
      <c r="E830">
        <v>0</v>
      </c>
    </row>
    <row r="831" spans="1:5" hidden="1">
      <c r="A831" t="str">
        <v>Valvula de bola sencila lisa PVC presion SCH 40 1-1/4"</v>
      </c>
      <c r="B831">
        <v>4</v>
      </c>
      <c r="C831" t="str">
        <v>UND</v>
      </c>
      <c r="D831">
        <v>26710.739999999998</v>
      </c>
      <c r="E831">
        <v>106842.95999999999</v>
      </c>
    </row>
    <row r="832" spans="1:5" hidden="1">
      <c r="A832" t="str">
        <v>Valvula de bola sencilla lisa PVC presion SCH 40 1"</v>
      </c>
      <c r="B832">
        <v>20</v>
      </c>
      <c r="C832" t="str">
        <v>UND</v>
      </c>
      <c r="D832">
        <v>19918.46</v>
      </c>
      <c r="E832">
        <v>398369.19999999995</v>
      </c>
    </row>
    <row r="833" spans="1:5" hidden="1">
      <c r="A833" t="str">
        <v>Valvula de bola sencilla lisa PVC presion SCH 40 1/2"</v>
      </c>
      <c r="B833">
        <v>9</v>
      </c>
      <c r="C833" t="str">
        <v>UND</v>
      </c>
      <c r="D833">
        <v>10788.7</v>
      </c>
      <c r="E833">
        <v>97098.3</v>
      </c>
    </row>
    <row r="834" spans="1:5" hidden="1">
      <c r="A834" t="str">
        <v>Valvula de bola sencilla lisa PVC presion SCH 40 1-1/2"</v>
      </c>
      <c r="B834">
        <v>2</v>
      </c>
      <c r="C834" t="str">
        <v>UND</v>
      </c>
      <c r="D834">
        <v>35044.14</v>
      </c>
      <c r="E834">
        <v>70088.28</v>
      </c>
    </row>
    <row r="835" spans="1:5" hidden="1">
      <c r="A835" t="str">
        <v>Valvula de bola sencilla lisa PVC presion SCH 40 2"</v>
      </c>
      <c r="B835">
        <v>3</v>
      </c>
      <c r="C835" t="str">
        <v>UND</v>
      </c>
      <c r="D835">
        <v>54387.26</v>
      </c>
      <c r="E835">
        <v>163161.78</v>
      </c>
    </row>
    <row r="836" spans="1:5" hidden="1">
      <c r="A836" t="str">
        <v>Valvula de bola sencilla lisa PVC presion SCH 40 3/4"</v>
      </c>
      <c r="B836">
        <v>11</v>
      </c>
      <c r="C836" t="str">
        <v>UND</v>
      </c>
      <c r="D836">
        <v>14497.02</v>
      </c>
      <c r="E836">
        <v>159467.22</v>
      </c>
    </row>
    <row r="837" spans="1:5" hidden="1">
      <c r="A837" t="str">
        <v>Valvula de bola sencilla lisa PVC presion SCH 40 3/4" manija larga</v>
      </c>
      <c r="B837">
        <v>3</v>
      </c>
      <c r="C837" t="str">
        <v>UND</v>
      </c>
      <c r="D837">
        <v>14992.199999999999</v>
      </c>
      <c r="E837">
        <v>44976.6</v>
      </c>
    </row>
    <row r="838" spans="1:5" hidden="1">
      <c r="A838" t="str">
        <v>Valvula de bola sencilla rocada PVC presion SCH 40 1-1/4"</v>
      </c>
      <c r="B838">
        <v>1</v>
      </c>
      <c r="C838" t="str">
        <v>UND</v>
      </c>
      <c r="D838">
        <v>26710.739999999998</v>
      </c>
      <c r="E838">
        <v>26710.739999999998</v>
      </c>
    </row>
    <row r="839" spans="1:5" hidden="1">
      <c r="A839" t="str">
        <v>Valvula de bola sencilla roscada PVC presion SCH 40 1/2"</v>
      </c>
      <c r="B839">
        <v>9</v>
      </c>
      <c r="C839" t="str">
        <v>UND</v>
      </c>
      <c r="D839">
        <v>10788.7</v>
      </c>
      <c r="E839">
        <v>97098.3</v>
      </c>
    </row>
    <row r="840" spans="1:5" hidden="1">
      <c r="A840" t="str">
        <v>Valvula de bola sencilla roscada PVC presion SCH 40 1-1/2"</v>
      </c>
      <c r="B840">
        <v>1</v>
      </c>
      <c r="C840" t="str">
        <v>UND</v>
      </c>
      <c r="D840">
        <v>35044.14</v>
      </c>
      <c r="E840">
        <v>35044.14</v>
      </c>
    </row>
    <row r="841" spans="1:5" hidden="1">
      <c r="A841" t="str">
        <v>Valvula de bola sencilla roscada PVC presion SCH 40 2"</v>
      </c>
      <c r="B841">
        <v>2</v>
      </c>
      <c r="C841" t="str">
        <v>UND</v>
      </c>
      <c r="D841">
        <v>54387.26</v>
      </c>
      <c r="E841">
        <v>108774.52</v>
      </c>
    </row>
    <row r="842" spans="1:5" hidden="1">
      <c r="A842" t="str">
        <v>Valvula de globo Inox 316 1-1/2" 200 PSI MONVA</v>
      </c>
      <c r="B842">
        <v>4</v>
      </c>
      <c r="C842" t="str">
        <v>UND</v>
      </c>
      <c r="D842">
        <v>89368</v>
      </c>
      <c r="E842">
        <v>357472</v>
      </c>
    </row>
    <row r="843" spans="1:5" hidden="1">
      <c r="A843" t="str">
        <v>Valvula de pie rocadas PVC presion SCH 40 1" Tecnoplastic</v>
      </c>
      <c r="B843">
        <v>2</v>
      </c>
      <c r="C843" t="str">
        <v>UND</v>
      </c>
      <c r="D843">
        <v>37928</v>
      </c>
      <c r="E843">
        <v>75856</v>
      </c>
    </row>
    <row r="844" spans="1:5" hidden="1">
      <c r="A844" t="str">
        <v>Valvula diafragma roscada 1/2" GF</v>
      </c>
      <c r="B844">
        <v>1</v>
      </c>
      <c r="C844" t="str">
        <v>UND</v>
      </c>
      <c r="D844">
        <v>383900</v>
      </c>
      <c r="E844">
        <v>383900</v>
      </c>
    </row>
    <row r="845" spans="1:5" hidden="1">
      <c r="A845" t="str">
        <v>Valvula globo bronce 1" Pegler</v>
      </c>
      <c r="B845">
        <v>1</v>
      </c>
      <c r="C845" t="str">
        <v>UND</v>
      </c>
      <c r="D845">
        <v>103624</v>
      </c>
      <c r="E845">
        <v>103624</v>
      </c>
    </row>
    <row r="846" spans="1:5" hidden="1">
      <c r="A846" t="str">
        <v>Valvula globo bronce 1-1/2" Pegler</v>
      </c>
      <c r="B846">
        <v>5</v>
      </c>
      <c r="C846" t="str">
        <v>UND</v>
      </c>
      <c r="D846">
        <v>217936</v>
      </c>
      <c r="E846">
        <v>1089680</v>
      </c>
    </row>
    <row r="847" spans="1:5" hidden="1">
      <c r="A847" t="str">
        <v>Valvula globo bronce 1-1/2" RW</v>
      </c>
      <c r="B847">
        <v>1</v>
      </c>
      <c r="C847" t="str">
        <v>UND</v>
      </c>
      <c r="D847">
        <v>0</v>
      </c>
      <c r="E847">
        <v>0</v>
      </c>
    </row>
    <row r="848" spans="1:5" hidden="1">
      <c r="A848" t="str">
        <v>Valvula pie tipo granada bronce 2-1/2" canastilla plástica Helbert</v>
      </c>
      <c r="B848">
        <v>1</v>
      </c>
      <c r="C848" t="str">
        <v>UND</v>
      </c>
      <c r="D848">
        <v>190500</v>
      </c>
      <c r="E848">
        <v>190500</v>
      </c>
    </row>
    <row r="849" spans="1:5" hidden="1">
      <c r="A849" t="str">
        <v>Valvula reguladora presión Br/Cr 2x2 KTS</v>
      </c>
      <c r="B849">
        <v>2</v>
      </c>
      <c r="C849" t="str">
        <v>UND</v>
      </c>
      <c r="D849">
        <v>359810</v>
      </c>
      <c r="E849">
        <v>719620</v>
      </c>
    </row>
    <row r="850" spans="1:5" hidden="1">
      <c r="A850" t="str">
        <v>Valvula solenoide UW-15 volts 110 1/2"</v>
      </c>
      <c r="B850">
        <v>1</v>
      </c>
      <c r="C850" t="str">
        <v>UND</v>
      </c>
      <c r="D850">
        <v>0</v>
      </c>
      <c r="E850">
        <v>0</v>
      </c>
    </row>
    <row r="851" spans="1:5" hidden="1">
      <c r="A851" t="str">
        <v>Valvula ventosa roscada cinetica K10 BERMAD 1</v>
      </c>
      <c r="B851">
        <v>1</v>
      </c>
      <c r="C851" t="str">
        <v>UND</v>
      </c>
      <c r="D851">
        <v>84904</v>
      </c>
      <c r="E851">
        <v>84904</v>
      </c>
    </row>
    <row r="852" spans="1:5" hidden="1">
      <c r="A852" t="str">
        <v>Valvulacompuerta PL Inox 316 1/2" 200 PSI (sin marca)</v>
      </c>
      <c r="B852">
        <v>11</v>
      </c>
      <c r="C852" t="str">
        <v>UND</v>
      </c>
      <c r="D852">
        <v>59576</v>
      </c>
      <c r="E852">
        <v>655336</v>
      </c>
    </row>
    <row r="853" spans="1:5" hidden="1">
      <c r="A853" t="str">
        <v>Valvulacompuerta PL Inox 316 1/2" 200 PSI Magna</v>
      </c>
      <c r="B853">
        <v>17</v>
      </c>
      <c r="C853" t="str">
        <v>UND</v>
      </c>
      <c r="D853">
        <v>50480</v>
      </c>
      <c r="E853">
        <v>858160</v>
      </c>
    </row>
    <row r="854" spans="1:5" hidden="1">
      <c r="A854" t="str">
        <v>Valvulacompuerta PL Inox 316 1/2" 200 PSI SIO</v>
      </c>
      <c r="B854">
        <v>21</v>
      </c>
      <c r="C854" t="str">
        <v>UND</v>
      </c>
      <c r="D854">
        <v>50480</v>
      </c>
      <c r="E854">
        <v>1060080</v>
      </c>
    </row>
    <row r="855" spans="1:5" hidden="1">
      <c r="A855" t="str">
        <v>Yee PVC Sanitario Reducida 3x2" CxC</v>
      </c>
      <c r="B855">
        <v>1</v>
      </c>
      <c r="C855" t="str">
        <v>UND</v>
      </c>
      <c r="D855">
        <v>9121.5</v>
      </c>
      <c r="E855">
        <v>9121.5</v>
      </c>
    </row>
    <row r="856" spans="1:5" hidden="1">
      <c r="A856" t="str">
        <v>SIN ELEMENTO</v>
      </c>
      <c r="B856" t="str">
        <v>SIN ELEMENTO</v>
      </c>
      <c r="C856" t="str">
        <v>NO ELEMENTO</v>
      </c>
      <c r="D856" t="e">
        <v>#N/A</v>
      </c>
      <c r="E856">
        <v>0</v>
      </c>
    </row>
    <row r="857" spans="1:5" hidden="1"/>
    <row r="858" spans="1:5" hidden="1"/>
    <row r="859" spans="1:5" hidden="1"/>
    <row r="860" spans="1:5" hidden="1"/>
    <row r="861" spans="1:5" hidden="1"/>
    <row r="862" spans="1:5" hidden="1"/>
    <row r="863" spans="1:5" hidden="1"/>
    <row r="864" spans="1:5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spans="5:5" hidden="1"/>
    <row r="930" spans="5:5" hidden="1"/>
    <row r="931" spans="5:5" hidden="1"/>
    <row r="932" spans="5:5" hidden="1"/>
    <row r="933" spans="5:5" hidden="1"/>
    <row r="934" spans="5:5" hidden="1"/>
    <row r="935" spans="5:5" hidden="1"/>
    <row r="936" spans="5:5" hidden="1">
      <c r="E936"/>
    </row>
    <row r="937" spans="5:5" hidden="1">
      <c r="E937"/>
    </row>
    <row r="938" spans="5:5" hidden="1">
      <c r="E938"/>
    </row>
  </sheetData>
  <autoFilter ref="A1:E938" xr:uid="{9E454EC1-811A-489E-BFD4-B59C76D29429}">
    <filterColumn colId="0">
      <filters>
        <filter val="Reduccion Tuerca  Galvanizado SCH 40 1/2x1/4&quot;"/>
        <filter val="Reducción Tuerca  Galvanizado SCH 40 1/2x3/8&quot;"/>
        <filter val="Reduccion Tuerca bronce 2x1/2&quot; Kaeser"/>
        <filter val="Reduccion Tuerca Galvanizado SCH 40 1-1/2x1-1/4&quot;"/>
        <filter val="Reduccion Tuerca Galvanizado SCH 40 1-1/4x1&quot;"/>
        <filter val="Reduccion Tuerca Galvanizado SCH 40 1-1/4x1/2&quot;"/>
        <filter val="Reduccion Tuerca Galvanizado SCH 40 1x1/2&quot;"/>
        <filter val="Reduccion Tuerca Galvanizado SCH 40 1x1/4&quot;"/>
        <filter val="Reduccion Tuerca Galvanizado SCH 40 1x3/4&quot;"/>
        <filter val="Reduccion Tuerca Galvanizado SCH 40 2-1/2x1-1/2&quot;"/>
        <filter val="Reduccion Tuerca Galvanizado SCH 40 2-1/2x2&quot;"/>
        <filter val="Reduccion Tuerca Galvanizado SCH 40 2x1-1/2&quot;"/>
        <filter val="Reduccion Tuerca Galvanizado SCH 40 2x3/4&quot;"/>
        <filter val="Reduccion Tuerca Galvanizado SCH 40 3/4x1/2&quot;"/>
        <filter val="Reduccion Tuerca Inox 304  SCH 40 1/2x1/4&quot;"/>
        <filter val="Reduccion Tuerca Inox 304 SCH 40 1-1/2x1/2&quot;"/>
        <filter val="Reduccion Tuerca Inox 304 SCH 40 1-1/2x1-1/4&quot;"/>
        <filter val="Reduccion Tuerca Inox 304 SCH 40 1-1/4x3/4&quot;"/>
        <filter val="Reduccion Tuerca Inox 304 Sch 40 1x1/2&quot;"/>
        <filter val="Reduccion Tuerca Inox 304 SCH 40 1x3/4&quot;"/>
        <filter val="Reduccion Tuerca Inox 304 SCH 40 2x1-1/2&quot;"/>
        <filter val="Reduccion Tuerca Inox 304 SCH 40 3/4x1/2&quot;"/>
        <filter val="Reduccion Tuerca Inox 304 SCH 40 3/4x1/9&quot;"/>
        <filter val="Reduccion Tuerca Inox 304 SCH 40 4x3&quot;"/>
        <filter val="Tuerca Galvanizado 13/16&quot;"/>
        <filter val="Tuerca Hexagonal De Seguridad Inox 304 1/4&quot;"/>
        <filter val="Tuerca Hexagonal Galvanizado en caliente 1/2&quot;"/>
        <filter val="Tuerca Hexagonal Galvanizado en caliente 1-1/8&quot;"/>
        <filter val="Tuerca Hexagonal Galvanizado en caliente 3/4&quot;"/>
        <filter val="Tuerca Hexagonal Galvanizado en caliente 5/8&quot;"/>
        <filter val="Tuerca Hexagonal Galvanizado en caliente 7/8&quot;"/>
        <filter val="Tuerca Hexagonal Galvanizado Frio 1-1/8&quot;"/>
        <filter val="Tuerca Hexagonal Galvanizado Frio 3/4&quot;"/>
        <filter val="Tuerca Hexagonal Galvanizado Frio 5/8&quot;"/>
        <filter val="Tuerca Hexagonal Inox 304 1&quot;"/>
        <filter val="Tuerca Hexagonal Inox 304 1/4&quot;"/>
        <filter val="Tuerca Hexagonal Inox 304 1-1/16&quot;"/>
        <filter val="Tuerca Hexagonal Inox 304 1-1/8&quot;"/>
        <filter val="Tuerca Hexagonal Inox 304 5/8&quot;"/>
        <filter val="Tuerca Hexagonal Inox 304 7/8&quot;"/>
        <filter val="Tuerca Inox 1&quot;"/>
        <filter val="Tuerca Inox A2 - 70 1&quot;"/>
      </filters>
    </filterColumn>
  </autoFilter>
  <conditionalFormatting sqref="A1:E1048576">
    <cfRule type="expression" dxfId="81" priority="2">
      <formula>OR($A1="SIN ELEMENTO",$B1&lt;0)</formula>
    </cfRule>
  </conditionalFormatting>
  <conditionalFormatting sqref="D1:E1">
    <cfRule type="expression" dxfId="80" priority="1">
      <formula>$A1="SIN ELEMENTO"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58C94-99DD-40C3-8DA3-96D6EF1CBAD8}">
  <sheetPr codeName="shEntradas">
    <tabColor rgb="FF00B0F0"/>
  </sheetPr>
  <dimension ref="A1:E994"/>
  <sheetViews>
    <sheetView workbookViewId="0">
      <pane ySplit="1" topLeftCell="A2" activePane="bottomLeft" state="frozen"/>
      <selection pane="bottomLeft" activeCell="E2" sqref="E2"/>
    </sheetView>
  </sheetViews>
  <sheetFormatPr defaultColWidth="51.7109375" defaultRowHeight="15"/>
  <cols>
    <col min="1" max="1" width="24.85546875" style="188" customWidth="1"/>
    <col min="3" max="3" width="14.85546875" customWidth="1"/>
    <col min="4" max="4" width="25" customWidth="1"/>
  </cols>
  <sheetData>
    <row r="1" spans="1:5">
      <c r="A1" s="187" t="s">
        <v>1965</v>
      </c>
      <c r="B1" s="142" t="s">
        <v>784</v>
      </c>
      <c r="C1" s="143" t="s">
        <v>786</v>
      </c>
      <c r="D1" s="141" t="s">
        <v>1966</v>
      </c>
      <c r="E1" t="s">
        <v>1967</v>
      </c>
    </row>
    <row r="2" spans="1:5">
      <c r="D2" s="170"/>
    </row>
    <row r="3" spans="1:5">
      <c r="D3" s="170"/>
    </row>
    <row r="4" spans="1:5">
      <c r="D4" s="170"/>
    </row>
    <row r="5" spans="1:5">
      <c r="D5" s="170"/>
    </row>
    <row r="6" spans="1:5">
      <c r="D6" s="170"/>
    </row>
    <row r="7" spans="1:5">
      <c r="D7" s="170"/>
    </row>
    <row r="8" spans="1:5">
      <c r="D8" s="170"/>
    </row>
    <row r="9" spans="1:5">
      <c r="D9" s="170"/>
    </row>
    <row r="10" spans="1:5">
      <c r="D10" s="170"/>
    </row>
    <row r="11" spans="1:5">
      <c r="D11" s="170"/>
    </row>
    <row r="12" spans="1:5">
      <c r="D12" s="170"/>
    </row>
    <row r="13" spans="1:5">
      <c r="D13" s="170"/>
    </row>
    <row r="14" spans="1:5">
      <c r="D14" s="170"/>
    </row>
    <row r="15" spans="1:5">
      <c r="D15" s="170"/>
    </row>
    <row r="16" spans="1:5">
      <c r="D16" s="170"/>
    </row>
    <row r="17" spans="4:4">
      <c r="D17" s="170"/>
    </row>
    <row r="18" spans="4:4">
      <c r="D18" s="170"/>
    </row>
    <row r="19" spans="4:4">
      <c r="D19" s="170"/>
    </row>
    <row r="20" spans="4:4">
      <c r="D20" s="170"/>
    </row>
    <row r="21" spans="4:4">
      <c r="D21" s="170"/>
    </row>
    <row r="22" spans="4:4">
      <c r="D22" s="170"/>
    </row>
    <row r="23" spans="4:4">
      <c r="D23" s="170"/>
    </row>
    <row r="24" spans="4:4">
      <c r="D24" s="170"/>
    </row>
    <row r="25" spans="4:4">
      <c r="D25" s="170"/>
    </row>
    <row r="26" spans="4:4">
      <c r="D26" s="170"/>
    </row>
    <row r="27" spans="4:4">
      <c r="D27" s="170"/>
    </row>
    <row r="28" spans="4:4">
      <c r="D28" s="170"/>
    </row>
    <row r="29" spans="4:4">
      <c r="D29" s="170"/>
    </row>
    <row r="30" spans="4:4">
      <c r="D30" s="170"/>
    </row>
    <row r="31" spans="4:4">
      <c r="D31" s="170"/>
    </row>
    <row r="32" spans="4:4">
      <c r="D32" s="170"/>
    </row>
    <row r="33" spans="4:4">
      <c r="D33" s="170"/>
    </row>
    <row r="34" spans="4:4">
      <c r="D34" s="170"/>
    </row>
    <row r="35" spans="4:4">
      <c r="D35" s="170"/>
    </row>
    <row r="36" spans="4:4">
      <c r="D36" s="170"/>
    </row>
    <row r="37" spans="4:4">
      <c r="D37" s="170"/>
    </row>
    <row r="38" spans="4:4">
      <c r="D38" s="170"/>
    </row>
    <row r="39" spans="4:4">
      <c r="D39" s="170"/>
    </row>
    <row r="40" spans="4:4">
      <c r="D40" s="170"/>
    </row>
    <row r="41" spans="4:4">
      <c r="D41" s="170"/>
    </row>
    <row r="42" spans="4:4">
      <c r="D42" s="170"/>
    </row>
    <row r="43" spans="4:4">
      <c r="D43" s="170"/>
    </row>
    <row r="44" spans="4:4">
      <c r="D44" s="170"/>
    </row>
    <row r="45" spans="4:4">
      <c r="D45" s="170"/>
    </row>
    <row r="46" spans="4:4">
      <c r="D46" s="170"/>
    </row>
    <row r="47" spans="4:4">
      <c r="D47" s="170"/>
    </row>
    <row r="48" spans="4:4">
      <c r="D48" s="170"/>
    </row>
    <row r="49" spans="4:4">
      <c r="D49" s="170"/>
    </row>
    <row r="50" spans="4:4">
      <c r="D50" s="170"/>
    </row>
    <row r="51" spans="4:4">
      <c r="D51" s="170"/>
    </row>
    <row r="52" spans="4:4">
      <c r="D52" s="170"/>
    </row>
    <row r="53" spans="4:4">
      <c r="D53" s="170"/>
    </row>
    <row r="54" spans="4:4">
      <c r="D54" s="170"/>
    </row>
    <row r="55" spans="4:4">
      <c r="D55" s="170"/>
    </row>
    <row r="56" spans="4:4">
      <c r="D56" s="170"/>
    </row>
    <row r="57" spans="4:4">
      <c r="D57" s="170"/>
    </row>
    <row r="58" spans="4:4">
      <c r="D58" s="170"/>
    </row>
    <row r="59" spans="4:4">
      <c r="D59" s="170"/>
    </row>
    <row r="60" spans="4:4">
      <c r="D60" s="170"/>
    </row>
    <row r="61" spans="4:4">
      <c r="D61" s="170"/>
    </row>
    <row r="62" spans="4:4">
      <c r="D62" s="170"/>
    </row>
    <row r="63" spans="4:4">
      <c r="D63" s="170"/>
    </row>
    <row r="64" spans="4:4">
      <c r="D64" s="170"/>
    </row>
    <row r="65" spans="4:4">
      <c r="D65" s="170"/>
    </row>
    <row r="66" spans="4:4">
      <c r="D66" s="170"/>
    </row>
    <row r="67" spans="4:4">
      <c r="D67" s="170"/>
    </row>
    <row r="68" spans="4:4">
      <c r="D68" s="170"/>
    </row>
    <row r="69" spans="4:4">
      <c r="D69" s="170"/>
    </row>
    <row r="70" spans="4:4">
      <c r="D70" s="170"/>
    </row>
    <row r="71" spans="4:4">
      <c r="D71" s="170"/>
    </row>
    <row r="72" spans="4:4">
      <c r="D72" s="170"/>
    </row>
    <row r="73" spans="4:4">
      <c r="D73" s="170"/>
    </row>
    <row r="74" spans="4:4">
      <c r="D74" s="170"/>
    </row>
    <row r="75" spans="4:4">
      <c r="D75" s="170"/>
    </row>
    <row r="76" spans="4:4">
      <c r="D76" s="170"/>
    </row>
    <row r="77" spans="4:4">
      <c r="D77" s="170"/>
    </row>
    <row r="78" spans="4:4">
      <c r="D78" s="170"/>
    </row>
    <row r="79" spans="4:4">
      <c r="D79" s="170"/>
    </row>
    <row r="80" spans="4:4">
      <c r="D80" s="170"/>
    </row>
    <row r="81" spans="4:4">
      <c r="D81" s="170"/>
    </row>
    <row r="82" spans="4:4">
      <c r="D82" s="170"/>
    </row>
    <row r="83" spans="4:4">
      <c r="D83" s="170"/>
    </row>
    <row r="84" spans="4:4">
      <c r="D84" s="170"/>
    </row>
    <row r="85" spans="4:4">
      <c r="D85" s="170"/>
    </row>
    <row r="86" spans="4:4">
      <c r="D86" s="170"/>
    </row>
    <row r="87" spans="4:4">
      <c r="D87" s="170"/>
    </row>
    <row r="88" spans="4:4">
      <c r="D88" s="170"/>
    </row>
    <row r="89" spans="4:4">
      <c r="D89" s="170"/>
    </row>
    <row r="90" spans="4:4">
      <c r="D90" s="170"/>
    </row>
    <row r="91" spans="4:4">
      <c r="D91" s="170"/>
    </row>
    <row r="92" spans="4:4">
      <c r="D92" s="170"/>
    </row>
    <row r="93" spans="4:4">
      <c r="D93" s="170"/>
    </row>
    <row r="94" spans="4:4">
      <c r="D94" s="170"/>
    </row>
    <row r="95" spans="4:4">
      <c r="D95" s="170"/>
    </row>
    <row r="96" spans="4:4">
      <c r="D96" s="170"/>
    </row>
    <row r="97" spans="4:4">
      <c r="D97" s="170"/>
    </row>
    <row r="98" spans="4:4">
      <c r="D98" s="170"/>
    </row>
    <row r="99" spans="4:4">
      <c r="D99" s="170"/>
    </row>
    <row r="100" spans="4:4">
      <c r="D100" s="170"/>
    </row>
    <row r="101" spans="4:4">
      <c r="D101" s="170"/>
    </row>
    <row r="102" spans="4:4">
      <c r="D102" s="170"/>
    </row>
    <row r="103" spans="4:4">
      <c r="D103" s="170"/>
    </row>
    <row r="104" spans="4:4">
      <c r="D104" s="170"/>
    </row>
    <row r="105" spans="4:4">
      <c r="D105" s="170"/>
    </row>
    <row r="106" spans="4:4">
      <c r="D106" s="170"/>
    </row>
    <row r="107" spans="4:4">
      <c r="D107" s="170"/>
    </row>
    <row r="108" spans="4:4">
      <c r="D108" s="170"/>
    </row>
    <row r="109" spans="4:4">
      <c r="D109" s="170"/>
    </row>
    <row r="110" spans="4:4">
      <c r="D110" s="170"/>
    </row>
    <row r="111" spans="4:4">
      <c r="D111" s="170"/>
    </row>
    <row r="112" spans="4:4">
      <c r="D112" s="170"/>
    </row>
    <row r="113" spans="4:4">
      <c r="D113" s="170"/>
    </row>
    <row r="114" spans="4:4">
      <c r="D114" s="170"/>
    </row>
    <row r="115" spans="4:4">
      <c r="D115" s="170"/>
    </row>
    <row r="116" spans="4:4">
      <c r="D116" s="170"/>
    </row>
    <row r="117" spans="4:4">
      <c r="D117" s="170"/>
    </row>
    <row r="118" spans="4:4">
      <c r="D118" s="170"/>
    </row>
    <row r="119" spans="4:4">
      <c r="D119" s="170"/>
    </row>
    <row r="120" spans="4:4">
      <c r="D120" s="170"/>
    </row>
    <row r="121" spans="4:4">
      <c r="D121" s="170"/>
    </row>
    <row r="122" spans="4:4">
      <c r="D122" s="170"/>
    </row>
    <row r="123" spans="4:4">
      <c r="D123" s="170"/>
    </row>
    <row r="124" spans="4:4">
      <c r="D124" s="170"/>
    </row>
    <row r="125" spans="4:4">
      <c r="D125" s="170"/>
    </row>
    <row r="126" spans="4:4">
      <c r="D126" s="170"/>
    </row>
    <row r="127" spans="4:4">
      <c r="D127" s="170"/>
    </row>
    <row r="128" spans="4:4">
      <c r="D128" s="170"/>
    </row>
    <row r="129" spans="4:4">
      <c r="D129" s="170"/>
    </row>
    <row r="130" spans="4:4">
      <c r="D130" s="170"/>
    </row>
    <row r="131" spans="4:4">
      <c r="D131" s="170"/>
    </row>
    <row r="132" spans="4:4">
      <c r="D132" s="170"/>
    </row>
    <row r="133" spans="4:4">
      <c r="D133" s="170"/>
    </row>
    <row r="134" spans="4:4">
      <c r="D134" s="170"/>
    </row>
    <row r="135" spans="4:4">
      <c r="D135" s="170"/>
    </row>
    <row r="136" spans="4:4">
      <c r="D136" s="170"/>
    </row>
    <row r="137" spans="4:4">
      <c r="D137" s="170"/>
    </row>
    <row r="138" spans="4:4">
      <c r="D138" s="170"/>
    </row>
    <row r="139" spans="4:4">
      <c r="D139" s="170"/>
    </row>
    <row r="140" spans="4:4">
      <c r="D140" s="170"/>
    </row>
    <row r="141" spans="4:4">
      <c r="D141" s="170"/>
    </row>
    <row r="142" spans="4:4">
      <c r="D142" s="170"/>
    </row>
    <row r="143" spans="4:4">
      <c r="D143" s="170"/>
    </row>
    <row r="144" spans="4:4">
      <c r="D144" s="170"/>
    </row>
    <row r="145" spans="4:4">
      <c r="D145" s="170"/>
    </row>
    <row r="146" spans="4:4">
      <c r="D146" s="170"/>
    </row>
    <row r="147" spans="4:4">
      <c r="D147" s="170"/>
    </row>
    <row r="148" spans="4:4">
      <c r="D148" s="170"/>
    </row>
    <row r="149" spans="4:4">
      <c r="D149" s="170"/>
    </row>
    <row r="150" spans="4:4">
      <c r="D150" s="170"/>
    </row>
    <row r="151" spans="4:4">
      <c r="D151" s="170"/>
    </row>
    <row r="152" spans="4:4">
      <c r="D152" s="170"/>
    </row>
    <row r="153" spans="4:4">
      <c r="D153" s="170"/>
    </row>
    <row r="154" spans="4:4">
      <c r="D154" s="170"/>
    </row>
    <row r="155" spans="4:4">
      <c r="D155" s="170"/>
    </row>
    <row r="156" spans="4:4">
      <c r="D156" s="170"/>
    </row>
    <row r="157" spans="4:4">
      <c r="D157" s="170"/>
    </row>
    <row r="158" spans="4:4">
      <c r="D158" s="170"/>
    </row>
    <row r="159" spans="4:4">
      <c r="D159" s="170"/>
    </row>
    <row r="160" spans="4:4">
      <c r="D160" s="170"/>
    </row>
    <row r="161" spans="4:4">
      <c r="D161" s="170"/>
    </row>
    <row r="162" spans="4:4">
      <c r="D162" s="170"/>
    </row>
    <row r="163" spans="4:4">
      <c r="D163" s="170"/>
    </row>
    <row r="164" spans="4:4">
      <c r="D164" s="170"/>
    </row>
    <row r="165" spans="4:4">
      <c r="D165" s="170"/>
    </row>
    <row r="166" spans="4:4">
      <c r="D166" s="170"/>
    </row>
    <row r="167" spans="4:4">
      <c r="D167" s="170"/>
    </row>
    <row r="168" spans="4:4">
      <c r="D168" s="170"/>
    </row>
    <row r="169" spans="4:4">
      <c r="D169" s="170"/>
    </row>
    <row r="170" spans="4:4">
      <c r="D170" s="170"/>
    </row>
    <row r="171" spans="4:4">
      <c r="D171" s="170"/>
    </row>
    <row r="172" spans="4:4">
      <c r="D172" s="170"/>
    </row>
    <row r="173" spans="4:4">
      <c r="D173" s="170"/>
    </row>
    <row r="174" spans="4:4">
      <c r="D174" s="170"/>
    </row>
    <row r="175" spans="4:4">
      <c r="D175" s="170"/>
    </row>
    <row r="176" spans="4:4">
      <c r="D176" s="170"/>
    </row>
    <row r="177" spans="4:4">
      <c r="D177" s="170"/>
    </row>
    <row r="178" spans="4:4">
      <c r="D178" s="170"/>
    </row>
    <row r="179" spans="4:4">
      <c r="D179" s="170"/>
    </row>
    <row r="180" spans="4:4">
      <c r="D180" s="170"/>
    </row>
    <row r="181" spans="4:4">
      <c r="D181" s="170"/>
    </row>
    <row r="182" spans="4:4">
      <c r="D182" s="170"/>
    </row>
    <row r="183" spans="4:4">
      <c r="D183" s="170"/>
    </row>
    <row r="184" spans="4:4">
      <c r="D184" s="170"/>
    </row>
    <row r="185" spans="4:4">
      <c r="D185" s="170"/>
    </row>
    <row r="186" spans="4:4">
      <c r="D186" s="170"/>
    </row>
    <row r="187" spans="4:4">
      <c r="D187" s="170"/>
    </row>
    <row r="188" spans="4:4">
      <c r="D188" s="170"/>
    </row>
    <row r="189" spans="4:4">
      <c r="D189" s="170"/>
    </row>
    <row r="190" spans="4:4">
      <c r="D190" s="170"/>
    </row>
    <row r="191" spans="4:4">
      <c r="D191" s="170"/>
    </row>
    <row r="192" spans="4:4">
      <c r="D192" s="170"/>
    </row>
    <row r="193" spans="4:4">
      <c r="D193" s="170"/>
    </row>
    <row r="194" spans="4:4">
      <c r="D194" s="170"/>
    </row>
    <row r="195" spans="4:4">
      <c r="D195" s="170"/>
    </row>
    <row r="196" spans="4:4">
      <c r="D196" s="170"/>
    </row>
    <row r="197" spans="4:4">
      <c r="D197" s="170"/>
    </row>
    <row r="198" spans="4:4">
      <c r="D198" s="170"/>
    </row>
    <row r="199" spans="4:4">
      <c r="D199" s="170"/>
    </row>
    <row r="200" spans="4:4">
      <c r="D200" s="170"/>
    </row>
    <row r="201" spans="4:4">
      <c r="D201" s="170"/>
    </row>
    <row r="202" spans="4:4">
      <c r="D202" s="170"/>
    </row>
    <row r="203" spans="4:4">
      <c r="D203" s="170"/>
    </row>
    <row r="204" spans="4:4">
      <c r="D204" s="170"/>
    </row>
    <row r="205" spans="4:4">
      <c r="D205" s="170"/>
    </row>
    <row r="206" spans="4:4">
      <c r="D206" s="170"/>
    </row>
    <row r="207" spans="4:4">
      <c r="D207" s="170"/>
    </row>
    <row r="208" spans="4:4">
      <c r="D208" s="170"/>
    </row>
    <row r="209" spans="4:4">
      <c r="D209" s="170"/>
    </row>
    <row r="210" spans="4:4">
      <c r="D210" s="170"/>
    </row>
    <row r="211" spans="4:4">
      <c r="D211" s="170"/>
    </row>
    <row r="212" spans="4:4">
      <c r="D212" s="170"/>
    </row>
    <row r="213" spans="4:4">
      <c r="D213" s="170"/>
    </row>
    <row r="214" spans="4:4">
      <c r="D214" s="170"/>
    </row>
    <row r="215" spans="4:4">
      <c r="D215" s="170"/>
    </row>
    <row r="216" spans="4:4">
      <c r="D216" s="170"/>
    </row>
    <row r="217" spans="4:4">
      <c r="D217" s="170"/>
    </row>
    <row r="218" spans="4:4">
      <c r="D218" s="170"/>
    </row>
    <row r="219" spans="4:4">
      <c r="D219" s="170"/>
    </row>
    <row r="220" spans="4:4">
      <c r="D220" s="170"/>
    </row>
    <row r="221" spans="4:4">
      <c r="D221" s="170"/>
    </row>
    <row r="222" spans="4:4">
      <c r="D222" s="170"/>
    </row>
    <row r="223" spans="4:4">
      <c r="D223" s="170"/>
    </row>
    <row r="224" spans="4:4">
      <c r="D224" s="170"/>
    </row>
    <row r="225" spans="4:4">
      <c r="D225" s="170"/>
    </row>
    <row r="226" spans="4:4">
      <c r="D226" s="170"/>
    </row>
    <row r="227" spans="4:4">
      <c r="D227" s="170"/>
    </row>
    <row r="228" spans="4:4">
      <c r="D228" s="170"/>
    </row>
    <row r="229" spans="4:4">
      <c r="D229" s="170"/>
    </row>
    <row r="230" spans="4:4">
      <c r="D230" s="170"/>
    </row>
    <row r="231" spans="4:4">
      <c r="D231" s="170"/>
    </row>
    <row r="232" spans="4:4">
      <c r="D232" s="170"/>
    </row>
    <row r="233" spans="4:4">
      <c r="D233" s="170"/>
    </row>
    <row r="234" spans="4:4">
      <c r="D234" s="170"/>
    </row>
    <row r="235" spans="4:4">
      <c r="D235" s="170"/>
    </row>
    <row r="236" spans="4:4">
      <c r="D236" s="170"/>
    </row>
    <row r="237" spans="4:4">
      <c r="D237" s="170"/>
    </row>
    <row r="238" spans="4:4">
      <c r="D238" s="170"/>
    </row>
    <row r="239" spans="4:4">
      <c r="D239" s="170"/>
    </row>
    <row r="240" spans="4:4">
      <c r="D240" s="170"/>
    </row>
    <row r="241" spans="4:4">
      <c r="D241" s="170"/>
    </row>
    <row r="242" spans="4:4">
      <c r="D242" s="170"/>
    </row>
    <row r="243" spans="4:4">
      <c r="D243" s="170"/>
    </row>
    <row r="244" spans="4:4">
      <c r="D244" s="170"/>
    </row>
    <row r="245" spans="4:4">
      <c r="D245" s="170"/>
    </row>
    <row r="246" spans="4:4">
      <c r="D246" s="170"/>
    </row>
    <row r="247" spans="4:4">
      <c r="D247" s="170"/>
    </row>
    <row r="248" spans="4:4">
      <c r="D248" s="170"/>
    </row>
    <row r="249" spans="4:4">
      <c r="D249" s="170"/>
    </row>
    <row r="250" spans="4:4">
      <c r="D250" s="170"/>
    </row>
    <row r="251" spans="4:4">
      <c r="D251" s="170"/>
    </row>
    <row r="252" spans="4:4">
      <c r="D252" s="170"/>
    </row>
    <row r="253" spans="4:4">
      <c r="D253" s="170"/>
    </row>
    <row r="254" spans="4:4">
      <c r="D254" s="170"/>
    </row>
    <row r="255" spans="4:4">
      <c r="D255" s="170"/>
    </row>
    <row r="256" spans="4:4">
      <c r="D256" s="170"/>
    </row>
    <row r="257" spans="4:4">
      <c r="D257" s="170"/>
    </row>
    <row r="258" spans="4:4">
      <c r="D258" s="170"/>
    </row>
    <row r="259" spans="4:4">
      <c r="D259" s="170"/>
    </row>
    <row r="260" spans="4:4">
      <c r="D260" s="170"/>
    </row>
    <row r="261" spans="4:4">
      <c r="D261" s="170"/>
    </row>
    <row r="262" spans="4:4">
      <c r="D262" s="170"/>
    </row>
    <row r="263" spans="4:4">
      <c r="D263" s="170"/>
    </row>
    <row r="264" spans="4:4">
      <c r="D264" s="170"/>
    </row>
    <row r="265" spans="4:4">
      <c r="D265" s="170"/>
    </row>
    <row r="266" spans="4:4">
      <c r="D266" s="170"/>
    </row>
    <row r="267" spans="4:4">
      <c r="D267" s="170"/>
    </row>
    <row r="268" spans="4:4">
      <c r="D268" s="170"/>
    </row>
    <row r="269" spans="4:4">
      <c r="D269" s="170"/>
    </row>
    <row r="270" spans="4:4">
      <c r="D270" s="170"/>
    </row>
    <row r="271" spans="4:4">
      <c r="D271" s="170"/>
    </row>
    <row r="272" spans="4:4">
      <c r="D272" s="170"/>
    </row>
    <row r="273" spans="4:4">
      <c r="D273" s="170"/>
    </row>
    <row r="274" spans="4:4">
      <c r="D274" s="170"/>
    </row>
    <row r="275" spans="4:4">
      <c r="D275" s="170"/>
    </row>
    <row r="276" spans="4:4">
      <c r="D276" s="170"/>
    </row>
    <row r="277" spans="4:4">
      <c r="D277" s="170"/>
    </row>
    <row r="278" spans="4:4">
      <c r="D278" s="170"/>
    </row>
    <row r="279" spans="4:4">
      <c r="D279" s="170"/>
    </row>
    <row r="280" spans="4:4">
      <c r="D280" s="170"/>
    </row>
    <row r="281" spans="4:4">
      <c r="D281" s="170"/>
    </row>
    <row r="282" spans="4:4">
      <c r="D282" s="170"/>
    </row>
    <row r="283" spans="4:4">
      <c r="D283" s="170"/>
    </row>
    <row r="284" spans="4:4">
      <c r="D284" s="170"/>
    </row>
    <row r="285" spans="4:4">
      <c r="D285" s="170"/>
    </row>
    <row r="286" spans="4:4">
      <c r="D286" s="170"/>
    </row>
    <row r="287" spans="4:4">
      <c r="D287" s="170"/>
    </row>
    <row r="288" spans="4:4">
      <c r="D288" s="170"/>
    </row>
    <row r="289" spans="4:4">
      <c r="D289" s="170"/>
    </row>
    <row r="290" spans="4:4">
      <c r="D290" s="170"/>
    </row>
    <row r="291" spans="4:4">
      <c r="D291" s="170"/>
    </row>
    <row r="292" spans="4:4">
      <c r="D292" s="170"/>
    </row>
    <row r="293" spans="4:4">
      <c r="D293" s="170"/>
    </row>
    <row r="294" spans="4:4">
      <c r="D294" s="170"/>
    </row>
    <row r="295" spans="4:4">
      <c r="D295" s="170"/>
    </row>
    <row r="296" spans="4:4">
      <c r="D296" s="170"/>
    </row>
    <row r="297" spans="4:4">
      <c r="D297" s="170"/>
    </row>
    <row r="298" spans="4:4">
      <c r="D298" s="170"/>
    </row>
    <row r="299" spans="4:4">
      <c r="D299" s="170"/>
    </row>
    <row r="300" spans="4:4">
      <c r="D300" s="170"/>
    </row>
    <row r="301" spans="4:4">
      <c r="D301" s="170"/>
    </row>
    <row r="302" spans="4:4">
      <c r="D302" s="170"/>
    </row>
    <row r="303" spans="4:4">
      <c r="D303" s="170"/>
    </row>
    <row r="304" spans="4:4">
      <c r="D304" s="170"/>
    </row>
    <row r="305" spans="4:4">
      <c r="D305" s="170"/>
    </row>
    <row r="306" spans="4:4">
      <c r="D306" s="170"/>
    </row>
    <row r="307" spans="4:4">
      <c r="D307" s="170"/>
    </row>
    <row r="308" spans="4:4">
      <c r="D308" s="170"/>
    </row>
    <row r="309" spans="4:4">
      <c r="D309" s="170"/>
    </row>
    <row r="310" spans="4:4">
      <c r="D310" s="170"/>
    </row>
    <row r="311" spans="4:4">
      <c r="D311" s="170"/>
    </row>
    <row r="312" spans="4:4">
      <c r="D312" s="170"/>
    </row>
    <row r="313" spans="4:4">
      <c r="D313" s="170"/>
    </row>
    <row r="314" spans="4:4">
      <c r="D314" s="170"/>
    </row>
    <row r="315" spans="4:4">
      <c r="D315" s="170"/>
    </row>
    <row r="316" spans="4:4">
      <c r="D316" s="170"/>
    </row>
    <row r="317" spans="4:4">
      <c r="D317" s="170"/>
    </row>
    <row r="318" spans="4:4">
      <c r="D318" s="170"/>
    </row>
    <row r="319" spans="4:4">
      <c r="D319" s="170"/>
    </row>
    <row r="320" spans="4:4">
      <c r="D320" s="170"/>
    </row>
    <row r="321" spans="4:4">
      <c r="D321" s="170"/>
    </row>
    <row r="322" spans="4:4">
      <c r="D322" s="170"/>
    </row>
    <row r="323" spans="4:4">
      <c r="D323" s="170"/>
    </row>
    <row r="324" spans="4:4">
      <c r="D324" s="170"/>
    </row>
    <row r="325" spans="4:4">
      <c r="D325" s="170"/>
    </row>
    <row r="326" spans="4:4">
      <c r="D326" s="170"/>
    </row>
    <row r="327" spans="4:4">
      <c r="D327" s="170"/>
    </row>
    <row r="328" spans="4:4">
      <c r="D328" s="170"/>
    </row>
    <row r="329" spans="4:4">
      <c r="D329" s="170"/>
    </row>
    <row r="330" spans="4:4">
      <c r="D330" s="170"/>
    </row>
    <row r="331" spans="4:4">
      <c r="D331" s="170"/>
    </row>
    <row r="332" spans="4:4">
      <c r="D332" s="170"/>
    </row>
    <row r="333" spans="4:4">
      <c r="D333" s="170"/>
    </row>
    <row r="334" spans="4:4">
      <c r="D334" s="170"/>
    </row>
    <row r="335" spans="4:4">
      <c r="D335" s="170"/>
    </row>
    <row r="336" spans="4:4">
      <c r="D336" s="170"/>
    </row>
    <row r="337" spans="4:4">
      <c r="D337" s="170"/>
    </row>
    <row r="338" spans="4:4">
      <c r="D338" s="170"/>
    </row>
    <row r="339" spans="4:4">
      <c r="D339" s="170"/>
    </row>
    <row r="340" spans="4:4">
      <c r="D340" s="170"/>
    </row>
    <row r="341" spans="4:4">
      <c r="D341" s="170"/>
    </row>
    <row r="342" spans="4:4">
      <c r="D342" s="170"/>
    </row>
    <row r="343" spans="4:4">
      <c r="D343" s="170"/>
    </row>
    <row r="344" spans="4:4">
      <c r="D344" s="170"/>
    </row>
    <row r="345" spans="4:4">
      <c r="D345" s="170"/>
    </row>
    <row r="346" spans="4:4">
      <c r="D346" s="170"/>
    </row>
    <row r="347" spans="4:4">
      <c r="D347" s="170"/>
    </row>
    <row r="348" spans="4:4">
      <c r="D348" s="170"/>
    </row>
    <row r="349" spans="4:4">
      <c r="D349" s="170"/>
    </row>
    <row r="350" spans="4:4">
      <c r="D350" s="170"/>
    </row>
    <row r="351" spans="4:4">
      <c r="D351" s="170"/>
    </row>
    <row r="352" spans="4:4">
      <c r="D352" s="170"/>
    </row>
    <row r="353" spans="4:4">
      <c r="D353" s="170"/>
    </row>
    <row r="354" spans="4:4">
      <c r="D354" s="170"/>
    </row>
    <row r="355" spans="4:4">
      <c r="D355" s="170"/>
    </row>
    <row r="356" spans="4:4">
      <c r="D356" s="170"/>
    </row>
    <row r="357" spans="4:4">
      <c r="D357" s="170"/>
    </row>
    <row r="358" spans="4:4">
      <c r="D358" s="170"/>
    </row>
    <row r="359" spans="4:4">
      <c r="D359" s="170"/>
    </row>
    <row r="360" spans="4:4">
      <c r="D360" s="170"/>
    </row>
    <row r="361" spans="4:4">
      <c r="D361" s="170"/>
    </row>
    <row r="362" spans="4:4">
      <c r="D362" s="170"/>
    </row>
    <row r="363" spans="4:4">
      <c r="D363" s="170"/>
    </row>
    <row r="364" spans="4:4">
      <c r="D364" s="170"/>
    </row>
    <row r="365" spans="4:4">
      <c r="D365" s="170"/>
    </row>
    <row r="366" spans="4:4">
      <c r="D366" s="170"/>
    </row>
    <row r="367" spans="4:4">
      <c r="D367" s="170"/>
    </row>
    <row r="368" spans="4:4">
      <c r="D368" s="170"/>
    </row>
    <row r="369" spans="4:4">
      <c r="D369" s="170"/>
    </row>
    <row r="370" spans="4:4">
      <c r="D370" s="170"/>
    </row>
    <row r="371" spans="4:4">
      <c r="D371" s="170"/>
    </row>
    <row r="372" spans="4:4">
      <c r="D372" s="170"/>
    </row>
    <row r="373" spans="4:4">
      <c r="D373" s="170"/>
    </row>
    <row r="374" spans="4:4">
      <c r="D374" s="170"/>
    </row>
    <row r="375" spans="4:4">
      <c r="D375" s="170"/>
    </row>
    <row r="376" spans="4:4">
      <c r="D376" s="170"/>
    </row>
    <row r="377" spans="4:4">
      <c r="D377" s="170"/>
    </row>
    <row r="378" spans="4:4">
      <c r="D378" s="170"/>
    </row>
    <row r="379" spans="4:4">
      <c r="D379" s="170"/>
    </row>
    <row r="380" spans="4:4">
      <c r="D380" s="170"/>
    </row>
    <row r="381" spans="4:4">
      <c r="D381" s="170"/>
    </row>
    <row r="382" spans="4:4">
      <c r="D382" s="170"/>
    </row>
    <row r="383" spans="4:4">
      <c r="D383" s="170"/>
    </row>
    <row r="384" spans="4:4">
      <c r="D384" s="170"/>
    </row>
    <row r="385" spans="4:4">
      <c r="D385" s="170"/>
    </row>
    <row r="386" spans="4:4">
      <c r="D386" s="170"/>
    </row>
    <row r="387" spans="4:4">
      <c r="D387" s="170"/>
    </row>
    <row r="388" spans="4:4">
      <c r="D388" s="170"/>
    </row>
    <row r="389" spans="4:4">
      <c r="D389" s="170"/>
    </row>
    <row r="390" spans="4:4">
      <c r="D390" s="170"/>
    </row>
    <row r="391" spans="4:4">
      <c r="D391" s="170"/>
    </row>
    <row r="392" spans="4:4">
      <c r="D392" s="170"/>
    </row>
    <row r="393" spans="4:4">
      <c r="D393" s="170"/>
    </row>
    <row r="394" spans="4:4">
      <c r="D394" s="170"/>
    </row>
    <row r="395" spans="4:4">
      <c r="D395" s="170"/>
    </row>
    <row r="396" spans="4:4">
      <c r="D396" s="170"/>
    </row>
    <row r="397" spans="4:4">
      <c r="D397" s="170"/>
    </row>
    <row r="398" spans="4:4">
      <c r="D398" s="170"/>
    </row>
    <row r="399" spans="4:4">
      <c r="D399" s="170"/>
    </row>
    <row r="400" spans="4:4">
      <c r="D400" s="170"/>
    </row>
    <row r="401" spans="4:4">
      <c r="D401" s="170"/>
    </row>
    <row r="402" spans="4:4">
      <c r="D402" s="170"/>
    </row>
    <row r="403" spans="4:4">
      <c r="D403" s="170"/>
    </row>
    <row r="404" spans="4:4">
      <c r="D404" s="170"/>
    </row>
    <row r="405" spans="4:4">
      <c r="D405" s="170"/>
    </row>
    <row r="406" spans="4:4">
      <c r="D406" s="170"/>
    </row>
    <row r="407" spans="4:4">
      <c r="D407" s="170"/>
    </row>
    <row r="408" spans="4:4">
      <c r="D408" s="170"/>
    </row>
    <row r="409" spans="4:4">
      <c r="D409" s="170"/>
    </row>
    <row r="410" spans="4:4">
      <c r="D410" s="170"/>
    </row>
    <row r="411" spans="4:4">
      <c r="D411" s="170"/>
    </row>
    <row r="412" spans="4:4">
      <c r="D412" s="170"/>
    </row>
    <row r="413" spans="4:4">
      <c r="D413" s="170"/>
    </row>
    <row r="414" spans="4:4">
      <c r="D414" s="170"/>
    </row>
    <row r="415" spans="4:4">
      <c r="D415" s="170"/>
    </row>
    <row r="416" spans="4:4">
      <c r="D416" s="170"/>
    </row>
    <row r="417" spans="4:4">
      <c r="D417" s="170"/>
    </row>
    <row r="418" spans="4:4">
      <c r="D418" s="170"/>
    </row>
    <row r="419" spans="4:4">
      <c r="D419" s="170"/>
    </row>
    <row r="420" spans="4:4">
      <c r="D420" s="170"/>
    </row>
    <row r="421" spans="4:4">
      <c r="D421" s="170"/>
    </row>
    <row r="422" spans="4:4">
      <c r="D422" s="170"/>
    </row>
    <row r="423" spans="4:4">
      <c r="D423" s="170"/>
    </row>
    <row r="424" spans="4:4">
      <c r="D424" s="170"/>
    </row>
    <row r="425" spans="4:4">
      <c r="D425" s="170"/>
    </row>
    <row r="426" spans="4:4">
      <c r="D426" s="170"/>
    </row>
    <row r="427" spans="4:4">
      <c r="D427" s="170"/>
    </row>
    <row r="428" spans="4:4">
      <c r="D428" s="170"/>
    </row>
    <row r="429" spans="4:4">
      <c r="D429" s="170"/>
    </row>
    <row r="430" spans="4:4">
      <c r="D430" s="170"/>
    </row>
    <row r="431" spans="4:4">
      <c r="D431" s="170"/>
    </row>
    <row r="432" spans="4:4">
      <c r="D432" s="170"/>
    </row>
    <row r="433" spans="4:4">
      <c r="D433" s="170"/>
    </row>
    <row r="434" spans="4:4">
      <c r="D434" s="170"/>
    </row>
    <row r="435" spans="4:4">
      <c r="D435" s="170"/>
    </row>
    <row r="436" spans="4:4">
      <c r="D436" s="170"/>
    </row>
    <row r="437" spans="4:4">
      <c r="D437" s="170"/>
    </row>
    <row r="438" spans="4:4">
      <c r="D438" s="170"/>
    </row>
    <row r="439" spans="4:4">
      <c r="D439" s="170"/>
    </row>
    <row r="440" spans="4:4">
      <c r="D440" s="170"/>
    </row>
    <row r="441" spans="4:4">
      <c r="D441" s="170"/>
    </row>
    <row r="442" spans="4:4">
      <c r="D442" s="170"/>
    </row>
    <row r="443" spans="4:4">
      <c r="D443" s="170"/>
    </row>
    <row r="444" spans="4:4">
      <c r="D444" s="170"/>
    </row>
    <row r="445" spans="4:4">
      <c r="D445" s="170"/>
    </row>
    <row r="446" spans="4:4">
      <c r="D446" s="170"/>
    </row>
    <row r="447" spans="4:4">
      <c r="D447" s="170"/>
    </row>
    <row r="448" spans="4:4">
      <c r="D448" s="170"/>
    </row>
    <row r="449" spans="4:4">
      <c r="D449" s="170"/>
    </row>
    <row r="450" spans="4:4">
      <c r="D450" s="170"/>
    </row>
    <row r="451" spans="4:4">
      <c r="D451" s="170"/>
    </row>
    <row r="452" spans="4:4">
      <c r="D452" s="170"/>
    </row>
    <row r="453" spans="4:4">
      <c r="D453" s="170"/>
    </row>
    <row r="454" spans="4:4">
      <c r="D454" s="170"/>
    </row>
    <row r="455" spans="4:4">
      <c r="D455" s="170"/>
    </row>
    <row r="456" spans="4:4">
      <c r="D456" s="170"/>
    </row>
    <row r="457" spans="4:4">
      <c r="D457" s="170"/>
    </row>
    <row r="458" spans="4:4">
      <c r="D458" s="170"/>
    </row>
    <row r="459" spans="4:4">
      <c r="D459" s="170"/>
    </row>
    <row r="460" spans="4:4">
      <c r="D460" s="170"/>
    </row>
    <row r="461" spans="4:4">
      <c r="D461" s="170"/>
    </row>
    <row r="462" spans="4:4">
      <c r="D462" s="170"/>
    </row>
    <row r="463" spans="4:4">
      <c r="D463" s="170"/>
    </row>
    <row r="464" spans="4:4">
      <c r="D464" s="170"/>
    </row>
    <row r="465" spans="4:4">
      <c r="D465" s="170"/>
    </row>
    <row r="466" spans="4:4">
      <c r="D466" s="170"/>
    </row>
    <row r="467" spans="4:4">
      <c r="D467" s="170"/>
    </row>
    <row r="468" spans="4:4">
      <c r="D468" s="170"/>
    </row>
    <row r="469" spans="4:4">
      <c r="D469" s="170"/>
    </row>
    <row r="470" spans="4:4">
      <c r="D470" s="170"/>
    </row>
    <row r="471" spans="4:4">
      <c r="D471" s="170"/>
    </row>
    <row r="472" spans="4:4">
      <c r="D472" s="170"/>
    </row>
    <row r="473" spans="4:4">
      <c r="D473" s="170"/>
    </row>
    <row r="474" spans="4:4">
      <c r="D474" s="170"/>
    </row>
    <row r="475" spans="4:4">
      <c r="D475" s="170"/>
    </row>
    <row r="476" spans="4:4">
      <c r="D476" s="170"/>
    </row>
    <row r="477" spans="4:4">
      <c r="D477" s="170"/>
    </row>
    <row r="478" spans="4:4">
      <c r="D478" s="170"/>
    </row>
    <row r="479" spans="4:4">
      <c r="D479" s="170"/>
    </row>
    <row r="480" spans="4:4">
      <c r="D480" s="170"/>
    </row>
    <row r="481" spans="4:4">
      <c r="D481" s="170"/>
    </row>
    <row r="482" spans="4:4">
      <c r="D482" s="170"/>
    </row>
    <row r="483" spans="4:4">
      <c r="D483" s="170"/>
    </row>
    <row r="484" spans="4:4">
      <c r="D484" s="170"/>
    </row>
    <row r="485" spans="4:4">
      <c r="D485" s="170"/>
    </row>
    <row r="486" spans="4:4">
      <c r="D486" s="170"/>
    </row>
    <row r="487" spans="4:4">
      <c r="D487" s="170"/>
    </row>
    <row r="488" spans="4:4">
      <c r="D488" s="170"/>
    </row>
    <row r="489" spans="4:4">
      <c r="D489" s="170"/>
    </row>
    <row r="490" spans="4:4">
      <c r="D490" s="170"/>
    </row>
    <row r="491" spans="4:4">
      <c r="D491" s="170"/>
    </row>
    <row r="492" spans="4:4">
      <c r="D492" s="170"/>
    </row>
    <row r="493" spans="4:4">
      <c r="D493" s="170"/>
    </row>
    <row r="494" spans="4:4">
      <c r="D494" s="170"/>
    </row>
    <row r="495" spans="4:4">
      <c r="D495" s="170"/>
    </row>
    <row r="496" spans="4:4">
      <c r="D496" s="170"/>
    </row>
    <row r="497" spans="4:4">
      <c r="D497" s="170"/>
    </row>
    <row r="498" spans="4:4">
      <c r="D498" s="170"/>
    </row>
    <row r="499" spans="4:4">
      <c r="D499" s="170"/>
    </row>
    <row r="500" spans="4:4">
      <c r="D500" s="170"/>
    </row>
    <row r="501" spans="4:4">
      <c r="D501" s="170"/>
    </row>
    <row r="502" spans="4:4">
      <c r="D502" s="170"/>
    </row>
    <row r="503" spans="4:4">
      <c r="D503" s="170"/>
    </row>
    <row r="504" spans="4:4">
      <c r="D504" s="170"/>
    </row>
    <row r="505" spans="4:4">
      <c r="D505" s="170"/>
    </row>
    <row r="506" spans="4:4">
      <c r="D506" s="170"/>
    </row>
    <row r="507" spans="4:4">
      <c r="D507" s="170"/>
    </row>
    <row r="508" spans="4:4">
      <c r="D508" s="170"/>
    </row>
    <row r="509" spans="4:4">
      <c r="D509" s="170"/>
    </row>
    <row r="510" spans="4:4">
      <c r="D510" s="170"/>
    </row>
    <row r="511" spans="4:4">
      <c r="D511" s="170"/>
    </row>
    <row r="512" spans="4:4">
      <c r="D512" s="170"/>
    </row>
    <row r="513" spans="4:4">
      <c r="D513" s="170"/>
    </row>
    <row r="514" spans="4:4">
      <c r="D514" s="170"/>
    </row>
    <row r="515" spans="4:4">
      <c r="D515" s="170"/>
    </row>
    <row r="516" spans="4:4">
      <c r="D516" s="170"/>
    </row>
    <row r="517" spans="4:4">
      <c r="D517" s="170"/>
    </row>
    <row r="518" spans="4:4">
      <c r="D518" s="170"/>
    </row>
    <row r="519" spans="4:4">
      <c r="D519" s="170"/>
    </row>
    <row r="520" spans="4:4">
      <c r="D520" s="170"/>
    </row>
    <row r="521" spans="4:4">
      <c r="D521" s="170"/>
    </row>
    <row r="522" spans="4:4">
      <c r="D522" s="170"/>
    </row>
    <row r="523" spans="4:4">
      <c r="D523" s="170"/>
    </row>
    <row r="524" spans="4:4">
      <c r="D524" s="170"/>
    </row>
    <row r="525" spans="4:4">
      <c r="D525" s="170"/>
    </row>
    <row r="526" spans="4:4">
      <c r="D526" s="170"/>
    </row>
    <row r="527" spans="4:4">
      <c r="D527" s="170"/>
    </row>
    <row r="528" spans="4:4">
      <c r="D528" s="170"/>
    </row>
    <row r="529" spans="4:4">
      <c r="D529" s="170"/>
    </row>
    <row r="530" spans="4:4">
      <c r="D530" s="170"/>
    </row>
    <row r="531" spans="4:4">
      <c r="D531" s="170"/>
    </row>
    <row r="532" spans="4:4">
      <c r="D532" s="170"/>
    </row>
    <row r="533" spans="4:4">
      <c r="D533" s="170"/>
    </row>
    <row r="534" spans="4:4">
      <c r="D534" s="170"/>
    </row>
    <row r="535" spans="4:4">
      <c r="D535" s="170"/>
    </row>
    <row r="536" spans="4:4">
      <c r="D536" s="170"/>
    </row>
    <row r="537" spans="4:4">
      <c r="D537" s="170"/>
    </row>
    <row r="538" spans="4:4">
      <c r="D538" s="170"/>
    </row>
    <row r="539" spans="4:4">
      <c r="D539" s="170"/>
    </row>
    <row r="540" spans="4:4">
      <c r="D540" s="170"/>
    </row>
    <row r="541" spans="4:4">
      <c r="D541" s="170"/>
    </row>
    <row r="542" spans="4:4">
      <c r="D542" s="170"/>
    </row>
    <row r="543" spans="4:4">
      <c r="D543" s="170"/>
    </row>
    <row r="544" spans="4:4">
      <c r="D544" s="170"/>
    </row>
    <row r="545" spans="4:4">
      <c r="D545" s="170"/>
    </row>
    <row r="546" spans="4:4">
      <c r="D546" s="170"/>
    </row>
    <row r="547" spans="4:4">
      <c r="D547" s="170"/>
    </row>
    <row r="548" spans="4:4">
      <c r="D548" s="170"/>
    </row>
    <row r="549" spans="4:4">
      <c r="D549" s="170"/>
    </row>
    <row r="550" spans="4:4">
      <c r="D550" s="170"/>
    </row>
    <row r="551" spans="4:4">
      <c r="D551" s="170"/>
    </row>
    <row r="552" spans="4:4">
      <c r="D552" s="170"/>
    </row>
    <row r="553" spans="4:4">
      <c r="D553" s="170"/>
    </row>
    <row r="554" spans="4:4">
      <c r="D554" s="170"/>
    </row>
    <row r="555" spans="4:4">
      <c r="D555" s="170"/>
    </row>
    <row r="556" spans="4:4">
      <c r="D556" s="170"/>
    </row>
    <row r="557" spans="4:4">
      <c r="D557" s="170"/>
    </row>
    <row r="558" spans="4:4">
      <c r="D558" s="170"/>
    </row>
    <row r="559" spans="4:4">
      <c r="D559" s="170"/>
    </row>
    <row r="560" spans="4:4">
      <c r="D560" s="170"/>
    </row>
    <row r="561" spans="4:4">
      <c r="D561" s="170"/>
    </row>
    <row r="562" spans="4:4">
      <c r="D562" s="170"/>
    </row>
    <row r="563" spans="4:4">
      <c r="D563" s="170"/>
    </row>
    <row r="564" spans="4:4">
      <c r="D564" s="170"/>
    </row>
    <row r="565" spans="4:4">
      <c r="D565" s="170"/>
    </row>
    <row r="566" spans="4:4">
      <c r="D566" s="170"/>
    </row>
    <row r="567" spans="4:4">
      <c r="D567" s="170"/>
    </row>
    <row r="568" spans="4:4">
      <c r="D568" s="170"/>
    </row>
    <row r="569" spans="4:4">
      <c r="D569" s="170"/>
    </row>
    <row r="570" spans="4:4">
      <c r="D570" s="170"/>
    </row>
    <row r="571" spans="4:4">
      <c r="D571" s="170"/>
    </row>
    <row r="572" spans="4:4">
      <c r="D572" s="170"/>
    </row>
    <row r="573" spans="4:4">
      <c r="D573" s="170"/>
    </row>
    <row r="574" spans="4:4">
      <c r="D574" s="170"/>
    </row>
    <row r="575" spans="4:4">
      <c r="D575" s="170"/>
    </row>
    <row r="576" spans="4:4">
      <c r="D576" s="170"/>
    </row>
    <row r="577" spans="4:4">
      <c r="D577" s="170"/>
    </row>
    <row r="578" spans="4:4">
      <c r="D578" s="170"/>
    </row>
    <row r="579" spans="4:4">
      <c r="D579" s="170"/>
    </row>
    <row r="580" spans="4:4">
      <c r="D580" s="170"/>
    </row>
    <row r="581" spans="4:4">
      <c r="D581" s="170"/>
    </row>
    <row r="582" spans="4:4">
      <c r="D582" s="170"/>
    </row>
    <row r="583" spans="4:4">
      <c r="D583" s="170"/>
    </row>
    <row r="584" spans="4:4">
      <c r="D584" s="170"/>
    </row>
    <row r="585" spans="4:4">
      <c r="D585" s="170"/>
    </row>
    <row r="586" spans="4:4">
      <c r="D586" s="170"/>
    </row>
    <row r="587" spans="4:4">
      <c r="D587" s="170"/>
    </row>
    <row r="588" spans="4:4">
      <c r="D588" s="170"/>
    </row>
    <row r="589" spans="4:4">
      <c r="D589" s="170"/>
    </row>
    <row r="590" spans="4:4">
      <c r="D590" s="170"/>
    </row>
    <row r="591" spans="4:4">
      <c r="D591" s="170"/>
    </row>
    <row r="592" spans="4:4">
      <c r="D592" s="170"/>
    </row>
    <row r="593" spans="4:4">
      <c r="D593" s="170"/>
    </row>
    <row r="594" spans="4:4">
      <c r="D594" s="170"/>
    </row>
    <row r="595" spans="4:4">
      <c r="D595" s="170"/>
    </row>
    <row r="596" spans="4:4">
      <c r="D596" s="170"/>
    </row>
    <row r="597" spans="4:4">
      <c r="D597" s="170"/>
    </row>
    <row r="598" spans="4:4">
      <c r="D598" s="170"/>
    </row>
    <row r="599" spans="4:4">
      <c r="D599" s="170"/>
    </row>
    <row r="600" spans="4:4">
      <c r="D600" s="170"/>
    </row>
    <row r="601" spans="4:4">
      <c r="D601" s="170"/>
    </row>
    <row r="602" spans="4:4">
      <c r="D602" s="170"/>
    </row>
    <row r="603" spans="4:4">
      <c r="D603" s="170"/>
    </row>
    <row r="604" spans="4:4">
      <c r="D604" s="170"/>
    </row>
    <row r="605" spans="4:4">
      <c r="D605" s="170"/>
    </row>
    <row r="606" spans="4:4">
      <c r="D606" s="170"/>
    </row>
    <row r="607" spans="4:4">
      <c r="D607" s="170"/>
    </row>
    <row r="608" spans="4:4">
      <c r="D608" s="170"/>
    </row>
    <row r="609" spans="4:4">
      <c r="D609" s="170"/>
    </row>
    <row r="610" spans="4:4">
      <c r="D610" s="170"/>
    </row>
    <row r="611" spans="4:4">
      <c r="D611" s="170"/>
    </row>
    <row r="612" spans="4:4">
      <c r="D612" s="170"/>
    </row>
    <row r="613" spans="4:4">
      <c r="D613" s="170"/>
    </row>
    <row r="614" spans="4:4">
      <c r="D614" s="170"/>
    </row>
    <row r="615" spans="4:4">
      <c r="D615" s="170"/>
    </row>
    <row r="616" spans="4:4">
      <c r="D616" s="170"/>
    </row>
    <row r="617" spans="4:4">
      <c r="D617" s="170"/>
    </row>
    <row r="618" spans="4:4">
      <c r="D618" s="170"/>
    </row>
    <row r="619" spans="4:4">
      <c r="D619" s="170"/>
    </row>
    <row r="620" spans="4:4">
      <c r="D620" s="170"/>
    </row>
    <row r="621" spans="4:4">
      <c r="D621" s="170"/>
    </row>
    <row r="622" spans="4:4">
      <c r="D622" s="170"/>
    </row>
    <row r="623" spans="4:4">
      <c r="D623" s="170"/>
    </row>
    <row r="624" spans="4:4">
      <c r="D624" s="170"/>
    </row>
    <row r="625" spans="4:4">
      <c r="D625" s="170"/>
    </row>
    <row r="626" spans="4:4">
      <c r="D626" s="170"/>
    </row>
    <row r="627" spans="4:4">
      <c r="D627" s="170"/>
    </row>
    <row r="628" spans="4:4">
      <c r="D628" s="170"/>
    </row>
    <row r="629" spans="4:4">
      <c r="D629" s="170"/>
    </row>
    <row r="630" spans="4:4">
      <c r="D630" s="170"/>
    </row>
    <row r="631" spans="4:4">
      <c r="D631" s="170"/>
    </row>
    <row r="632" spans="4:4">
      <c r="D632" s="170"/>
    </row>
    <row r="633" spans="4:4">
      <c r="D633" s="170"/>
    </row>
    <row r="634" spans="4:4">
      <c r="D634" s="170"/>
    </row>
    <row r="635" spans="4:4">
      <c r="D635" s="170"/>
    </row>
    <row r="636" spans="4:4">
      <c r="D636" s="170"/>
    </row>
    <row r="637" spans="4:4">
      <c r="D637" s="170"/>
    </row>
    <row r="638" spans="4:4">
      <c r="D638" s="170"/>
    </row>
    <row r="639" spans="4:4">
      <c r="D639" s="170"/>
    </row>
    <row r="640" spans="4:4">
      <c r="D640" s="170"/>
    </row>
    <row r="641" spans="4:4">
      <c r="D641" s="170"/>
    </row>
    <row r="642" spans="4:4">
      <c r="D642" s="170"/>
    </row>
    <row r="643" spans="4:4">
      <c r="D643" s="170"/>
    </row>
    <row r="644" spans="4:4">
      <c r="D644" s="170"/>
    </row>
    <row r="645" spans="4:4">
      <c r="D645" s="170"/>
    </row>
    <row r="646" spans="4:4">
      <c r="D646" s="170"/>
    </row>
    <row r="647" spans="4:4">
      <c r="D647" s="170"/>
    </row>
    <row r="648" spans="4:4">
      <c r="D648" s="170"/>
    </row>
    <row r="649" spans="4:4">
      <c r="D649" s="170"/>
    </row>
    <row r="650" spans="4:4">
      <c r="D650" s="170"/>
    </row>
    <row r="651" spans="4:4">
      <c r="D651" s="170"/>
    </row>
    <row r="652" spans="4:4">
      <c r="D652" s="170"/>
    </row>
    <row r="653" spans="4:4">
      <c r="D653" s="170"/>
    </row>
    <row r="654" spans="4:4">
      <c r="D654" s="170"/>
    </row>
    <row r="655" spans="4:4">
      <c r="D655" s="170"/>
    </row>
    <row r="656" spans="4:4">
      <c r="D656" s="170"/>
    </row>
    <row r="657" spans="4:4">
      <c r="D657" s="170"/>
    </row>
    <row r="658" spans="4:4">
      <c r="D658" s="170"/>
    </row>
    <row r="659" spans="4:4">
      <c r="D659" s="170"/>
    </row>
    <row r="660" spans="4:4">
      <c r="D660" s="170"/>
    </row>
    <row r="661" spans="4:4">
      <c r="D661" s="170"/>
    </row>
    <row r="662" spans="4:4">
      <c r="D662" s="170"/>
    </row>
    <row r="663" spans="4:4">
      <c r="D663" s="170"/>
    </row>
    <row r="664" spans="4:4">
      <c r="D664" s="170"/>
    </row>
    <row r="665" spans="4:4">
      <c r="D665" s="170"/>
    </row>
    <row r="666" spans="4:4">
      <c r="D666" s="170"/>
    </row>
    <row r="667" spans="4:4">
      <c r="D667" s="170"/>
    </row>
    <row r="668" spans="4:4">
      <c r="D668" s="170"/>
    </row>
    <row r="669" spans="4:4">
      <c r="D669" s="170"/>
    </row>
    <row r="670" spans="4:4">
      <c r="D670" s="170"/>
    </row>
    <row r="671" spans="4:4">
      <c r="D671" s="170"/>
    </row>
    <row r="672" spans="4:4">
      <c r="D672" s="170"/>
    </row>
    <row r="673" spans="4:4">
      <c r="D673" s="170"/>
    </row>
    <row r="674" spans="4:4">
      <c r="D674" s="170"/>
    </row>
    <row r="675" spans="4:4">
      <c r="D675" s="170"/>
    </row>
    <row r="676" spans="4:4">
      <c r="D676" s="170"/>
    </row>
    <row r="677" spans="4:4">
      <c r="D677" s="170"/>
    </row>
    <row r="678" spans="4:4">
      <c r="D678" s="170"/>
    </row>
    <row r="679" spans="4:4">
      <c r="D679" s="170"/>
    </row>
    <row r="680" spans="4:4">
      <c r="D680" s="170"/>
    </row>
    <row r="681" spans="4:4">
      <c r="D681" s="170"/>
    </row>
    <row r="682" spans="4:4">
      <c r="D682" s="170"/>
    </row>
    <row r="683" spans="4:4">
      <c r="D683" s="170"/>
    </row>
    <row r="684" spans="4:4">
      <c r="D684" s="170"/>
    </row>
    <row r="685" spans="4:4">
      <c r="D685" s="170"/>
    </row>
    <row r="686" spans="4:4">
      <c r="D686" s="170"/>
    </row>
    <row r="687" spans="4:4">
      <c r="D687" s="170"/>
    </row>
    <row r="688" spans="4:4">
      <c r="D688" s="170"/>
    </row>
    <row r="689" spans="4:4">
      <c r="D689" s="170"/>
    </row>
    <row r="690" spans="4:4">
      <c r="D690" s="170"/>
    </row>
    <row r="691" spans="4:4">
      <c r="D691" s="170"/>
    </row>
    <row r="692" spans="4:4">
      <c r="D692" s="170"/>
    </row>
    <row r="693" spans="4:4">
      <c r="D693" s="170"/>
    </row>
    <row r="694" spans="4:4">
      <c r="D694" s="170"/>
    </row>
    <row r="695" spans="4:4">
      <c r="D695" s="170"/>
    </row>
    <row r="696" spans="4:4">
      <c r="D696" s="170"/>
    </row>
    <row r="697" spans="4:4">
      <c r="D697" s="170"/>
    </row>
    <row r="698" spans="4:4">
      <c r="D698" s="170"/>
    </row>
    <row r="699" spans="4:4">
      <c r="D699" s="170"/>
    </row>
    <row r="700" spans="4:4">
      <c r="D700" s="170"/>
    </row>
    <row r="701" spans="4:4">
      <c r="D701" s="170"/>
    </row>
    <row r="702" spans="4:4">
      <c r="D702" s="170"/>
    </row>
    <row r="703" spans="4:4">
      <c r="D703" s="170"/>
    </row>
    <row r="704" spans="4:4">
      <c r="D704" s="170"/>
    </row>
    <row r="705" spans="4:4">
      <c r="D705" s="170"/>
    </row>
    <row r="706" spans="4:4">
      <c r="D706" s="170"/>
    </row>
    <row r="707" spans="4:4">
      <c r="D707" s="170"/>
    </row>
    <row r="708" spans="4:4">
      <c r="D708" s="170"/>
    </row>
    <row r="709" spans="4:4">
      <c r="D709" s="170"/>
    </row>
    <row r="710" spans="4:4">
      <c r="D710" s="170"/>
    </row>
    <row r="711" spans="4:4">
      <c r="D711" s="170"/>
    </row>
    <row r="712" spans="4:4">
      <c r="D712" s="170"/>
    </row>
    <row r="713" spans="4:4">
      <c r="D713" s="170"/>
    </row>
    <row r="714" spans="4:4">
      <c r="D714" s="170"/>
    </row>
    <row r="715" spans="4:4">
      <c r="D715" s="170"/>
    </row>
    <row r="716" spans="4:4">
      <c r="D716" s="170"/>
    </row>
    <row r="717" spans="4:4">
      <c r="D717" s="170"/>
    </row>
    <row r="718" spans="4:4">
      <c r="D718" s="170"/>
    </row>
    <row r="719" spans="4:4">
      <c r="D719" s="170"/>
    </row>
    <row r="720" spans="4:4">
      <c r="D720" s="170"/>
    </row>
    <row r="721" spans="4:4">
      <c r="D721" s="170"/>
    </row>
    <row r="722" spans="4:4">
      <c r="D722" s="170"/>
    </row>
    <row r="723" spans="4:4">
      <c r="D723" s="170"/>
    </row>
    <row r="724" spans="4:4">
      <c r="D724" s="170"/>
    </row>
    <row r="725" spans="4:4">
      <c r="D725" s="170"/>
    </row>
    <row r="726" spans="4:4">
      <c r="D726" s="170"/>
    </row>
    <row r="727" spans="4:4">
      <c r="D727" s="170"/>
    </row>
    <row r="728" spans="4:4">
      <c r="D728" s="170"/>
    </row>
    <row r="729" spans="4:4">
      <c r="D729" s="170"/>
    </row>
    <row r="730" spans="4:4">
      <c r="D730" s="170"/>
    </row>
    <row r="731" spans="4:4">
      <c r="D731" s="170"/>
    </row>
    <row r="732" spans="4:4">
      <c r="D732" s="170"/>
    </row>
    <row r="733" spans="4:4">
      <c r="D733" s="170"/>
    </row>
    <row r="734" spans="4:4">
      <c r="D734" s="170"/>
    </row>
    <row r="735" spans="4:4">
      <c r="D735" s="170"/>
    </row>
    <row r="736" spans="4:4">
      <c r="D736" s="170"/>
    </row>
    <row r="737" spans="4:4">
      <c r="D737" s="170"/>
    </row>
    <row r="738" spans="4:4">
      <c r="D738" s="170"/>
    </row>
    <row r="739" spans="4:4">
      <c r="D739" s="170"/>
    </row>
    <row r="740" spans="4:4">
      <c r="D740" s="170"/>
    </row>
    <row r="741" spans="4:4">
      <c r="D741" s="170"/>
    </row>
    <row r="742" spans="4:4">
      <c r="D742" s="170"/>
    </row>
    <row r="743" spans="4:4">
      <c r="D743" s="170"/>
    </row>
    <row r="744" spans="4:4">
      <c r="D744" s="170"/>
    </row>
    <row r="745" spans="4:4">
      <c r="D745" s="170"/>
    </row>
    <row r="746" spans="4:4">
      <c r="D746" s="170"/>
    </row>
    <row r="747" spans="4:4">
      <c r="D747" s="170"/>
    </row>
    <row r="748" spans="4:4">
      <c r="D748" s="170"/>
    </row>
    <row r="749" spans="4:4">
      <c r="D749" s="170"/>
    </row>
    <row r="750" spans="4:4">
      <c r="D750" s="170"/>
    </row>
    <row r="751" spans="4:4">
      <c r="D751" s="170"/>
    </row>
    <row r="752" spans="4:4">
      <c r="D752" s="170"/>
    </row>
    <row r="753" spans="4:4">
      <c r="D753" s="170"/>
    </row>
    <row r="754" spans="4:4">
      <c r="D754" s="170"/>
    </row>
    <row r="755" spans="4:4">
      <c r="D755" s="170"/>
    </row>
    <row r="756" spans="4:4">
      <c r="D756" s="170"/>
    </row>
    <row r="757" spans="4:4">
      <c r="D757" s="170"/>
    </row>
    <row r="758" spans="4:4">
      <c r="D758" s="170"/>
    </row>
    <row r="759" spans="4:4">
      <c r="D759" s="170"/>
    </row>
    <row r="760" spans="4:4">
      <c r="D760" s="170"/>
    </row>
    <row r="761" spans="4:4">
      <c r="D761" s="170"/>
    </row>
    <row r="762" spans="4:4">
      <c r="D762" s="170"/>
    </row>
    <row r="763" spans="4:4">
      <c r="D763" s="170"/>
    </row>
    <row r="764" spans="4:4">
      <c r="D764" s="170"/>
    </row>
    <row r="765" spans="4:4">
      <c r="D765" s="170"/>
    </row>
    <row r="766" spans="4:4">
      <c r="D766" s="170"/>
    </row>
    <row r="767" spans="4:4">
      <c r="D767" s="170"/>
    </row>
    <row r="768" spans="4:4">
      <c r="D768" s="170"/>
    </row>
    <row r="769" spans="4:4">
      <c r="D769" s="170"/>
    </row>
    <row r="770" spans="4:4">
      <c r="D770" s="170"/>
    </row>
    <row r="771" spans="4:4">
      <c r="D771" s="170"/>
    </row>
    <row r="772" spans="4:4">
      <c r="D772" s="170"/>
    </row>
    <row r="773" spans="4:4">
      <c r="D773" s="170"/>
    </row>
    <row r="774" spans="4:4">
      <c r="D774" s="170"/>
    </row>
    <row r="775" spans="4:4">
      <c r="D775" s="170"/>
    </row>
    <row r="776" spans="4:4">
      <c r="D776" s="170"/>
    </row>
    <row r="777" spans="4:4">
      <c r="D777" s="170"/>
    </row>
    <row r="778" spans="4:4">
      <c r="D778" s="170"/>
    </row>
    <row r="779" spans="4:4">
      <c r="D779" s="170"/>
    </row>
    <row r="780" spans="4:4">
      <c r="D780" s="170"/>
    </row>
    <row r="781" spans="4:4">
      <c r="D781" s="170"/>
    </row>
    <row r="782" spans="4:4">
      <c r="D782" s="170"/>
    </row>
    <row r="783" spans="4:4">
      <c r="D783" s="170"/>
    </row>
    <row r="784" spans="4:4">
      <c r="D784" s="170"/>
    </row>
    <row r="785" spans="4:4">
      <c r="D785" s="170"/>
    </row>
    <row r="786" spans="4:4">
      <c r="D786" s="170"/>
    </row>
    <row r="787" spans="4:4">
      <c r="D787" s="170"/>
    </row>
    <row r="788" spans="4:4">
      <c r="D788" s="170"/>
    </row>
    <row r="789" spans="4:4">
      <c r="D789" s="170"/>
    </row>
    <row r="790" spans="4:4">
      <c r="D790" s="170"/>
    </row>
    <row r="791" spans="4:4">
      <c r="D791" s="170"/>
    </row>
    <row r="792" spans="4:4">
      <c r="D792" s="170"/>
    </row>
    <row r="793" spans="4:4">
      <c r="D793" s="170"/>
    </row>
    <row r="794" spans="4:4">
      <c r="D794" s="170"/>
    </row>
    <row r="795" spans="4:4">
      <c r="D795" s="170"/>
    </row>
    <row r="796" spans="4:4">
      <c r="D796" s="170"/>
    </row>
    <row r="797" spans="4:4">
      <c r="D797" s="170"/>
    </row>
    <row r="798" spans="4:4">
      <c r="D798" s="170"/>
    </row>
    <row r="799" spans="4:4">
      <c r="D799" s="170"/>
    </row>
    <row r="800" spans="4:4">
      <c r="D800" s="170"/>
    </row>
    <row r="801" spans="4:4">
      <c r="D801" s="170"/>
    </row>
    <row r="802" spans="4:4">
      <c r="D802" s="170"/>
    </row>
    <row r="803" spans="4:4">
      <c r="D803" s="170"/>
    </row>
    <row r="804" spans="4:4">
      <c r="D804" s="170"/>
    </row>
    <row r="805" spans="4:4">
      <c r="D805" s="170"/>
    </row>
    <row r="806" spans="4:4">
      <c r="D806" s="170"/>
    </row>
    <row r="807" spans="4:4">
      <c r="D807" s="170"/>
    </row>
    <row r="808" spans="4:4">
      <c r="D808" s="170"/>
    </row>
    <row r="809" spans="4:4">
      <c r="D809" s="170"/>
    </row>
    <row r="810" spans="4:4">
      <c r="D810" s="170"/>
    </row>
    <row r="811" spans="4:4">
      <c r="D811" s="170"/>
    </row>
    <row r="812" spans="4:4">
      <c r="D812" s="170"/>
    </row>
    <row r="813" spans="4:4">
      <c r="D813" s="170"/>
    </row>
    <row r="814" spans="4:4">
      <c r="D814" s="170"/>
    </row>
    <row r="815" spans="4:4">
      <c r="D815" s="170"/>
    </row>
    <row r="816" spans="4:4">
      <c r="D816" s="170"/>
    </row>
    <row r="817" spans="4:4">
      <c r="D817" s="170"/>
    </row>
    <row r="818" spans="4:4">
      <c r="D818" s="170"/>
    </row>
    <row r="819" spans="4:4">
      <c r="D819" s="170"/>
    </row>
    <row r="820" spans="4:4">
      <c r="D820" s="170"/>
    </row>
    <row r="821" spans="4:4">
      <c r="D821" s="170"/>
    </row>
    <row r="822" spans="4:4">
      <c r="D822" s="170"/>
    </row>
    <row r="823" spans="4:4">
      <c r="D823" s="170"/>
    </row>
    <row r="824" spans="4:4">
      <c r="D824" s="170"/>
    </row>
    <row r="825" spans="4:4">
      <c r="D825" s="170"/>
    </row>
    <row r="826" spans="4:4">
      <c r="D826" s="170"/>
    </row>
    <row r="827" spans="4:4">
      <c r="D827" s="170"/>
    </row>
    <row r="828" spans="4:4">
      <c r="D828" s="170"/>
    </row>
    <row r="829" spans="4:4">
      <c r="D829" s="170"/>
    </row>
    <row r="830" spans="4:4">
      <c r="D830" s="170"/>
    </row>
    <row r="831" spans="4:4">
      <c r="D831" s="170"/>
    </row>
    <row r="832" spans="4:4">
      <c r="D832" s="170"/>
    </row>
    <row r="833" spans="4:4">
      <c r="D833" s="170"/>
    </row>
    <row r="834" spans="4:4">
      <c r="D834" s="170"/>
    </row>
    <row r="835" spans="4:4">
      <c r="D835" s="170"/>
    </row>
    <row r="836" spans="4:4">
      <c r="D836" s="170"/>
    </row>
    <row r="837" spans="4:4">
      <c r="D837" s="170"/>
    </row>
    <row r="838" spans="4:4">
      <c r="D838" s="170"/>
    </row>
    <row r="839" spans="4:4">
      <c r="D839" s="170"/>
    </row>
    <row r="840" spans="4:4">
      <c r="D840" s="170"/>
    </row>
    <row r="841" spans="4:4">
      <c r="D841" s="170"/>
    </row>
    <row r="842" spans="4:4">
      <c r="D842" s="170"/>
    </row>
    <row r="843" spans="4:4">
      <c r="D843" s="170"/>
    </row>
    <row r="844" spans="4:4">
      <c r="D844" s="170"/>
    </row>
    <row r="845" spans="4:4">
      <c r="D845" s="170"/>
    </row>
    <row r="846" spans="4:4">
      <c r="D846" s="170"/>
    </row>
    <row r="847" spans="4:4">
      <c r="D847" s="170"/>
    </row>
    <row r="848" spans="4:4">
      <c r="D848" s="170"/>
    </row>
    <row r="849" spans="4:4">
      <c r="D849" s="170"/>
    </row>
    <row r="850" spans="4:4">
      <c r="D850" s="170"/>
    </row>
    <row r="851" spans="4:4">
      <c r="D851" s="170"/>
    </row>
    <row r="852" spans="4:4">
      <c r="D852" s="170"/>
    </row>
    <row r="853" spans="4:4">
      <c r="D853" s="170"/>
    </row>
    <row r="854" spans="4:4">
      <c r="D854" s="170"/>
    </row>
    <row r="855" spans="4:4">
      <c r="D855" s="170"/>
    </row>
    <row r="856" spans="4:4">
      <c r="D856" s="170"/>
    </row>
    <row r="857" spans="4:4">
      <c r="D857" s="170"/>
    </row>
    <row r="858" spans="4:4">
      <c r="D858" s="170"/>
    </row>
    <row r="859" spans="4:4">
      <c r="D859" s="170"/>
    </row>
    <row r="860" spans="4:4">
      <c r="D860" s="170"/>
    </row>
    <row r="861" spans="4:4">
      <c r="D861" s="170"/>
    </row>
    <row r="862" spans="4:4">
      <c r="D862" s="170"/>
    </row>
    <row r="863" spans="4:4">
      <c r="D863" s="170"/>
    </row>
    <row r="864" spans="4:4">
      <c r="D864" s="170"/>
    </row>
    <row r="865" spans="4:4">
      <c r="D865" s="170"/>
    </row>
    <row r="866" spans="4:4">
      <c r="D866" s="170"/>
    </row>
    <row r="867" spans="4:4">
      <c r="D867" s="170"/>
    </row>
    <row r="868" spans="4:4">
      <c r="D868" s="170"/>
    </row>
    <row r="869" spans="4:4">
      <c r="D869" s="170"/>
    </row>
    <row r="870" spans="4:4">
      <c r="D870" s="170"/>
    </row>
    <row r="871" spans="4:4">
      <c r="D871" s="170"/>
    </row>
    <row r="872" spans="4:4">
      <c r="D872" s="170"/>
    </row>
    <row r="873" spans="4:4">
      <c r="D873" s="170"/>
    </row>
    <row r="874" spans="4:4">
      <c r="D874" s="170"/>
    </row>
    <row r="875" spans="4:4">
      <c r="D875" s="170"/>
    </row>
    <row r="876" spans="4:4">
      <c r="D876" s="170"/>
    </row>
    <row r="877" spans="4:4">
      <c r="D877" s="170"/>
    </row>
    <row r="878" spans="4:4">
      <c r="D878" s="170"/>
    </row>
    <row r="879" spans="4:4">
      <c r="D879" s="170"/>
    </row>
    <row r="880" spans="4:4">
      <c r="D880" s="170"/>
    </row>
    <row r="881" spans="4:4">
      <c r="D881" s="170"/>
    </row>
    <row r="882" spans="4:4">
      <c r="D882" s="170"/>
    </row>
    <row r="883" spans="4:4">
      <c r="D883" s="170"/>
    </row>
    <row r="884" spans="4:4">
      <c r="D884" s="170"/>
    </row>
    <row r="885" spans="4:4">
      <c r="D885" s="170"/>
    </row>
    <row r="886" spans="4:4">
      <c r="D886" s="170"/>
    </row>
    <row r="887" spans="4:4">
      <c r="D887" s="170"/>
    </row>
    <row r="888" spans="4:4">
      <c r="D888" s="170"/>
    </row>
    <row r="889" spans="4:4">
      <c r="D889" s="170"/>
    </row>
    <row r="890" spans="4:4">
      <c r="D890" s="170"/>
    </row>
    <row r="891" spans="4:4">
      <c r="D891" s="170"/>
    </row>
    <row r="892" spans="4:4">
      <c r="D892" s="170"/>
    </row>
    <row r="893" spans="4:4">
      <c r="D893" s="170"/>
    </row>
    <row r="894" spans="4:4">
      <c r="D894" s="170"/>
    </row>
    <row r="895" spans="4:4">
      <c r="D895" s="170"/>
    </row>
    <row r="896" spans="4:4">
      <c r="D896" s="170"/>
    </row>
    <row r="897" spans="4:4">
      <c r="D897" s="170"/>
    </row>
    <row r="898" spans="4:4">
      <c r="D898" s="170"/>
    </row>
    <row r="899" spans="4:4">
      <c r="D899" s="170"/>
    </row>
    <row r="900" spans="4:4">
      <c r="D900" s="170"/>
    </row>
    <row r="901" spans="4:4">
      <c r="D901" s="170"/>
    </row>
    <row r="902" spans="4:4">
      <c r="D902" s="170"/>
    </row>
    <row r="903" spans="4:4">
      <c r="D903" s="170"/>
    </row>
    <row r="904" spans="4:4">
      <c r="D904" s="170"/>
    </row>
    <row r="905" spans="4:4">
      <c r="D905" s="170"/>
    </row>
    <row r="906" spans="4:4">
      <c r="D906" s="170"/>
    </row>
    <row r="907" spans="4:4">
      <c r="D907" s="170"/>
    </row>
    <row r="908" spans="4:4">
      <c r="D908" s="170"/>
    </row>
    <row r="909" spans="4:4">
      <c r="D909" s="170"/>
    </row>
    <row r="910" spans="4:4">
      <c r="D910" s="170"/>
    </row>
    <row r="911" spans="4:4">
      <c r="D911" s="170"/>
    </row>
    <row r="912" spans="4:4">
      <c r="D912" s="170"/>
    </row>
    <row r="913" spans="4:4">
      <c r="D913" s="170"/>
    </row>
    <row r="914" spans="4:4">
      <c r="D914" s="170"/>
    </row>
    <row r="915" spans="4:4">
      <c r="D915" s="170"/>
    </row>
    <row r="916" spans="4:4">
      <c r="D916" s="170"/>
    </row>
    <row r="917" spans="4:4">
      <c r="D917" s="170"/>
    </row>
    <row r="918" spans="4:4">
      <c r="D918" s="170"/>
    </row>
    <row r="919" spans="4:4">
      <c r="D919" s="170"/>
    </row>
    <row r="920" spans="4:4">
      <c r="D920" s="170"/>
    </row>
    <row r="921" spans="4:4">
      <c r="D921" s="170"/>
    </row>
    <row r="922" spans="4:4">
      <c r="D922" s="170"/>
    </row>
    <row r="923" spans="4:4">
      <c r="D923" s="170"/>
    </row>
    <row r="924" spans="4:4">
      <c r="D924" s="170"/>
    </row>
    <row r="925" spans="4:4">
      <c r="D925" s="170"/>
    </row>
    <row r="926" spans="4:4">
      <c r="D926" s="170"/>
    </row>
    <row r="927" spans="4:4">
      <c r="D927" s="170"/>
    </row>
    <row r="928" spans="4:4">
      <c r="D928" s="170"/>
    </row>
    <row r="929" spans="4:4">
      <c r="D929" s="170"/>
    </row>
    <row r="930" spans="4:4">
      <c r="D930" s="170"/>
    </row>
    <row r="931" spans="4:4">
      <c r="D931" s="170"/>
    </row>
    <row r="932" spans="4:4">
      <c r="D932" s="170"/>
    </row>
    <row r="933" spans="4:4">
      <c r="D933" s="170"/>
    </row>
    <row r="934" spans="4:4">
      <c r="D934" s="170"/>
    </row>
    <row r="935" spans="4:4">
      <c r="D935" s="170"/>
    </row>
    <row r="936" spans="4:4">
      <c r="D936" s="170"/>
    </row>
    <row r="937" spans="4:4">
      <c r="D937" s="170"/>
    </row>
    <row r="938" spans="4:4">
      <c r="D938" s="170"/>
    </row>
    <row r="939" spans="4:4">
      <c r="D939" s="170"/>
    </row>
    <row r="940" spans="4:4">
      <c r="D940" s="170"/>
    </row>
    <row r="941" spans="4:4">
      <c r="D941" s="170"/>
    </row>
    <row r="942" spans="4:4">
      <c r="D942" s="170"/>
    </row>
    <row r="943" spans="4:4">
      <c r="D943" s="170"/>
    </row>
    <row r="944" spans="4:4">
      <c r="D944" s="170"/>
    </row>
    <row r="945" spans="4:4">
      <c r="D945" s="170"/>
    </row>
    <row r="946" spans="4:4">
      <c r="D946" s="170"/>
    </row>
    <row r="947" spans="4:4">
      <c r="D947" s="170"/>
    </row>
    <row r="948" spans="4:4">
      <c r="D948" s="170"/>
    </row>
    <row r="949" spans="4:4">
      <c r="D949" s="170"/>
    </row>
    <row r="950" spans="4:4">
      <c r="D950" s="170"/>
    </row>
    <row r="951" spans="4:4">
      <c r="D951" s="170"/>
    </row>
    <row r="952" spans="4:4">
      <c r="D952" s="170"/>
    </row>
    <row r="953" spans="4:4">
      <c r="D953" s="170"/>
    </row>
    <row r="954" spans="4:4">
      <c r="D954" s="170"/>
    </row>
    <row r="955" spans="4:4">
      <c r="D955" s="170"/>
    </row>
    <row r="956" spans="4:4">
      <c r="D956" s="170"/>
    </row>
    <row r="957" spans="4:4">
      <c r="D957" s="170"/>
    </row>
    <row r="958" spans="4:4">
      <c r="D958" s="170"/>
    </row>
    <row r="959" spans="4:4">
      <c r="D959" s="170"/>
    </row>
    <row r="960" spans="4:4">
      <c r="D960" s="170"/>
    </row>
    <row r="961" spans="4:4">
      <c r="D961" s="170"/>
    </row>
    <row r="962" spans="4:4">
      <c r="D962" s="170"/>
    </row>
    <row r="963" spans="4:4">
      <c r="D963" s="170"/>
    </row>
    <row r="964" spans="4:4">
      <c r="D964" s="170"/>
    </row>
    <row r="965" spans="4:4">
      <c r="D965" s="170"/>
    </row>
    <row r="966" spans="4:4">
      <c r="D966" s="170"/>
    </row>
    <row r="967" spans="4:4">
      <c r="D967" s="170"/>
    </row>
    <row r="968" spans="4:4">
      <c r="D968" s="170"/>
    </row>
    <row r="969" spans="4:4">
      <c r="D969" s="170"/>
    </row>
    <row r="970" spans="4:4">
      <c r="D970" s="170"/>
    </row>
    <row r="971" spans="4:4">
      <c r="D971" s="170"/>
    </row>
    <row r="972" spans="4:4">
      <c r="D972" s="170"/>
    </row>
    <row r="973" spans="4:4">
      <c r="D973" s="170"/>
    </row>
    <row r="974" spans="4:4">
      <c r="D974" s="170"/>
    </row>
    <row r="975" spans="4:4">
      <c r="D975" s="170"/>
    </row>
    <row r="976" spans="4:4">
      <c r="D976" s="170"/>
    </row>
    <row r="977" spans="4:4">
      <c r="D977" s="170"/>
    </row>
    <row r="978" spans="4:4">
      <c r="D978" s="170"/>
    </row>
    <row r="979" spans="4:4">
      <c r="D979" s="170"/>
    </row>
    <row r="980" spans="4:4">
      <c r="D980" s="170"/>
    </row>
    <row r="981" spans="4:4">
      <c r="D981" s="170"/>
    </row>
    <row r="982" spans="4:4">
      <c r="D982" s="170"/>
    </row>
    <row r="983" spans="4:4">
      <c r="D983" s="170"/>
    </row>
    <row r="984" spans="4:4">
      <c r="D984" s="170"/>
    </row>
    <row r="985" spans="4:4">
      <c r="D985" s="170"/>
    </row>
    <row r="986" spans="4:4">
      <c r="D986" s="170"/>
    </row>
    <row r="987" spans="4:4">
      <c r="D987" s="170"/>
    </row>
    <row r="988" spans="4:4">
      <c r="D988" s="170"/>
    </row>
    <row r="989" spans="4:4">
      <c r="D989" s="170"/>
    </row>
    <row r="990" spans="4:4">
      <c r="D990" s="170"/>
    </row>
    <row r="991" spans="4:4">
      <c r="D991" s="170"/>
    </row>
    <row r="992" spans="4:4">
      <c r="D992" s="170"/>
    </row>
    <row r="993" spans="4:4">
      <c r="D993" s="170"/>
    </row>
    <row r="994" spans="4:4">
      <c r="D994" s="170"/>
    </row>
  </sheetData>
  <dataValidations count="5">
    <dataValidation operator="greaterThan" allowBlank="1" showInputMessage="1" showErrorMessage="1" sqref="D1" xr:uid="{517703E1-F074-446F-8827-11C2C9634750}"/>
    <dataValidation type="list" allowBlank="1" showInputMessage="1" showErrorMessage="1" sqref="E2:E996" xr:uid="{FE982E71-E0DF-4F8A-9A1F-AEDD9E1D443B}">
      <formula1>INDIRECT("CC[CONCATENADO]")</formula1>
    </dataValidation>
    <dataValidation type="date" allowBlank="1" showInputMessage="1" showErrorMessage="1" sqref="A2:A1048576" xr:uid="{70749064-3AF6-4E07-AC58-F6E92FFDA474}">
      <formula1>46023</formula1>
      <formula2>46387</formula2>
    </dataValidation>
    <dataValidation type="decimal" operator="greaterThan" allowBlank="1" showInputMessage="1" showErrorMessage="1" sqref="D2:D1048576" xr:uid="{B37498A2-1CA4-41A1-A478-9E4D6B309974}">
      <formula1>0</formula1>
    </dataValidation>
    <dataValidation type="list" allowBlank="1" showInputMessage="1" showErrorMessage="1" errorTitle="Dato no válido" error="Dato no válido" sqref="B2:B1997" xr:uid="{46E1F8E2-E8EF-4358-AFF1-A52234D7BFFD}">
      <formula1>INDIRECT("BD[ELEMENTO]")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0F1B0-290A-49F8-A8E4-D8E693B037E7}">
  <sheetPr codeName="shSalidas">
    <tabColor rgb="FFFFFF00"/>
  </sheetPr>
  <dimension ref="A1:J61"/>
  <sheetViews>
    <sheetView zoomScale="112" zoomScaleNormal="115" workbookViewId="0">
      <pane ySplit="1" topLeftCell="A18" activePane="bottomLeft" state="frozen"/>
      <selection pane="bottomLeft" activeCell="B18" sqref="B18"/>
    </sheetView>
  </sheetViews>
  <sheetFormatPr defaultColWidth="11.42578125" defaultRowHeight="17.25" customHeight="1"/>
  <cols>
    <col min="1" max="1" width="19.42578125" style="186" bestFit="1" customWidth="1"/>
    <col min="2" max="2" width="58" style="177" bestFit="1" customWidth="1"/>
    <col min="3" max="3" width="12.85546875" style="177" bestFit="1" customWidth="1"/>
    <col min="4" max="4" width="42" style="177" bestFit="1" customWidth="1"/>
    <col min="5" max="5" width="19" style="193" bestFit="1" customWidth="1"/>
    <col min="6" max="6" width="11.140625" style="193" bestFit="1" customWidth="1"/>
    <col min="7" max="7" width="64.140625" style="177" bestFit="1" customWidth="1"/>
    <col min="8" max="9" width="11.42578125" style="177"/>
    <col min="10" max="10" width="11" style="177" bestFit="1" customWidth="1"/>
    <col min="11" max="16384" width="11.42578125" style="177"/>
  </cols>
  <sheetData>
    <row r="1" spans="1:10" ht="39.75" customHeight="1">
      <c r="A1" s="185" t="s">
        <v>1968</v>
      </c>
      <c r="B1" s="180" t="s">
        <v>784</v>
      </c>
      <c r="C1" s="181" t="s">
        <v>786</v>
      </c>
      <c r="D1" s="181" t="s">
        <v>1969</v>
      </c>
      <c r="E1" s="193" t="s">
        <v>1970</v>
      </c>
      <c r="F1" s="193" t="s">
        <v>10</v>
      </c>
      <c r="G1" s="177" t="s">
        <v>1971</v>
      </c>
      <c r="J1" s="177" t="s">
        <v>1972</v>
      </c>
    </row>
    <row r="2" spans="1:10" ht="17.25" customHeight="1">
      <c r="A2" s="186">
        <v>46194</v>
      </c>
      <c r="B2" s="182" t="s">
        <v>855</v>
      </c>
      <c r="C2" s="229">
        <v>1</v>
      </c>
      <c r="D2" s="181" t="s">
        <v>1973</v>
      </c>
      <c r="E2" s="194">
        <f>_xlfn.XLOOKUP(OUTS[[#This Row],[ELEMENTO]],BD[Elemento],BD[COSTEO_POR_UNIDAD],0,0)</f>
        <v>4400</v>
      </c>
      <c r="F2" s="194">
        <f>OUTS[[#This Row],[CANTIDAD]]*OUTS[[#This Row],[COSTO UNIDAD]]</f>
        <v>4400</v>
      </c>
      <c r="G2" s="178" t="s">
        <v>1974</v>
      </c>
      <c r="J2" s="177" cm="1">
        <f t="array" ref="J2:J61">IFERROR(--ISNUMBER(_xlfn.XMATCH(OUTS[ELEMENTO],BD[Elemento],0,1)),"NO COINCIDE")</f>
        <v>1</v>
      </c>
    </row>
    <row r="3" spans="1:10" ht="17.25" customHeight="1">
      <c r="A3" s="186">
        <v>46194</v>
      </c>
      <c r="B3" s="182" t="s">
        <v>839</v>
      </c>
      <c r="C3" s="229">
        <v>2</v>
      </c>
      <c r="D3" s="181" t="s">
        <v>1973</v>
      </c>
      <c r="E3" s="194">
        <f>_xlfn.XLOOKUP(OUTS[[#This Row],[ELEMENTO]],BD[Elemento],BD[COSTEO_POR_UNIDAD],0,0)</f>
        <v>14552</v>
      </c>
      <c r="F3" s="194">
        <f>OUTS[[#This Row],[CANTIDAD]]*OUTS[[#This Row],[COSTO UNIDAD]]</f>
        <v>29104</v>
      </c>
      <c r="G3" s="178" t="s">
        <v>1975</v>
      </c>
      <c r="J3" s="177">
        <v>1</v>
      </c>
    </row>
    <row r="4" spans="1:10" ht="17.25" customHeight="1">
      <c r="A4" s="186">
        <v>46194</v>
      </c>
      <c r="B4" s="183" t="s">
        <v>872</v>
      </c>
      <c r="C4" s="229">
        <v>5</v>
      </c>
      <c r="D4" s="181" t="s">
        <v>1973</v>
      </c>
      <c r="E4" s="194">
        <f>_xlfn.XLOOKUP(OUTS[[#This Row],[ELEMENTO]],BD[Elemento],BD[COSTEO_POR_UNIDAD],0,0)</f>
        <v>1194.72</v>
      </c>
      <c r="F4" s="194">
        <f>OUTS[[#This Row],[CANTIDAD]]*OUTS[[#This Row],[COSTO UNIDAD]]</f>
        <v>5973.6</v>
      </c>
      <c r="G4" s="178" t="s">
        <v>1976</v>
      </c>
      <c r="J4" s="177">
        <v>1</v>
      </c>
    </row>
    <row r="5" spans="1:10" ht="17.25" customHeight="1">
      <c r="A5" s="186">
        <v>46194</v>
      </c>
      <c r="B5" s="183" t="s">
        <v>867</v>
      </c>
      <c r="C5" s="229">
        <v>1</v>
      </c>
      <c r="D5" s="181" t="s">
        <v>1973</v>
      </c>
      <c r="E5" s="194">
        <f>_xlfn.XLOOKUP(OUTS[[#This Row],[ELEMENTO]],BD[Elemento],BD[COSTEO_POR_UNIDAD],0,0)</f>
        <v>43256</v>
      </c>
      <c r="F5" s="194">
        <f>OUTS[[#This Row],[CANTIDAD]]*OUTS[[#This Row],[COSTO UNIDAD]]</f>
        <v>43256</v>
      </c>
      <c r="G5" s="178" t="s">
        <v>1977</v>
      </c>
      <c r="J5" s="177">
        <v>1</v>
      </c>
    </row>
    <row r="6" spans="1:10" ht="17.25" customHeight="1">
      <c r="A6" s="186">
        <v>46194</v>
      </c>
      <c r="B6" s="183" t="s">
        <v>893</v>
      </c>
      <c r="C6" s="229">
        <v>1</v>
      </c>
      <c r="D6" s="181" t="s">
        <v>1973</v>
      </c>
      <c r="E6" s="194">
        <f>_xlfn.XLOOKUP(OUTS[[#This Row],[ELEMENTO]],BD[Elemento],BD[COSTEO_POR_UNIDAD],0,0)</f>
        <v>3960</v>
      </c>
      <c r="F6" s="194">
        <f>OUTS[[#This Row],[CANTIDAD]]*OUTS[[#This Row],[COSTO UNIDAD]]</f>
        <v>3960</v>
      </c>
      <c r="G6" s="178" t="s">
        <v>1978</v>
      </c>
      <c r="J6" s="177">
        <v>1</v>
      </c>
    </row>
    <row r="7" spans="1:10" ht="17.25" customHeight="1">
      <c r="A7" s="186">
        <v>46194</v>
      </c>
      <c r="B7" s="183" t="s">
        <v>898</v>
      </c>
      <c r="C7" s="229">
        <v>10</v>
      </c>
      <c r="D7" s="181" t="s">
        <v>1973</v>
      </c>
      <c r="E7" s="194">
        <f>_xlfn.XLOOKUP(OUTS[[#This Row],[ELEMENTO]],BD[Elemento],BD[COSTEO_POR_UNIDAD],0,0)</f>
        <v>997.92</v>
      </c>
      <c r="F7" s="194">
        <f>OUTS[[#This Row],[CANTIDAD]]*OUTS[[#This Row],[COSTO UNIDAD]]</f>
        <v>9979.1999999999989</v>
      </c>
      <c r="G7" s="178" t="s">
        <v>1979</v>
      </c>
      <c r="J7" s="177">
        <v>1</v>
      </c>
    </row>
    <row r="8" spans="1:10" ht="17.25" customHeight="1">
      <c r="A8" s="186">
        <v>46194</v>
      </c>
      <c r="B8" s="183" t="s">
        <v>1980</v>
      </c>
      <c r="C8" s="229">
        <v>2</v>
      </c>
      <c r="D8" s="181" t="s">
        <v>1973</v>
      </c>
      <c r="E8" s="194">
        <f>_xlfn.XLOOKUP(OUTS[[#This Row],[ELEMENTO]],BD[Elemento],BD[COSTEO_POR_UNIDAD],0,0)</f>
        <v>69900</v>
      </c>
      <c r="F8" s="194">
        <f>OUTS[[#This Row],[CANTIDAD]]*OUTS[[#This Row],[COSTO UNIDAD]]</f>
        <v>139800</v>
      </c>
      <c r="G8" s="178" t="s">
        <v>1981</v>
      </c>
      <c r="J8" s="177">
        <v>1</v>
      </c>
    </row>
    <row r="9" spans="1:10" ht="17.25" customHeight="1">
      <c r="A9" s="186">
        <v>46194</v>
      </c>
      <c r="B9" s="183" t="s">
        <v>1786</v>
      </c>
      <c r="C9" s="229">
        <v>2</v>
      </c>
      <c r="D9" s="181" t="s">
        <v>1973</v>
      </c>
      <c r="E9" s="194">
        <f>_xlfn.XLOOKUP(OUTS[[#This Row],[ELEMENTO]],BD[Elemento],BD[COSTEO_POR_UNIDAD],0,0)</f>
        <v>0</v>
      </c>
      <c r="F9" s="194">
        <f>OUTS[[#This Row],[CANTIDAD]]*OUTS[[#This Row],[COSTO UNIDAD]]</f>
        <v>0</v>
      </c>
      <c r="G9" s="178" t="s">
        <v>1982</v>
      </c>
      <c r="J9" s="177">
        <v>1</v>
      </c>
    </row>
    <row r="10" spans="1:10" ht="17.25" customHeight="1">
      <c r="A10" s="186">
        <v>46194</v>
      </c>
      <c r="B10" s="183" t="s">
        <v>1983</v>
      </c>
      <c r="C10" s="229">
        <v>4</v>
      </c>
      <c r="D10" s="181" t="s">
        <v>1973</v>
      </c>
      <c r="E10" s="194">
        <f>_xlfn.XLOOKUP(OUTS[[#This Row],[ELEMENTO]],BD[Elemento],BD[COSTEO_POR_UNIDAD],0,0)</f>
        <v>41920</v>
      </c>
      <c r="F10" s="194">
        <f>OUTS[[#This Row],[CANTIDAD]]*OUTS[[#This Row],[COSTO UNIDAD]]</f>
        <v>167680</v>
      </c>
      <c r="G10" s="178" t="s">
        <v>1984</v>
      </c>
      <c r="J10" s="177">
        <v>1</v>
      </c>
    </row>
    <row r="11" spans="1:10" ht="17.25" customHeight="1">
      <c r="A11" s="186">
        <v>46194</v>
      </c>
      <c r="B11" s="183" t="s">
        <v>1985</v>
      </c>
      <c r="C11" s="229">
        <v>1</v>
      </c>
      <c r="D11" s="181" t="s">
        <v>1973</v>
      </c>
      <c r="E11" s="194">
        <f>_xlfn.XLOOKUP(OUTS[[#This Row],[ELEMENTO]],BD[Elemento],BD[COSTEO_POR_UNIDAD],0,0)</f>
        <v>99000</v>
      </c>
      <c r="F11" s="194">
        <f>OUTS[[#This Row],[CANTIDAD]]*OUTS[[#This Row],[COSTO UNIDAD]]</f>
        <v>99000</v>
      </c>
      <c r="G11" s="178" t="s">
        <v>1986</v>
      </c>
      <c r="J11" s="177">
        <v>1</v>
      </c>
    </row>
    <row r="12" spans="1:10" ht="17.25" customHeight="1">
      <c r="A12" s="186">
        <v>46194</v>
      </c>
      <c r="B12" s="183" t="s">
        <v>1987</v>
      </c>
      <c r="C12" s="229">
        <v>2</v>
      </c>
      <c r="D12" s="181" t="s">
        <v>1973</v>
      </c>
      <c r="E12" s="194">
        <f>_xlfn.XLOOKUP(OUTS[[#This Row],[ELEMENTO]],BD[Elemento],BD[COSTEO_POR_UNIDAD],0,0)</f>
        <v>19016</v>
      </c>
      <c r="F12" s="194">
        <f>OUTS[[#This Row],[CANTIDAD]]*OUTS[[#This Row],[COSTO UNIDAD]]</f>
        <v>38032</v>
      </c>
      <c r="G12" s="178" t="s">
        <v>1988</v>
      </c>
      <c r="J12" s="177">
        <v>1</v>
      </c>
    </row>
    <row r="13" spans="1:10" ht="17.25" customHeight="1">
      <c r="A13" s="186">
        <v>46194</v>
      </c>
      <c r="B13" s="183" t="s">
        <v>1989</v>
      </c>
      <c r="C13" s="229">
        <v>5</v>
      </c>
      <c r="D13" s="181" t="s">
        <v>1973</v>
      </c>
      <c r="E13" s="194">
        <f>_xlfn.XLOOKUP(OUTS[[#This Row],[ELEMENTO]],BD[Elemento],BD[COSTEO_POR_UNIDAD],0,0)</f>
        <v>1922.88</v>
      </c>
      <c r="F13" s="194">
        <f>OUTS[[#This Row],[CANTIDAD]]*OUTS[[#This Row],[COSTO UNIDAD]]</f>
        <v>9614.4000000000015</v>
      </c>
      <c r="G13" s="178" t="s">
        <v>1990</v>
      </c>
      <c r="J13" s="177">
        <v>1</v>
      </c>
    </row>
    <row r="14" spans="1:10" ht="17.25" customHeight="1">
      <c r="A14" s="186">
        <v>46194</v>
      </c>
      <c r="B14" s="183" t="s">
        <v>1148</v>
      </c>
      <c r="C14" s="229">
        <v>2</v>
      </c>
      <c r="D14" s="181" t="s">
        <v>1973</v>
      </c>
      <c r="E14" s="194">
        <f>_xlfn.XLOOKUP(OUTS[[#This Row],[ELEMENTO]],BD[Elemento],BD[COSTEO_POR_UNIDAD],0,0)</f>
        <v>5943</v>
      </c>
      <c r="F14" s="194">
        <f>OUTS[[#This Row],[CANTIDAD]]*OUTS[[#This Row],[COSTO UNIDAD]]</f>
        <v>11886</v>
      </c>
      <c r="G14" s="178" t="s">
        <v>1991</v>
      </c>
      <c r="J14" s="177">
        <v>1</v>
      </c>
    </row>
    <row r="15" spans="1:10" ht="17.25" customHeight="1">
      <c r="A15" s="186">
        <v>46194</v>
      </c>
      <c r="B15" s="183" t="s">
        <v>1206</v>
      </c>
      <c r="C15" s="229">
        <v>16</v>
      </c>
      <c r="D15" s="181" t="s">
        <v>1973</v>
      </c>
      <c r="E15" s="194">
        <f>_xlfn.XLOOKUP(OUTS[[#This Row],[ELEMENTO]],BD[Elemento],BD[COSTEO_POR_UNIDAD],0,0)</f>
        <v>1197.5999999999999</v>
      </c>
      <c r="F15" s="194">
        <f>OUTS[[#This Row],[CANTIDAD]]*OUTS[[#This Row],[COSTO UNIDAD]]</f>
        <v>19161.599999999999</v>
      </c>
      <c r="G15" s="178" t="s">
        <v>1992</v>
      </c>
      <c r="J15" s="177">
        <v>1</v>
      </c>
    </row>
    <row r="16" spans="1:10" ht="17.25" customHeight="1">
      <c r="A16" s="186">
        <v>46194</v>
      </c>
      <c r="B16" s="183" t="s">
        <v>1200</v>
      </c>
      <c r="C16" s="229">
        <v>5</v>
      </c>
      <c r="D16" s="181" t="s">
        <v>1973</v>
      </c>
      <c r="E16" s="194">
        <f>_xlfn.XLOOKUP(OUTS[[#This Row],[ELEMENTO]],BD[Elemento],BD[COSTEO_POR_UNIDAD],0,0)</f>
        <v>6500</v>
      </c>
      <c r="F16" s="194">
        <f>OUTS[[#This Row],[CANTIDAD]]*OUTS[[#This Row],[COSTO UNIDAD]]</f>
        <v>32500</v>
      </c>
      <c r="G16" s="178" t="s">
        <v>1993</v>
      </c>
      <c r="J16" s="177">
        <v>1</v>
      </c>
    </row>
    <row r="17" spans="1:10" ht="17.25" customHeight="1">
      <c r="A17" s="186">
        <v>46194</v>
      </c>
      <c r="B17" s="183" t="s">
        <v>1193</v>
      </c>
      <c r="C17" s="229">
        <v>5</v>
      </c>
      <c r="D17" s="181" t="s">
        <v>1973</v>
      </c>
      <c r="E17" s="194">
        <f>_xlfn.XLOOKUP(OUTS[[#This Row],[ELEMENTO]],BD[Elemento],BD[COSTEO_POR_UNIDAD],0,0)</f>
        <v>35251</v>
      </c>
      <c r="F17" s="194">
        <f>OUTS[[#This Row],[CANTIDAD]]*OUTS[[#This Row],[COSTO UNIDAD]]</f>
        <v>176255</v>
      </c>
      <c r="G17" s="178" t="s">
        <v>1994</v>
      </c>
      <c r="J17" s="177">
        <v>1</v>
      </c>
    </row>
    <row r="18" spans="1:10" ht="17.25" customHeight="1">
      <c r="A18" s="186">
        <v>46194</v>
      </c>
      <c r="B18" s="183" t="s">
        <v>1175</v>
      </c>
      <c r="C18" s="229">
        <v>2</v>
      </c>
      <c r="D18" s="181" t="s">
        <v>1973</v>
      </c>
      <c r="E18" s="194">
        <f>_xlfn.XLOOKUP(OUTS[[#This Row],[ELEMENTO]],BD[Elemento],BD[COSTEO_POR_UNIDAD],0,0)</f>
        <v>5632</v>
      </c>
      <c r="F18" s="194">
        <f>OUTS[[#This Row],[CANTIDAD]]*OUTS[[#This Row],[COSTO UNIDAD]]</f>
        <v>11264</v>
      </c>
      <c r="G18" s="178" t="s">
        <v>1995</v>
      </c>
      <c r="J18" s="177">
        <v>1</v>
      </c>
    </row>
    <row r="19" spans="1:10" ht="17.25" customHeight="1">
      <c r="A19" s="186">
        <v>46194</v>
      </c>
      <c r="B19" s="179" t="s">
        <v>1176</v>
      </c>
      <c r="C19" s="229">
        <v>2</v>
      </c>
      <c r="D19" s="181" t="s">
        <v>1973</v>
      </c>
      <c r="E19" s="193">
        <f>_xlfn.XLOOKUP(OUTS[[#This Row],[ELEMENTO]],BD[Elemento],BD[COSTEO_POR_UNIDAD],0,0)</f>
        <v>4312</v>
      </c>
      <c r="F19" s="193">
        <f>OUTS[[#This Row],[CANTIDAD]]*OUTS[[#This Row],[COSTO UNIDAD]]</f>
        <v>8624</v>
      </c>
      <c r="J19" s="177">
        <v>1</v>
      </c>
    </row>
    <row r="20" spans="1:10" ht="17.25" customHeight="1">
      <c r="A20" s="186">
        <v>46194</v>
      </c>
      <c r="B20" s="183" t="s">
        <v>1190</v>
      </c>
      <c r="C20" s="229">
        <v>1</v>
      </c>
      <c r="D20" s="181" t="s">
        <v>1973</v>
      </c>
      <c r="E20" s="194">
        <f>_xlfn.XLOOKUP(OUTS[[#This Row],[ELEMENTO]],BD[Elemento],BD[COSTEO_POR_UNIDAD],0,0)</f>
        <v>12500</v>
      </c>
      <c r="F20" s="194">
        <f>OUTS[[#This Row],[CANTIDAD]]*OUTS[[#This Row],[COSTO UNIDAD]]</f>
        <v>12500</v>
      </c>
      <c r="G20" s="178" t="s">
        <v>1996</v>
      </c>
      <c r="J20" s="177">
        <v>1</v>
      </c>
    </row>
    <row r="21" spans="1:10" ht="17.25" customHeight="1">
      <c r="A21" s="186">
        <v>46194</v>
      </c>
      <c r="B21" s="184" t="s">
        <v>1282</v>
      </c>
      <c r="C21" s="229">
        <v>2</v>
      </c>
      <c r="D21" s="181" t="s">
        <v>1973</v>
      </c>
      <c r="E21" s="194">
        <f>_xlfn.XLOOKUP(OUTS[[#This Row],[ELEMENTO]],BD[Elemento],BD[COSTEO_POR_UNIDAD],0,0)</f>
        <v>54600</v>
      </c>
      <c r="F21" s="194">
        <f>OUTS[[#This Row],[CANTIDAD]]*OUTS[[#This Row],[COSTO UNIDAD]]</f>
        <v>109200</v>
      </c>
      <c r="G21" s="178" t="s">
        <v>1997</v>
      </c>
      <c r="J21" s="177">
        <v>1</v>
      </c>
    </row>
    <row r="22" spans="1:10" ht="17.25" customHeight="1">
      <c r="A22" s="186">
        <v>46194</v>
      </c>
      <c r="B22" s="179" t="s">
        <v>1394</v>
      </c>
      <c r="C22" s="229">
        <v>2</v>
      </c>
      <c r="D22" s="181" t="s">
        <v>1973</v>
      </c>
      <c r="E22" s="195">
        <f>_xlfn.XLOOKUP(OUTS[[#This Row],[ELEMENTO]],BD[Elemento],BD[COSTEO_POR_UNIDAD],0,0)</f>
        <v>12824</v>
      </c>
      <c r="F22" s="195">
        <f>OUTS[[#This Row],[CANTIDAD]]*OUTS[[#This Row],[COSTO UNIDAD]]</f>
        <v>25648</v>
      </c>
      <c r="G22" s="179" t="s">
        <v>1998</v>
      </c>
      <c r="J22" s="177">
        <v>1</v>
      </c>
    </row>
    <row r="23" spans="1:10" ht="17.25" customHeight="1">
      <c r="A23" s="186">
        <v>46194</v>
      </c>
      <c r="B23" s="179" t="s">
        <v>1376</v>
      </c>
      <c r="C23" s="229">
        <v>2</v>
      </c>
      <c r="D23" s="181" t="s">
        <v>1973</v>
      </c>
      <c r="E23" s="195">
        <f>_xlfn.XLOOKUP(OUTS[[#This Row],[ELEMENTO]],BD[Elemento],BD[COSTEO_POR_UNIDAD],0,0)</f>
        <v>3056</v>
      </c>
      <c r="F23" s="195">
        <f>OUTS[[#This Row],[CANTIDAD]]*OUTS[[#This Row],[COSTO UNIDAD]]</f>
        <v>6112</v>
      </c>
      <c r="G23" s="179" t="s">
        <v>1999</v>
      </c>
      <c r="J23" s="177">
        <v>1</v>
      </c>
    </row>
    <row r="24" spans="1:10" ht="17.25" customHeight="1">
      <c r="A24" s="186">
        <v>46194</v>
      </c>
      <c r="B24" s="179" t="s">
        <v>1401</v>
      </c>
      <c r="C24" s="229">
        <v>1</v>
      </c>
      <c r="D24" s="181" t="s">
        <v>1973</v>
      </c>
      <c r="E24" s="195">
        <f>_xlfn.XLOOKUP(OUTS[[#This Row],[ELEMENTO]],BD[Elemento],BD[COSTEO_POR_UNIDAD],0,0)</f>
        <v>77280</v>
      </c>
      <c r="F24" s="195">
        <f>OUTS[[#This Row],[CANTIDAD]]*OUTS[[#This Row],[COSTO UNIDAD]]</f>
        <v>77280</v>
      </c>
      <c r="G24" s="179" t="s">
        <v>2000</v>
      </c>
      <c r="J24" s="177">
        <v>1</v>
      </c>
    </row>
    <row r="25" spans="1:10" ht="17.25" customHeight="1">
      <c r="A25" s="186">
        <v>46194</v>
      </c>
      <c r="B25" s="179" t="s">
        <v>1369</v>
      </c>
      <c r="C25" s="229">
        <v>2</v>
      </c>
      <c r="D25" s="181" t="s">
        <v>1973</v>
      </c>
      <c r="E25" s="195">
        <f>_xlfn.XLOOKUP(OUTS[[#This Row],[ELEMENTO]],BD[Elemento],BD[COSTEO_POR_UNIDAD],0,0)</f>
        <v>0</v>
      </c>
      <c r="F25" s="195">
        <f>OUTS[[#This Row],[CANTIDAD]]*OUTS[[#This Row],[COSTO UNIDAD]]</f>
        <v>0</v>
      </c>
      <c r="G25" s="179" t="s">
        <v>2001</v>
      </c>
      <c r="J25" s="177">
        <v>1</v>
      </c>
    </row>
    <row r="26" spans="1:10" ht="17.25" customHeight="1">
      <c r="A26" s="186">
        <v>46194</v>
      </c>
      <c r="B26" s="179" t="s">
        <v>1444</v>
      </c>
      <c r="C26" s="229">
        <v>1</v>
      </c>
      <c r="D26" s="181" t="s">
        <v>1973</v>
      </c>
      <c r="E26" s="195">
        <f>_xlfn.XLOOKUP(OUTS[[#This Row],[ELEMENTO]],BD[Elemento],BD[COSTEO_POR_UNIDAD],0,0)</f>
        <v>10840</v>
      </c>
      <c r="F26" s="195">
        <f>OUTS[[#This Row],[CANTIDAD]]*OUTS[[#This Row],[COSTO UNIDAD]]</f>
        <v>10840</v>
      </c>
      <c r="G26" s="179" t="s">
        <v>2002</v>
      </c>
      <c r="J26" s="177">
        <v>1</v>
      </c>
    </row>
    <row r="27" spans="1:10" ht="17.25" customHeight="1">
      <c r="A27" s="186">
        <v>46194</v>
      </c>
      <c r="B27" s="179" t="s">
        <v>1453</v>
      </c>
      <c r="C27" s="229">
        <v>2</v>
      </c>
      <c r="D27" s="181" t="s">
        <v>1973</v>
      </c>
      <c r="E27" s="195">
        <f>_xlfn.XLOOKUP(OUTS[[#This Row],[ELEMENTO]],BD[Elemento],BD[COSTEO_POR_UNIDAD],0,0)</f>
        <v>25616</v>
      </c>
      <c r="F27" s="195">
        <f>OUTS[[#This Row],[CANTIDAD]]*OUTS[[#This Row],[COSTO UNIDAD]]</f>
        <v>51232</v>
      </c>
      <c r="G27" s="179" t="s">
        <v>2003</v>
      </c>
      <c r="J27" s="177">
        <v>1</v>
      </c>
    </row>
    <row r="28" spans="1:10" ht="17.25" customHeight="1">
      <c r="A28" s="186">
        <v>46194</v>
      </c>
      <c r="B28" s="179" t="s">
        <v>1448</v>
      </c>
      <c r="C28" s="229">
        <v>1</v>
      </c>
      <c r="D28" s="181" t="s">
        <v>1973</v>
      </c>
      <c r="E28" s="195">
        <f>_xlfn.XLOOKUP(OUTS[[#This Row],[ELEMENTO]],BD[Elemento],BD[COSTEO_POR_UNIDAD],0,0)</f>
        <v>15280</v>
      </c>
      <c r="F28" s="195">
        <f>OUTS[[#This Row],[CANTIDAD]]*OUTS[[#This Row],[COSTO UNIDAD]]</f>
        <v>15280</v>
      </c>
      <c r="G28" s="179" t="s">
        <v>2004</v>
      </c>
      <c r="J28" s="177">
        <v>1</v>
      </c>
    </row>
    <row r="29" spans="1:10" ht="17.25" customHeight="1">
      <c r="A29" s="186">
        <v>46194</v>
      </c>
      <c r="B29" s="179" t="s">
        <v>1491</v>
      </c>
      <c r="C29" s="229">
        <v>1</v>
      </c>
      <c r="D29" s="181" t="s">
        <v>1973</v>
      </c>
      <c r="E29" s="195">
        <f>_xlfn.XLOOKUP(OUTS[[#This Row],[ELEMENTO]],BD[Elemento],BD[COSTEO_POR_UNIDAD],0,0)</f>
        <v>7842</v>
      </c>
      <c r="F29" s="195">
        <f>OUTS[[#This Row],[CANTIDAD]]*OUTS[[#This Row],[COSTO UNIDAD]]</f>
        <v>7842</v>
      </c>
      <c r="G29" s="179" t="s">
        <v>2005</v>
      </c>
      <c r="J29" s="177">
        <v>1</v>
      </c>
    </row>
    <row r="30" spans="1:10" ht="17.25" customHeight="1">
      <c r="A30" s="186">
        <v>46194</v>
      </c>
      <c r="B30" s="179" t="s">
        <v>1523</v>
      </c>
      <c r="C30" s="229">
        <v>3</v>
      </c>
      <c r="D30" s="181" t="s">
        <v>1973</v>
      </c>
      <c r="E30" s="195">
        <f>_xlfn.XLOOKUP(OUTS[[#This Row],[ELEMENTO]],BD[Elemento],BD[COSTEO_POR_UNIDAD],0,0)</f>
        <v>58248</v>
      </c>
      <c r="F30" s="195">
        <f>OUTS[[#This Row],[CANTIDAD]]*OUTS[[#This Row],[COSTO UNIDAD]]</f>
        <v>174744</v>
      </c>
      <c r="G30" s="179" t="s">
        <v>2006</v>
      </c>
      <c r="J30" s="177">
        <v>1</v>
      </c>
    </row>
    <row r="31" spans="1:10" ht="17.25" customHeight="1">
      <c r="A31" s="186">
        <v>46194</v>
      </c>
      <c r="B31" s="179" t="s">
        <v>1546</v>
      </c>
      <c r="C31" s="229">
        <v>1</v>
      </c>
      <c r="D31" s="181" t="s">
        <v>1973</v>
      </c>
      <c r="E31" s="195">
        <f>_xlfn.XLOOKUP(OUTS[[#This Row],[ELEMENTO]],BD[Elemento],BD[COSTEO_POR_UNIDAD],0,0)</f>
        <v>504</v>
      </c>
      <c r="F31" s="195">
        <f>OUTS[[#This Row],[CANTIDAD]]*OUTS[[#This Row],[COSTO UNIDAD]]</f>
        <v>504</v>
      </c>
      <c r="G31" s="179" t="s">
        <v>2007</v>
      </c>
      <c r="J31" s="177">
        <v>1</v>
      </c>
    </row>
    <row r="32" spans="1:10" ht="17.25" customHeight="1">
      <c r="A32" s="186">
        <v>46194</v>
      </c>
      <c r="B32" s="179" t="s">
        <v>1531</v>
      </c>
      <c r="C32" s="229">
        <v>2</v>
      </c>
      <c r="D32" s="181" t="s">
        <v>1973</v>
      </c>
      <c r="E32" s="195">
        <f>_xlfn.XLOOKUP(OUTS[[#This Row],[ELEMENTO]],BD[Elemento],BD[COSTEO_POR_UNIDAD],0,0)</f>
        <v>11512</v>
      </c>
      <c r="F32" s="195">
        <f>OUTS[[#This Row],[CANTIDAD]]*OUTS[[#This Row],[COSTO UNIDAD]]</f>
        <v>23024</v>
      </c>
      <c r="G32" s="179" t="s">
        <v>2008</v>
      </c>
      <c r="J32" s="177">
        <v>1</v>
      </c>
    </row>
    <row r="33" spans="1:10" ht="17.25" customHeight="1">
      <c r="A33" s="186">
        <v>46194</v>
      </c>
      <c r="B33" s="179" t="s">
        <v>1529</v>
      </c>
      <c r="C33" s="229">
        <v>8</v>
      </c>
      <c r="D33" s="181" t="s">
        <v>1973</v>
      </c>
      <c r="E33" s="195">
        <f>_xlfn.XLOOKUP(OUTS[[#This Row],[ELEMENTO]],BD[Elemento],BD[COSTEO_POR_UNIDAD],0,0)</f>
        <v>18224</v>
      </c>
      <c r="F33" s="195">
        <f>OUTS[[#This Row],[CANTIDAD]]*OUTS[[#This Row],[COSTO UNIDAD]]</f>
        <v>145792</v>
      </c>
      <c r="G33" s="179" t="s">
        <v>2009</v>
      </c>
      <c r="J33" s="177">
        <v>1</v>
      </c>
    </row>
    <row r="34" spans="1:10" ht="17.25" customHeight="1">
      <c r="A34" s="186">
        <v>46194</v>
      </c>
      <c r="B34" s="179" t="s">
        <v>1543</v>
      </c>
      <c r="C34" s="229">
        <v>5</v>
      </c>
      <c r="D34" s="181" t="s">
        <v>1973</v>
      </c>
      <c r="E34" s="195">
        <f>_xlfn.XLOOKUP(OUTS[[#This Row],[ELEMENTO]],BD[Elemento],BD[COSTEO_POR_UNIDAD],0,0)</f>
        <v>1665.6</v>
      </c>
      <c r="F34" s="195">
        <f>OUTS[[#This Row],[CANTIDAD]]*OUTS[[#This Row],[COSTO UNIDAD]]</f>
        <v>8328</v>
      </c>
      <c r="G34" s="179" t="s">
        <v>2010</v>
      </c>
      <c r="J34" s="177">
        <v>1</v>
      </c>
    </row>
    <row r="35" spans="1:10" ht="17.25" customHeight="1">
      <c r="A35" s="186">
        <v>46194</v>
      </c>
      <c r="B35" s="179" t="s">
        <v>2011</v>
      </c>
      <c r="C35" s="229">
        <v>5</v>
      </c>
      <c r="D35" s="181" t="s">
        <v>1973</v>
      </c>
      <c r="E35" s="195">
        <f>_xlfn.XLOOKUP(OUTS[[#This Row],[ELEMENTO]],BD[Elemento],BD[COSTEO_POR_UNIDAD],0,0)</f>
        <v>0</v>
      </c>
      <c r="F35" s="195">
        <f>OUTS[[#This Row],[CANTIDAD]]*OUTS[[#This Row],[COSTO UNIDAD]]</f>
        <v>0</v>
      </c>
      <c r="G35" s="179" t="s">
        <v>2012</v>
      </c>
      <c r="J35" s="177">
        <v>1</v>
      </c>
    </row>
    <row r="36" spans="1:10" ht="17.25" customHeight="1">
      <c r="A36" s="186">
        <v>46194</v>
      </c>
      <c r="B36" s="179" t="s">
        <v>2013</v>
      </c>
      <c r="C36" s="229">
        <v>2</v>
      </c>
      <c r="D36" s="181" t="s">
        <v>1973</v>
      </c>
      <c r="E36" s="195">
        <f>_xlfn.XLOOKUP(OUTS[[#This Row],[ELEMENTO]],BD[Elemento],BD[COSTEO_POR_UNIDAD],0,0)</f>
        <v>0</v>
      </c>
      <c r="F36" s="195">
        <f>OUTS[[#This Row],[CANTIDAD]]*OUTS[[#This Row],[COSTO UNIDAD]]</f>
        <v>0</v>
      </c>
      <c r="G36" s="179" t="s">
        <v>2014</v>
      </c>
      <c r="J36" s="177">
        <v>1</v>
      </c>
    </row>
    <row r="37" spans="1:10" ht="17.25" customHeight="1">
      <c r="A37" s="186">
        <v>46194</v>
      </c>
      <c r="B37" s="179" t="s">
        <v>1804</v>
      </c>
      <c r="C37" s="229">
        <v>10</v>
      </c>
      <c r="D37" s="181" t="s">
        <v>1973</v>
      </c>
      <c r="E37" s="195">
        <f>_xlfn.XLOOKUP(OUTS[[#This Row],[ELEMENTO]],BD[Elemento],BD[COSTEO_POR_UNIDAD],0,0)</f>
        <v>5697.5999999999995</v>
      </c>
      <c r="F37" s="195">
        <f>OUTS[[#This Row],[CANTIDAD]]*OUTS[[#This Row],[COSTO UNIDAD]]</f>
        <v>56975.999999999993</v>
      </c>
      <c r="G37" s="179" t="s">
        <v>2015</v>
      </c>
      <c r="J37" s="177">
        <v>1</v>
      </c>
    </row>
    <row r="38" spans="1:10" ht="17.25" customHeight="1">
      <c r="A38" s="186">
        <v>46194</v>
      </c>
      <c r="B38" s="179" t="s">
        <v>1861</v>
      </c>
      <c r="C38" s="229">
        <v>1</v>
      </c>
      <c r="D38" s="181" t="s">
        <v>1973</v>
      </c>
      <c r="E38" s="195">
        <f>_xlfn.XLOOKUP(OUTS[[#This Row],[ELEMENTO]],BD[Elemento],BD[COSTEO_POR_UNIDAD],0,0)</f>
        <v>52080</v>
      </c>
      <c r="F38" s="195">
        <f>OUTS[[#This Row],[CANTIDAD]]*OUTS[[#This Row],[COSTO UNIDAD]]</f>
        <v>52080</v>
      </c>
      <c r="G38" s="179" t="s">
        <v>2016</v>
      </c>
      <c r="J38" s="177">
        <v>1</v>
      </c>
    </row>
    <row r="39" spans="1:10" ht="17.25" customHeight="1">
      <c r="A39" s="186">
        <v>46194</v>
      </c>
      <c r="B39" s="179" t="s">
        <v>1868</v>
      </c>
      <c r="C39" s="229">
        <v>4</v>
      </c>
      <c r="D39" s="181" t="s">
        <v>1973</v>
      </c>
      <c r="E39" s="195">
        <f>_xlfn.XLOOKUP(OUTS[[#This Row],[ELEMENTO]],BD[Elemento],BD[COSTEO_POR_UNIDAD],0,0)</f>
        <v>27968</v>
      </c>
      <c r="F39" s="195">
        <f>OUTS[[#This Row],[CANTIDAD]]*OUTS[[#This Row],[COSTO UNIDAD]]</f>
        <v>111872</v>
      </c>
      <c r="G39" s="179" t="s">
        <v>2017</v>
      </c>
      <c r="J39" s="177">
        <v>1</v>
      </c>
    </row>
    <row r="40" spans="1:10" ht="17.25" customHeight="1">
      <c r="A40" s="189">
        <v>46191</v>
      </c>
      <c r="B40" s="190" t="s">
        <v>1390</v>
      </c>
      <c r="C40" s="191">
        <v>2</v>
      </c>
      <c r="D40" s="192" t="s">
        <v>2018</v>
      </c>
      <c r="E40" s="196">
        <f>_xlfn.XLOOKUP(OUTS[[#This Row],[ELEMENTO]],BD[Elemento],BD[COSTEO_POR_UNIDAD],0,0)</f>
        <v>16080</v>
      </c>
      <c r="F40" s="196">
        <f>OUTS[[#This Row],[CANTIDAD]]*OUTS[[#This Row],[COSTO UNIDAD]]</f>
        <v>32160</v>
      </c>
      <c r="G40" s="177" t="s">
        <v>2019</v>
      </c>
      <c r="J40" s="177">
        <v>1</v>
      </c>
    </row>
    <row r="41" spans="1:10" ht="17.25" customHeight="1">
      <c r="A41" s="189">
        <v>46191</v>
      </c>
      <c r="B41" s="190" t="s">
        <v>2020</v>
      </c>
      <c r="C41" s="191">
        <v>1</v>
      </c>
      <c r="D41" s="192" t="s">
        <v>2018</v>
      </c>
      <c r="E41" s="196">
        <f>_xlfn.XLOOKUP(OUTS[[#This Row],[ELEMENTO]],BD[Elemento],BD[COSTEO_POR_UNIDAD],0,0)</f>
        <v>0</v>
      </c>
      <c r="F41" s="196">
        <f>OUTS[[#This Row],[CANTIDAD]]*OUTS[[#This Row],[COSTO UNIDAD]]</f>
        <v>0</v>
      </c>
      <c r="G41" s="177" t="s">
        <v>2019</v>
      </c>
      <c r="J41" s="177">
        <v>0</v>
      </c>
    </row>
    <row r="42" spans="1:10" ht="17.25" customHeight="1">
      <c r="A42" s="189">
        <v>46191</v>
      </c>
      <c r="B42" s="190" t="s">
        <v>1173</v>
      </c>
      <c r="C42" s="191">
        <v>5</v>
      </c>
      <c r="D42" s="192" t="s">
        <v>2021</v>
      </c>
      <c r="E42" s="196">
        <f>_xlfn.XLOOKUP(OUTS[[#This Row],[ELEMENTO]],BD[Elemento],BD[COSTEO_POR_UNIDAD],0,0)</f>
        <v>7710.72</v>
      </c>
      <c r="F42" s="196">
        <f>OUTS[[#This Row],[CANTIDAD]]*OUTS[[#This Row],[COSTO UNIDAD]]</f>
        <v>38553.599999999999</v>
      </c>
      <c r="J42" s="177">
        <v>1</v>
      </c>
    </row>
    <row r="43" spans="1:10" ht="17.25" customHeight="1">
      <c r="A43" s="189">
        <v>46191</v>
      </c>
      <c r="B43" s="190" t="s">
        <v>1770</v>
      </c>
      <c r="C43" s="191">
        <v>4</v>
      </c>
      <c r="D43" s="192" t="s">
        <v>2021</v>
      </c>
      <c r="E43" s="196">
        <f>_xlfn.XLOOKUP(OUTS[[#This Row],[ELEMENTO]],BD[Elemento],BD[COSTEO_POR_UNIDAD],0,0)</f>
        <v>2589.12</v>
      </c>
      <c r="F43" s="196">
        <f>OUTS[[#This Row],[CANTIDAD]]*OUTS[[#This Row],[COSTO UNIDAD]]</f>
        <v>10356.48</v>
      </c>
      <c r="G43" s="177" t="s">
        <v>2022</v>
      </c>
      <c r="J43" s="177">
        <v>1</v>
      </c>
    </row>
    <row r="44" spans="1:10" ht="17.25" customHeight="1">
      <c r="A44" s="189">
        <v>46191</v>
      </c>
      <c r="B44" s="190" t="s">
        <v>1502</v>
      </c>
      <c r="C44" s="191">
        <v>5</v>
      </c>
      <c r="D44" s="192" t="s">
        <v>2021</v>
      </c>
      <c r="E44" s="196">
        <f>_xlfn.XLOOKUP(OUTS[[#This Row],[ELEMENTO]],BD[Elemento],BD[COSTEO_POR_UNIDAD],0,0)</f>
        <v>3648.96</v>
      </c>
      <c r="F44" s="196">
        <f>OUTS[[#This Row],[CANTIDAD]]*OUTS[[#This Row],[COSTO UNIDAD]]</f>
        <v>18244.8</v>
      </c>
      <c r="J44" s="177">
        <v>1</v>
      </c>
    </row>
    <row r="45" spans="1:10" ht="17.25" customHeight="1">
      <c r="A45" s="189">
        <v>46191</v>
      </c>
      <c r="B45" s="177" t="s">
        <v>1077</v>
      </c>
      <c r="C45" s="191">
        <v>5</v>
      </c>
      <c r="D45" s="192" t="s">
        <v>2021</v>
      </c>
      <c r="E45" s="196">
        <f>_xlfn.XLOOKUP(OUTS[[#This Row],[ELEMENTO]],BD[Elemento],BD[COSTEO_POR_UNIDAD],0,0)</f>
        <v>5912</v>
      </c>
      <c r="F45" s="196">
        <f>OUTS[[#This Row],[CANTIDAD]]*OUTS[[#This Row],[COSTO UNIDAD]]</f>
        <v>29560</v>
      </c>
      <c r="J45" s="177">
        <v>1</v>
      </c>
    </row>
    <row r="46" spans="1:10" ht="17.25" customHeight="1">
      <c r="A46" s="189">
        <v>46191</v>
      </c>
      <c r="B46" s="190" t="s">
        <v>1766</v>
      </c>
      <c r="C46" s="191">
        <v>4</v>
      </c>
      <c r="D46" s="192" t="s">
        <v>2021</v>
      </c>
      <c r="E46" s="196">
        <f>_xlfn.XLOOKUP(OUTS[[#This Row],[ELEMENTO]],BD[Elemento],BD[COSTEO_POR_UNIDAD],0,0)</f>
        <v>631.67999999999995</v>
      </c>
      <c r="F46" s="196">
        <f>OUTS[[#This Row],[CANTIDAD]]*OUTS[[#This Row],[COSTO UNIDAD]]</f>
        <v>2526.7199999999998</v>
      </c>
      <c r="J46" s="177">
        <v>1</v>
      </c>
    </row>
    <row r="47" spans="1:10" ht="17.25" customHeight="1">
      <c r="A47" s="189">
        <v>46191</v>
      </c>
      <c r="B47" s="190" t="s">
        <v>1071</v>
      </c>
      <c r="C47" s="191">
        <v>4</v>
      </c>
      <c r="D47" s="192" t="s">
        <v>2021</v>
      </c>
      <c r="E47" s="196">
        <f>_xlfn.XLOOKUP(OUTS[[#This Row],[ELEMENTO]],BD[Elemento],BD[COSTEO_POR_UNIDAD],0,0)</f>
        <v>1723.7</v>
      </c>
      <c r="F47" s="196">
        <f>OUTS[[#This Row],[CANTIDAD]]*OUTS[[#This Row],[COSTO UNIDAD]]</f>
        <v>6894.8</v>
      </c>
      <c r="J47" s="177">
        <v>1</v>
      </c>
    </row>
    <row r="48" spans="1:10" ht="17.25" customHeight="1">
      <c r="A48" s="189">
        <v>46191</v>
      </c>
      <c r="B48" s="190" t="s">
        <v>1032</v>
      </c>
      <c r="C48" s="191">
        <v>4</v>
      </c>
      <c r="D48" s="192" t="s">
        <v>2021</v>
      </c>
      <c r="E48" s="196">
        <f>_xlfn.XLOOKUP(OUTS[[#This Row],[ELEMENTO]],BD[Elemento],BD[COSTEO_POR_UNIDAD],0,0)</f>
        <v>3744</v>
      </c>
      <c r="F48" s="196">
        <f>OUTS[[#This Row],[CANTIDAD]]*OUTS[[#This Row],[COSTO UNIDAD]]</f>
        <v>14976</v>
      </c>
      <c r="J48" s="177">
        <v>1</v>
      </c>
    </row>
    <row r="49" spans="1:10" ht="17.25" customHeight="1">
      <c r="A49" s="189">
        <v>46191</v>
      </c>
      <c r="B49" s="190" t="s">
        <v>1154</v>
      </c>
      <c r="C49" s="191">
        <v>4</v>
      </c>
      <c r="D49" s="192" t="s">
        <v>2021</v>
      </c>
      <c r="E49" s="196">
        <f>_xlfn.XLOOKUP(OUTS[[#This Row],[ELEMENTO]],BD[Elemento],BD[COSTEO_POR_UNIDAD],0,0)</f>
        <v>631.67999999999995</v>
      </c>
      <c r="F49" s="196">
        <f>OUTS[[#This Row],[CANTIDAD]]*OUTS[[#This Row],[COSTO UNIDAD]]</f>
        <v>2526.7199999999998</v>
      </c>
      <c r="G49" s="177" t="s">
        <v>2022</v>
      </c>
      <c r="J49" s="177">
        <v>1</v>
      </c>
    </row>
    <row r="50" spans="1:10" ht="17.25" customHeight="1">
      <c r="A50" s="189">
        <v>46191</v>
      </c>
      <c r="B50" s="190" t="s">
        <v>1499</v>
      </c>
      <c r="C50" s="191">
        <v>5</v>
      </c>
      <c r="D50" s="192" t="s">
        <v>2021</v>
      </c>
      <c r="E50" s="196">
        <f>_xlfn.XLOOKUP(OUTS[[#This Row],[ELEMENTO]],BD[Elemento],BD[COSTEO_POR_UNIDAD],0,0)</f>
        <v>218.40000000000003</v>
      </c>
      <c r="F50" s="196">
        <f>OUTS[[#This Row],[CANTIDAD]]*OUTS[[#This Row],[COSTO UNIDAD]]</f>
        <v>1092.0000000000002</v>
      </c>
      <c r="J50" s="177">
        <v>1</v>
      </c>
    </row>
    <row r="51" spans="1:10" ht="17.25" customHeight="1">
      <c r="A51" s="189">
        <v>46206</v>
      </c>
      <c r="B51" s="190" t="s">
        <v>1906</v>
      </c>
      <c r="C51" s="191">
        <v>1</v>
      </c>
      <c r="D51" s="192" t="s">
        <v>2023</v>
      </c>
      <c r="E51" s="196">
        <f>_xlfn.XLOOKUP(OUTS[[#This Row],[ELEMENTO]],BD[Elemento],BD[COSTEO_POR_UNIDAD],0,0)</f>
        <v>26475</v>
      </c>
      <c r="F51" s="196">
        <f>OUTS[[#This Row],[CANTIDAD]]*OUTS[[#This Row],[COSTO UNIDAD]]</f>
        <v>26475</v>
      </c>
      <c r="G51" s="177" t="s">
        <v>2024</v>
      </c>
      <c r="J51" s="177">
        <v>1</v>
      </c>
    </row>
    <row r="52" spans="1:10" ht="17.25" customHeight="1">
      <c r="A52" s="189">
        <v>46206</v>
      </c>
      <c r="B52" s="190" t="s">
        <v>1378</v>
      </c>
      <c r="C52" s="191">
        <v>1</v>
      </c>
      <c r="D52" s="192" t="s">
        <v>2023</v>
      </c>
      <c r="E52" s="196">
        <f>_xlfn.XLOOKUP(OUTS[[#This Row],[ELEMENTO]],BD[Elemento],BD[COSTEO_POR_UNIDAD],0,0)</f>
        <v>3840</v>
      </c>
      <c r="F52" s="196">
        <f>OUTS[[#This Row],[CANTIDAD]]*OUTS[[#This Row],[COSTO UNIDAD]]</f>
        <v>3840</v>
      </c>
      <c r="G52" s="177" t="s">
        <v>2024</v>
      </c>
      <c r="J52" s="177">
        <v>1</v>
      </c>
    </row>
    <row r="53" spans="1:10" ht="17.25" customHeight="1">
      <c r="A53" s="189">
        <v>46212</v>
      </c>
      <c r="B53" s="190" t="s">
        <v>1491</v>
      </c>
      <c r="C53" s="191">
        <v>1</v>
      </c>
      <c r="D53" s="192" t="s">
        <v>1973</v>
      </c>
      <c r="E53" s="196">
        <f>_xlfn.XLOOKUP(OUTS[[#This Row],[ELEMENTO]],BD[Elemento],BD[COSTEO_POR_UNIDAD],0,0)</f>
        <v>7842</v>
      </c>
      <c r="F53" s="196">
        <f>OUTS[[#This Row],[CANTIDAD]]*OUTS[[#This Row],[COSTO UNIDAD]]</f>
        <v>7842</v>
      </c>
      <c r="J53" s="177">
        <v>1</v>
      </c>
    </row>
    <row r="54" spans="1:10" ht="17.25" customHeight="1">
      <c r="A54" s="189">
        <v>46220</v>
      </c>
      <c r="B54" s="190" t="s">
        <v>1879</v>
      </c>
      <c r="C54" s="191">
        <v>1</v>
      </c>
      <c r="D54" s="192" t="s">
        <v>2025</v>
      </c>
      <c r="E54" s="196">
        <f>_xlfn.XLOOKUP(OUTS[[#This Row],[ELEMENTO]],BD[Elemento],BD[COSTEO_POR_UNIDAD],0,0)</f>
        <v>35269</v>
      </c>
      <c r="F54" s="196">
        <f>OUTS[[#This Row],[CANTIDAD]]*OUTS[[#This Row],[COSTO UNIDAD]]</f>
        <v>35269</v>
      </c>
      <c r="G54" s="177" t="s">
        <v>2026</v>
      </c>
      <c r="J54" s="177">
        <v>1</v>
      </c>
    </row>
    <row r="55" spans="1:10" ht="17.25" customHeight="1">
      <c r="A55" s="189">
        <v>46220</v>
      </c>
      <c r="B55" s="190" t="s">
        <v>1868</v>
      </c>
      <c r="C55" s="191">
        <v>1</v>
      </c>
      <c r="D55" s="192" t="s">
        <v>2025</v>
      </c>
      <c r="E55" s="196">
        <f>_xlfn.XLOOKUP(OUTS[[#This Row],[ELEMENTO]],BD[Elemento],BD[COSTEO_POR_UNIDAD],0,0)</f>
        <v>27968</v>
      </c>
      <c r="F55" s="196">
        <f>OUTS[[#This Row],[CANTIDAD]]*OUTS[[#This Row],[COSTO UNIDAD]]</f>
        <v>27968</v>
      </c>
      <c r="G55" s="177" t="s">
        <v>2026</v>
      </c>
      <c r="J55" s="177">
        <v>1</v>
      </c>
    </row>
    <row r="56" spans="1:10" ht="17.25" customHeight="1">
      <c r="A56" s="189">
        <v>46220</v>
      </c>
      <c r="B56" s="190" t="s">
        <v>1543</v>
      </c>
      <c r="C56" s="191">
        <v>3</v>
      </c>
      <c r="D56" s="192" t="s">
        <v>2025</v>
      </c>
      <c r="E56" s="196">
        <f>_xlfn.XLOOKUP(OUTS[[#This Row],[ELEMENTO]],BD[Elemento],BD[COSTEO_POR_UNIDAD],0,0)</f>
        <v>1665.6</v>
      </c>
      <c r="F56" s="196">
        <f>OUTS[[#This Row],[CANTIDAD]]*OUTS[[#This Row],[COSTO UNIDAD]]</f>
        <v>4996.7999999999993</v>
      </c>
      <c r="G56" s="177" t="s">
        <v>2026</v>
      </c>
      <c r="J56" s="177">
        <v>1</v>
      </c>
    </row>
    <row r="57" spans="1:10" ht="17.25" customHeight="1">
      <c r="A57" s="189">
        <v>46220</v>
      </c>
      <c r="B57" s="190" t="s">
        <v>1547</v>
      </c>
      <c r="C57" s="191">
        <v>3</v>
      </c>
      <c r="D57" s="192" t="s">
        <v>2025</v>
      </c>
      <c r="E57" s="196">
        <f>_xlfn.XLOOKUP(OUTS[[#This Row],[ELEMENTO]],BD[Elemento],BD[COSTEO_POR_UNIDAD],0,0)</f>
        <v>852.48</v>
      </c>
      <c r="F57" s="196">
        <f>OUTS[[#This Row],[CANTIDAD]]*OUTS[[#This Row],[COSTO UNIDAD]]</f>
        <v>2557.44</v>
      </c>
      <c r="G57" s="177" t="s">
        <v>2026</v>
      </c>
      <c r="J57" s="177">
        <v>1</v>
      </c>
    </row>
    <row r="58" spans="1:10" ht="17.25" customHeight="1">
      <c r="A58" s="189">
        <v>46220</v>
      </c>
      <c r="B58" s="190" t="s">
        <v>884</v>
      </c>
      <c r="C58" s="191">
        <v>3</v>
      </c>
      <c r="D58" s="192" t="s">
        <v>2025</v>
      </c>
      <c r="E58" s="196">
        <f>_xlfn.XLOOKUP(OUTS[[#This Row],[ELEMENTO]],BD[Elemento],BD[COSTEO_POR_UNIDAD],0,0)</f>
        <v>536.16</v>
      </c>
      <c r="F58" s="196">
        <f>OUTS[[#This Row],[CANTIDAD]]*OUTS[[#This Row],[COSTO UNIDAD]]</f>
        <v>1608.48</v>
      </c>
      <c r="G58" s="177" t="s">
        <v>2026</v>
      </c>
      <c r="J58" s="177">
        <v>1</v>
      </c>
    </row>
    <row r="59" spans="1:10" ht="17.25" customHeight="1">
      <c r="A59" s="189">
        <v>46220</v>
      </c>
      <c r="B59" s="190" t="s">
        <v>874</v>
      </c>
      <c r="C59" s="191">
        <v>1</v>
      </c>
      <c r="D59" s="192" t="s">
        <v>2025</v>
      </c>
      <c r="E59" s="196">
        <f>_xlfn.XLOOKUP(OUTS[[#This Row],[ELEMENTO]],BD[Elemento],BD[COSTEO_POR_UNIDAD],0,0)</f>
        <v>298.08</v>
      </c>
      <c r="F59" s="196">
        <f>OUTS[[#This Row],[CANTIDAD]]*OUTS[[#This Row],[COSTO UNIDAD]]</f>
        <v>298.08</v>
      </c>
      <c r="G59" s="177" t="s">
        <v>2026</v>
      </c>
      <c r="J59" s="177">
        <v>1</v>
      </c>
    </row>
    <row r="60" spans="1:10" ht="17.25" customHeight="1">
      <c r="A60" s="252">
        <v>46220</v>
      </c>
      <c r="B60" s="179" t="s">
        <v>1708</v>
      </c>
      <c r="C60" s="229">
        <v>1</v>
      </c>
      <c r="D60" s="181" t="s">
        <v>2025</v>
      </c>
      <c r="E60" s="195">
        <f>_xlfn.XLOOKUP(OUTS[[#This Row],[ELEMENTO]],BD[Elemento],BD[COSTEO_POR_UNIDAD],0,0)</f>
        <v>231221</v>
      </c>
      <c r="F60" s="195">
        <f>OUTS[[#This Row],[CANTIDAD]]*OUTS[[#This Row],[COSTO UNIDAD]]</f>
        <v>231221</v>
      </c>
      <c r="G60" s="177" t="s">
        <v>2026</v>
      </c>
      <c r="J60" s="177">
        <v>1</v>
      </c>
    </row>
    <row r="61" spans="1:10" ht="17.25" customHeight="1">
      <c r="A61" s="189">
        <v>46220</v>
      </c>
      <c r="B61" s="190" t="s">
        <v>1491</v>
      </c>
      <c r="C61" s="191">
        <v>1</v>
      </c>
      <c r="D61" s="192" t="s">
        <v>2027</v>
      </c>
      <c r="E61" s="196">
        <f>_xlfn.XLOOKUP(OUTS[[#This Row],[ELEMENTO]],BD[Elemento],BD[COSTEO_POR_UNIDAD],0,0)</f>
        <v>7842</v>
      </c>
      <c r="F61" s="196">
        <f>OUTS[[#This Row],[CANTIDAD]]*OUTS[[#This Row],[COSTO UNIDAD]]</f>
        <v>7842</v>
      </c>
      <c r="G61" s="177" t="s">
        <v>2026</v>
      </c>
      <c r="J61" s="177">
        <v>1</v>
      </c>
    </row>
  </sheetData>
  <sheetProtection algorithmName="SHA-512" hashValue="crNqTpSzdll9kURajhswc0jCHNMR9y5Vor0Kgv192uAnpW+F2q6bsa7Vpgz0yBzdxrOj8+tpwaKz+aXVqiEBuA==" saltValue="i8USGtt+4QY9bYWcS9hWFA==" spinCount="100000" sheet="1" formatCells="0" formatColumns="0" formatRows="0" insertColumns="0" insertRows="0" insertHyperlinks="0" deleteColumns="0" deleteRows="0" sort="0" autoFilter="0" pivotTables="0"/>
  <autoFilter ref="J1:J39" xr:uid="{F340F1B0-290A-49F8-A8E4-D8E693B037E7}"/>
  <conditionalFormatting sqref="A40:F41 A41:A50 A1:G39">
    <cfRule type="expression" dxfId="78" priority="19">
      <formula>AND($J1=0,$J1&lt;&gt;"")</formula>
    </cfRule>
  </conditionalFormatting>
  <conditionalFormatting sqref="C54:D56 A56 A61:D1048576 A58:D59">
    <cfRule type="expression" dxfId="77" priority="32">
      <formula>AND($G57=0,$G57&lt;&gt;"")</formula>
    </cfRule>
  </conditionalFormatting>
  <conditionalFormatting sqref="A60:F60">
    <cfRule type="expression" dxfId="76" priority="34">
      <formula>AND($H63=0,$H63&lt;&gt;"")</formula>
    </cfRule>
  </conditionalFormatting>
  <conditionalFormatting sqref="B40:D44">
    <cfRule type="expression" dxfId="75" priority="46">
      <formula>AND($H48=0,$H48&lt;&gt;"")</formula>
    </cfRule>
  </conditionalFormatting>
  <conditionalFormatting sqref="A40:A48">
    <cfRule type="expression" dxfId="74" priority="49">
      <formula>AND($J44=0,$J44&lt;&gt;"")</formula>
    </cfRule>
  </conditionalFormatting>
  <conditionalFormatting sqref="B40:F44">
    <cfRule type="expression" dxfId="73" priority="50">
      <formula>AND($I48=0,$I48&lt;&gt;"")</formula>
    </cfRule>
  </conditionalFormatting>
  <conditionalFormatting sqref="G40:G41">
    <cfRule type="expression" dxfId="72" priority="93">
      <formula>AND($J39=0,$J39&lt;&gt;"")</formula>
    </cfRule>
  </conditionalFormatting>
  <conditionalFormatting sqref="A42:A44">
    <cfRule type="expression" dxfId="71" priority="8">
      <formula>AND($J42=0,$J42&lt;&gt;"")</formula>
    </cfRule>
  </conditionalFormatting>
  <conditionalFormatting sqref="D51:D52">
    <cfRule type="expression" dxfId="70" priority="4">
      <formula>AND($J51=0,$J51&lt;&gt;"")</formula>
    </cfRule>
  </conditionalFormatting>
  <conditionalFormatting sqref="G51:G52">
    <cfRule type="expression" dxfId="69" priority="3">
      <formula>AND($J50=0,$J50&lt;&gt;"")</formula>
    </cfRule>
  </conditionalFormatting>
  <conditionalFormatting sqref="C54:F55 A54:A57">
    <cfRule type="expression" dxfId="68" priority="156">
      <formula>AND($H64=0,$H64&lt;&gt;"")</formula>
    </cfRule>
  </conditionalFormatting>
  <conditionalFormatting sqref="B51:D51">
    <cfRule type="expression" dxfId="67" priority="195">
      <formula>AND($H53=0,$H53&lt;&gt;"")</formula>
    </cfRule>
  </conditionalFormatting>
  <conditionalFormatting sqref="B49:D50">
    <cfRule type="expression" dxfId="66" priority="196">
      <formula>AND(#REF!=0,#REF!&lt;&gt;"")</formula>
    </cfRule>
  </conditionalFormatting>
  <conditionalFormatting sqref="B49:F50">
    <cfRule type="expression" dxfId="65" priority="199">
      <formula>AND(#REF!=0,#REF!&lt;&gt;"")</formula>
    </cfRule>
  </conditionalFormatting>
  <conditionalFormatting sqref="B51:F51">
    <cfRule type="expression" dxfId="64" priority="201">
      <formula>AND($I53=0,$I53&lt;&gt;"")</formula>
    </cfRule>
  </conditionalFormatting>
  <conditionalFormatting sqref="C45:D45 B46:D48 B52:D52">
    <cfRule type="expression" dxfId="63" priority="242">
      <formula>AND(#REF!=0,#REF!&lt;&gt;"")</formula>
    </cfRule>
  </conditionalFormatting>
  <conditionalFormatting sqref="C45:F45 B46:F48 A49:A52 B52:F52">
    <cfRule type="expression" dxfId="62" priority="246">
      <formula>AND(#REF!=0,#REF!&lt;&gt;"")</formula>
    </cfRule>
  </conditionalFormatting>
  <conditionalFormatting sqref="A53 C53:D53">
    <cfRule type="expression" dxfId="61" priority="270">
      <formula>AND($G55=0,$G55&lt;&gt;"")</formula>
    </cfRule>
  </conditionalFormatting>
  <conditionalFormatting sqref="C56:F56">
    <cfRule type="expression" dxfId="60" priority="274">
      <formula>AND($H66=0,$H66&lt;&gt;"")</formula>
    </cfRule>
  </conditionalFormatting>
  <conditionalFormatting sqref="A54:A55">
    <cfRule type="expression" dxfId="59" priority="315">
      <formula>AND($G57=0,$G57&lt;&gt;"")</formula>
    </cfRule>
  </conditionalFormatting>
  <conditionalFormatting sqref="A53 C53:F53">
    <cfRule type="expression" dxfId="58" priority="317">
      <formula>AND($H62=0,$H62&lt;&gt;"")</formula>
    </cfRule>
  </conditionalFormatting>
  <conditionalFormatting sqref="A60:D60">
    <cfRule type="expression" dxfId="57" priority="320">
      <formula>AND($G64=0,$G64&lt;&gt;"")</formula>
    </cfRule>
  </conditionalFormatting>
  <conditionalFormatting sqref="A61:F1048576 A58:F59">
    <cfRule type="expression" dxfId="56" priority="323">
      <formula>AND($H60=0,$H60&lt;&gt;"")</formula>
    </cfRule>
  </conditionalFormatting>
  <conditionalFormatting sqref="A57:F57">
    <cfRule type="expression" dxfId="55" priority="325">
      <formula>AND(#REF!=0,#REF!&lt;&gt;"")</formula>
    </cfRule>
  </conditionalFormatting>
  <dataValidations count="9">
    <dataValidation type="date" operator="greaterThan" showInputMessage="1" showErrorMessage="1" sqref="F2" xr:uid="{4C8EF1A3-DA6D-4B0C-B587-AD2E6EF9795C}">
      <formula1>46022</formula1>
    </dataValidation>
    <dataValidation type="date" operator="greaterThan" showInputMessage="1" showErrorMessage="1" sqref="D9963:D1048576 F3:F20" xr:uid="{D2A4A0A0-D433-49B3-B09E-3902D0D49F60}">
      <formula1>46023</formula1>
    </dataValidation>
    <dataValidation type="list" showInputMessage="1" showErrorMessage="1" sqref="G22:G39 B1:B9970" xr:uid="{31B01F47-CB72-450D-A1B1-BE17F8A478EC}">
      <formula1>INDIRECT("bd[ELEMENTO]")</formula1>
    </dataValidation>
    <dataValidation operator="greaterThan" showInputMessage="1" showErrorMessage="1" sqref="F21:F39" xr:uid="{91A34A60-B408-47F2-8360-FC2EAD7E0B72}"/>
    <dataValidation type="decimal" operator="greaterThanOrEqual" showInputMessage="1" showErrorMessage="1" sqref="F40:F961" xr:uid="{1F4B4EDA-84E1-4CBC-A2AE-08035D5C90BF}">
      <formula1>0</formula1>
    </dataValidation>
    <dataValidation type="list" allowBlank="1" showInputMessage="1" showErrorMessage="1" sqref="D2:D9962" xr:uid="{F2BAE154-032E-4D4B-A2B8-F89B98349E08}">
      <formula1>INDIRECT("CC[CONCATENADO]")</formula1>
    </dataValidation>
    <dataValidation type="date" allowBlank="1" showInputMessage="1" showErrorMessage="1" sqref="A2:A961" xr:uid="{4988A7D7-9E0F-436F-AD26-8139CF200D4E}">
      <formula1>46023</formula1>
      <formula2>47484</formula2>
    </dataValidation>
    <dataValidation type="decimal" operator="greaterThan" allowBlank="1" showInputMessage="1" showErrorMessage="1" sqref="C2:C9962" xr:uid="{CD7C1F76-7430-435E-A6D3-6B3545B9455E}">
      <formula1>0</formula1>
    </dataValidation>
    <dataValidation type="decimal" operator="greaterThanOrEqual" allowBlank="1" showInputMessage="1" showErrorMessage="1" sqref="E1:E1048576" xr:uid="{511670A7-98A2-4E5B-9798-494807F40A44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MostrarFormularioSalida">
                <anchor moveWithCells="1" sizeWithCells="1">
                  <from>
                    <xdr:col>1</xdr:col>
                    <xdr:colOff>76200</xdr:colOff>
                    <xdr:row>0</xdr:row>
                    <xdr:rowOff>0</xdr:rowOff>
                  </from>
                  <to>
                    <xdr:col>1</xdr:col>
                    <xdr:colOff>1323975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EliminarFilasSeleccionadasOUTS">
                <anchor moveWithCells="1" sizeWithCells="1">
                  <from>
                    <xdr:col>1</xdr:col>
                    <xdr:colOff>1543050</xdr:colOff>
                    <xdr:row>0</xdr:row>
                    <xdr:rowOff>0</xdr:rowOff>
                  </from>
                  <to>
                    <xdr:col>1</xdr:col>
                    <xdr:colOff>2790825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72238-851C-4E05-BC76-768BB8753D9D}">
  <sheetPr codeName="Hoja12">
    <tabColor rgb="FFFFBDBD"/>
  </sheetPr>
  <dimension ref="A1:U77"/>
  <sheetViews>
    <sheetView workbookViewId="0">
      <selection activeCell="C68" sqref="C68"/>
    </sheetView>
  </sheetViews>
  <sheetFormatPr defaultColWidth="11.42578125" defaultRowHeight="15"/>
  <cols>
    <col min="1" max="1" width="42" style="118" customWidth="1"/>
    <col min="2" max="2" width="19" style="118" customWidth="1"/>
    <col min="3" max="3" width="26.42578125" style="118" customWidth="1"/>
    <col min="4" max="4" width="11.42578125" style="118"/>
    <col min="5" max="5" width="13.85546875" style="118" customWidth="1"/>
    <col min="6" max="6" width="14.28515625" style="165" customWidth="1"/>
    <col min="7" max="7" width="13.85546875" style="118" customWidth="1"/>
    <col min="8" max="8" width="18.42578125" style="118" customWidth="1"/>
    <col min="9" max="9" width="13.85546875" style="118" customWidth="1"/>
    <col min="10" max="10" width="16.42578125" style="118" customWidth="1"/>
    <col min="11" max="11" width="10.85546875" style="118" customWidth="1"/>
    <col min="12" max="12" width="20.85546875" style="118" customWidth="1"/>
    <col min="13" max="13" width="20.85546875" style="165" customWidth="1"/>
    <col min="14" max="14" width="11.42578125" style="118"/>
    <col min="15" max="15" width="29.7109375" style="118" customWidth="1"/>
    <col min="16" max="16" width="12.85546875" style="118" customWidth="1"/>
    <col min="17" max="16384" width="11.42578125" style="118"/>
  </cols>
  <sheetData>
    <row r="1" spans="1:21">
      <c r="A1" s="239" t="s">
        <v>784</v>
      </c>
      <c r="B1" s="240" t="s">
        <v>785</v>
      </c>
      <c r="C1" s="240" t="s">
        <v>665</v>
      </c>
      <c r="D1" s="240" t="s">
        <v>787</v>
      </c>
      <c r="E1" s="240" t="s">
        <v>9</v>
      </c>
      <c r="F1" s="240" t="s">
        <v>10</v>
      </c>
      <c r="G1" s="240" t="s">
        <v>2028</v>
      </c>
      <c r="H1" s="241" t="s">
        <v>2029</v>
      </c>
      <c r="I1" s="240" t="s">
        <v>2030</v>
      </c>
      <c r="J1" s="240" t="s">
        <v>788</v>
      </c>
      <c r="K1" s="240" t="s">
        <v>11</v>
      </c>
      <c r="L1" s="240" t="s">
        <v>789</v>
      </c>
      <c r="M1" s="241" t="s">
        <v>2031</v>
      </c>
      <c r="N1" s="118" t="s">
        <v>2032</v>
      </c>
      <c r="O1" s="232" t="s">
        <v>2033</v>
      </c>
      <c r="P1" s="234" t="s">
        <v>2034</v>
      </c>
      <c r="Q1" s="235" t="s">
        <v>2035</v>
      </c>
      <c r="R1" s="232" t="s">
        <v>2036</v>
      </c>
      <c r="S1" s="234" t="s">
        <v>2037</v>
      </c>
      <c r="T1" s="235" t="s">
        <v>2038</v>
      </c>
      <c r="U1" s="232" t="s">
        <v>2039</v>
      </c>
    </row>
    <row r="2" spans="1:21" ht="17.25">
      <c r="A2" s="157" t="s">
        <v>2040</v>
      </c>
      <c r="B2" s="119" t="s">
        <v>193</v>
      </c>
      <c r="C2" s="119" t="s">
        <v>1059</v>
      </c>
      <c r="D2" s="162" t="s">
        <v>1956</v>
      </c>
      <c r="E2" s="134">
        <f>(137794/6)*0.5</f>
        <v>11482.833333333334</v>
      </c>
      <c r="F2" s="133">
        <f>Tabla7[[#This Row],[EXISTENCIA]]*Tabla7[[#This Row],[COSTEO UNIDAD]]</f>
        <v>27558.799999999999</v>
      </c>
      <c r="G2" s="244">
        <f>Tabla7[[#This Row],[INICIAL]]-Tabla7[[#This Row],[SALIDA1]]</f>
        <v>2.4</v>
      </c>
      <c r="H2" s="164">
        <v>46218</v>
      </c>
      <c r="I2" s="157">
        <v>2.4</v>
      </c>
      <c r="J2" s="164">
        <v>46135</v>
      </c>
      <c r="K2" s="119" t="s">
        <v>873</v>
      </c>
      <c r="L2" s="233"/>
      <c r="M2" s="164"/>
      <c r="N2" s="119"/>
      <c r="O2" s="119"/>
      <c r="P2" s="119"/>
      <c r="Q2" s="119"/>
      <c r="R2" s="119"/>
      <c r="S2" s="245"/>
      <c r="T2" s="245"/>
      <c r="U2" s="119"/>
    </row>
    <row r="3" spans="1:21" ht="17.25">
      <c r="A3" s="157" t="s">
        <v>2040</v>
      </c>
      <c r="B3" s="119" t="s">
        <v>193</v>
      </c>
      <c r="C3" s="119" t="s">
        <v>1059</v>
      </c>
      <c r="D3" s="162" t="s">
        <v>1956</v>
      </c>
      <c r="E3" s="134">
        <f>(137794/6)*0.5</f>
        <v>11482.833333333334</v>
      </c>
      <c r="F3" s="133">
        <f>Tabla7[[#This Row],[EXISTENCIA]]*Tabla7[[#This Row],[COSTEO UNIDAD]]</f>
        <v>57414.166666666672</v>
      </c>
      <c r="G3" s="244">
        <f>Tabla7[[#This Row],[INICIAL]]-Tabla7[[#This Row],[SALIDA1]]</f>
        <v>5</v>
      </c>
      <c r="H3" s="164">
        <v>46218</v>
      </c>
      <c r="I3" s="157">
        <v>5</v>
      </c>
      <c r="J3" s="164">
        <v>46135</v>
      </c>
      <c r="K3" s="119" t="s">
        <v>873</v>
      </c>
      <c r="L3" s="233"/>
      <c r="M3" s="164"/>
      <c r="N3" s="119"/>
      <c r="O3" s="119"/>
      <c r="P3" s="119"/>
      <c r="Q3" s="119"/>
      <c r="R3" s="119"/>
      <c r="S3" s="119"/>
      <c r="T3" s="119"/>
      <c r="U3" s="119"/>
    </row>
    <row r="4" spans="1:21" ht="17.25">
      <c r="A4" s="157" t="s">
        <v>2040</v>
      </c>
      <c r="B4" s="119" t="s">
        <v>193</v>
      </c>
      <c r="C4" s="119" t="s">
        <v>1059</v>
      </c>
      <c r="D4" s="162" t="s">
        <v>1956</v>
      </c>
      <c r="E4" s="134">
        <f>(137794/6)*0.5</f>
        <v>11482.833333333334</v>
      </c>
      <c r="F4" s="133">
        <f>Tabla7[[#This Row],[EXISTENCIA]]*Tabla7[[#This Row],[COSTEO UNIDAD]]</f>
        <v>35596.783333333333</v>
      </c>
      <c r="G4" s="244">
        <f>Tabla7[[#This Row],[INICIAL]]-Tabla7[[#This Row],[SALIDA1]]</f>
        <v>3.1</v>
      </c>
      <c r="H4" s="164">
        <v>46218</v>
      </c>
      <c r="I4" s="157">
        <v>3.1</v>
      </c>
      <c r="J4" s="164">
        <v>46135</v>
      </c>
      <c r="K4" s="119" t="s">
        <v>873</v>
      </c>
      <c r="L4" s="233"/>
      <c r="M4" s="164"/>
      <c r="N4" s="119"/>
      <c r="O4" s="119"/>
      <c r="P4" s="119"/>
      <c r="Q4" s="119"/>
      <c r="R4" s="119"/>
      <c r="S4" s="119"/>
      <c r="T4" s="119"/>
      <c r="U4" s="119"/>
    </row>
    <row r="5" spans="1:21" ht="17.25">
      <c r="A5" s="242" t="s">
        <v>2041</v>
      </c>
      <c r="B5" s="119" t="s">
        <v>32</v>
      </c>
      <c r="C5" s="119" t="s">
        <v>887</v>
      </c>
      <c r="D5" s="162" t="s">
        <v>1956</v>
      </c>
      <c r="E5" s="134">
        <f>45600*0.8</f>
        <v>36480</v>
      </c>
      <c r="F5" s="133">
        <f>Tabla7[[#This Row],[EXISTENCIA]]*Tabla7[[#This Row],[COSTEO UNIDAD]]</f>
        <v>0</v>
      </c>
      <c r="G5" s="244">
        <f>Tabla7[[#This Row],[INICIAL]]-Tabla7[[#This Row],[SALIDA1]]</f>
        <v>0</v>
      </c>
      <c r="H5" s="164">
        <v>46218</v>
      </c>
      <c r="I5" s="157">
        <v>3</v>
      </c>
      <c r="J5" s="164">
        <v>46135</v>
      </c>
      <c r="K5" s="119" t="s">
        <v>1218</v>
      </c>
      <c r="L5" s="233" t="s">
        <v>2042</v>
      </c>
      <c r="M5" s="164">
        <v>46185</v>
      </c>
      <c r="N5" s="119">
        <v>3</v>
      </c>
      <c r="O5" s="119" t="s">
        <v>2025</v>
      </c>
      <c r="P5" s="119"/>
      <c r="Q5" s="119"/>
      <c r="R5" s="119"/>
      <c r="S5" s="119"/>
      <c r="T5" s="119"/>
      <c r="U5" s="119"/>
    </row>
    <row r="6" spans="1:21" ht="17.25">
      <c r="A6" s="242" t="s">
        <v>2041</v>
      </c>
      <c r="B6" s="119" t="s">
        <v>32</v>
      </c>
      <c r="C6" s="119" t="s">
        <v>887</v>
      </c>
      <c r="D6" s="162" t="s">
        <v>1956</v>
      </c>
      <c r="E6" s="134">
        <f>45600*0.8</f>
        <v>36480</v>
      </c>
      <c r="F6" s="133">
        <f>Tabla7[[#This Row],[EXISTENCIA]]*Tabla7[[#This Row],[COSTEO UNIDAD]]</f>
        <v>0</v>
      </c>
      <c r="G6" s="244">
        <f>Tabla7[[#This Row],[INICIAL]]-Tabla7[[#This Row],[SALIDA1]]</f>
        <v>0</v>
      </c>
      <c r="H6" s="164">
        <v>46218</v>
      </c>
      <c r="I6" s="157">
        <v>2</v>
      </c>
      <c r="J6" s="164">
        <v>46136</v>
      </c>
      <c r="K6" s="119" t="s">
        <v>1218</v>
      </c>
      <c r="L6" s="233" t="s">
        <v>2042</v>
      </c>
      <c r="M6" s="164">
        <v>46185</v>
      </c>
      <c r="N6" s="119">
        <v>2</v>
      </c>
      <c r="O6" s="119" t="s">
        <v>2025</v>
      </c>
      <c r="P6" s="119"/>
      <c r="Q6" s="119"/>
      <c r="R6" s="119"/>
      <c r="S6" s="119"/>
      <c r="T6" s="119"/>
      <c r="U6" s="119"/>
    </row>
    <row r="7" spans="1:21" ht="17.25">
      <c r="A7" s="242" t="s">
        <v>2043</v>
      </c>
      <c r="B7" s="119" t="s">
        <v>193</v>
      </c>
      <c r="C7" s="119" t="s">
        <v>1059</v>
      </c>
      <c r="D7" s="162" t="s">
        <v>1956</v>
      </c>
      <c r="E7" s="134">
        <f>(406654/6)*0.5</f>
        <v>33887.833333333336</v>
      </c>
      <c r="F7" s="133">
        <f>Tabla7[[#This Row],[EXISTENCIA]]*Tabla7[[#This Row],[COSTEO UNIDAD]]</f>
        <v>67775.666666666672</v>
      </c>
      <c r="G7" s="244">
        <f>Tabla7[[#This Row],[INICIAL]]-Tabla7[[#This Row],[SALIDA1]]</f>
        <v>2</v>
      </c>
      <c r="H7" s="164">
        <v>46218</v>
      </c>
      <c r="I7" s="157">
        <v>2</v>
      </c>
      <c r="J7" s="164">
        <v>46135</v>
      </c>
      <c r="K7" s="119" t="s">
        <v>873</v>
      </c>
      <c r="L7" s="233"/>
      <c r="M7" s="164"/>
      <c r="N7" s="119"/>
      <c r="O7" s="119"/>
      <c r="P7" s="119"/>
      <c r="Q7" s="119"/>
      <c r="R7" s="119"/>
      <c r="S7" s="119"/>
      <c r="T7" s="119"/>
      <c r="U7" s="119"/>
    </row>
    <row r="8" spans="1:21" ht="17.25">
      <c r="A8" s="242" t="s">
        <v>2044</v>
      </c>
      <c r="B8" s="119" t="s">
        <v>32</v>
      </c>
      <c r="C8" s="119" t="s">
        <v>1720</v>
      </c>
      <c r="D8" s="162" t="s">
        <v>1956</v>
      </c>
      <c r="E8" s="134">
        <f>(1054245/6)*0.48</f>
        <v>84339.599999999991</v>
      </c>
      <c r="F8" s="133">
        <f>Tabla7[[#This Row],[EXISTENCIA]]*Tabla7[[#This Row],[COSTEO UNIDAD]]</f>
        <v>168679.19999999998</v>
      </c>
      <c r="G8" s="244">
        <f>Tabla7[[#This Row],[INICIAL]]-Tabla7[[#This Row],[SALIDA1]]</f>
        <v>2</v>
      </c>
      <c r="H8" s="164">
        <v>46218</v>
      </c>
      <c r="I8" s="157">
        <v>2</v>
      </c>
      <c r="J8" s="164">
        <v>46135</v>
      </c>
      <c r="K8" s="119" t="s">
        <v>873</v>
      </c>
      <c r="L8" s="233"/>
      <c r="M8" s="164"/>
      <c r="N8" s="119"/>
      <c r="O8" s="119"/>
      <c r="P8" s="119"/>
      <c r="Q8" s="119"/>
      <c r="R8" s="119"/>
      <c r="S8" s="119"/>
      <c r="T8" s="119"/>
      <c r="U8" s="119"/>
    </row>
    <row r="9" spans="1:21" ht="17.25">
      <c r="A9" s="242" t="s">
        <v>2045</v>
      </c>
      <c r="B9" s="119" t="s">
        <v>172</v>
      </c>
      <c r="C9" s="119" t="s">
        <v>1709</v>
      </c>
      <c r="D9" s="162" t="s">
        <v>1956</v>
      </c>
      <c r="E9" s="134">
        <v>38536.833333333336</v>
      </c>
      <c r="F9" s="133">
        <f>Tabla7[[#This Row],[EXISTENCIA]]*Tabla7[[#This Row],[COSTEO UNIDAD]]</f>
        <v>0</v>
      </c>
      <c r="G9" s="244">
        <f>Tabla7[[#This Row],[INICIAL]]-Tabla7[[#This Row],[SALIDA1]]</f>
        <v>0</v>
      </c>
      <c r="H9" s="164">
        <v>46218</v>
      </c>
      <c r="I9" s="157">
        <v>2.8</v>
      </c>
      <c r="J9" s="164">
        <v>46136</v>
      </c>
      <c r="K9" s="119" t="s">
        <v>890</v>
      </c>
      <c r="L9" s="233" t="s">
        <v>2046</v>
      </c>
      <c r="M9" s="164">
        <v>46185</v>
      </c>
      <c r="N9" s="119">
        <v>2.8</v>
      </c>
      <c r="O9" s="119" t="s">
        <v>2025</v>
      </c>
      <c r="P9" s="119"/>
      <c r="Q9" s="119"/>
      <c r="R9" s="119"/>
      <c r="S9" s="119"/>
      <c r="T9" s="119"/>
      <c r="U9" s="119"/>
    </row>
    <row r="10" spans="1:21" ht="17.25">
      <c r="A10" s="157" t="s">
        <v>2047</v>
      </c>
      <c r="B10" s="119" t="s">
        <v>172</v>
      </c>
      <c r="C10" s="119" t="s">
        <v>1709</v>
      </c>
      <c r="D10" s="162" t="s">
        <v>1956</v>
      </c>
      <c r="E10" s="134">
        <v>18095.833333333332</v>
      </c>
      <c r="F10" s="133">
        <f>Tabla7[[#This Row],[EXISTENCIA]]*Tabla7[[#This Row],[COSTEO UNIDAD]]</f>
        <v>0</v>
      </c>
      <c r="G10" s="244">
        <f>Tabla7[[#This Row],[INICIAL]]-Tabla7[[#This Row],[SALIDA1]]</f>
        <v>0</v>
      </c>
      <c r="H10" s="164">
        <v>46218</v>
      </c>
      <c r="I10" s="157">
        <v>5.3</v>
      </c>
      <c r="J10" s="164">
        <v>46135</v>
      </c>
      <c r="K10" s="119" t="s">
        <v>2048</v>
      </c>
      <c r="L10" s="233"/>
      <c r="M10" s="164">
        <v>46185</v>
      </c>
      <c r="N10" s="119">
        <v>5.3</v>
      </c>
      <c r="O10" s="119" t="s">
        <v>2025</v>
      </c>
      <c r="P10" s="119"/>
      <c r="Q10" s="119"/>
      <c r="R10" s="119"/>
      <c r="S10" s="119"/>
      <c r="T10" s="119"/>
      <c r="U10" s="119"/>
    </row>
    <row r="11" spans="1:21" ht="24.75" customHeight="1">
      <c r="A11" s="242" t="s">
        <v>2049</v>
      </c>
      <c r="B11" s="119" t="s">
        <v>172</v>
      </c>
      <c r="C11" s="119" t="s">
        <v>1709</v>
      </c>
      <c r="D11" s="162" t="s">
        <v>1956</v>
      </c>
      <c r="E11" s="134">
        <v>61053.583333333336</v>
      </c>
      <c r="F11" s="133">
        <f>Tabla7[[#This Row],[EXISTENCIA]]*Tabla7[[#This Row],[COSTEO UNIDAD]]</f>
        <v>183160.75</v>
      </c>
      <c r="G11" s="244">
        <f>Tabla7[[#This Row],[INICIAL]]-Tabla7[[#This Row],[SALIDA1]]</f>
        <v>3</v>
      </c>
      <c r="H11" s="164">
        <v>46218</v>
      </c>
      <c r="I11" s="157">
        <v>3</v>
      </c>
      <c r="J11" s="164">
        <v>46136</v>
      </c>
      <c r="K11" s="119" t="s">
        <v>873</v>
      </c>
      <c r="L11" s="233" t="s">
        <v>1015</v>
      </c>
      <c r="M11" s="164"/>
      <c r="N11" s="119"/>
      <c r="O11" s="119"/>
      <c r="P11" s="119"/>
      <c r="Q11" s="119"/>
      <c r="R11" s="119"/>
      <c r="S11" s="119"/>
      <c r="T11" s="119"/>
      <c r="U11" s="119"/>
    </row>
    <row r="12" spans="1:21" ht="17.25">
      <c r="A12" s="157" t="s">
        <v>2050</v>
      </c>
      <c r="B12" s="119" t="s">
        <v>13</v>
      </c>
      <c r="C12" s="119" t="s">
        <v>2051</v>
      </c>
      <c r="D12" s="162" t="s">
        <v>1956</v>
      </c>
      <c r="E12" s="122">
        <f>21290*0.8</f>
        <v>17032</v>
      </c>
      <c r="F12" s="133">
        <f>Tabla7[[#This Row],[EXISTENCIA]]*Tabla7[[#This Row],[COSTEO UNIDAD]]</f>
        <v>51096</v>
      </c>
      <c r="G12" s="244">
        <f>Tabla7[[#This Row],[INICIAL]]-Tabla7[[#This Row],[SALIDA1]]</f>
        <v>3</v>
      </c>
      <c r="H12" s="164">
        <v>46218</v>
      </c>
      <c r="I12" s="157">
        <v>3</v>
      </c>
      <c r="J12" s="164">
        <v>46136</v>
      </c>
      <c r="K12" s="119" t="s">
        <v>1381</v>
      </c>
      <c r="L12" s="233"/>
      <c r="M12" s="164"/>
      <c r="N12" s="119"/>
      <c r="O12" s="119"/>
      <c r="P12" s="119"/>
      <c r="Q12" s="119"/>
      <c r="R12" s="119"/>
      <c r="S12" s="119"/>
      <c r="T12" s="119"/>
      <c r="U12" s="119"/>
    </row>
    <row r="13" spans="1:21" ht="17.25">
      <c r="A13" s="157" t="s">
        <v>2052</v>
      </c>
      <c r="B13" s="119" t="s">
        <v>13</v>
      </c>
      <c r="C13" s="119" t="s">
        <v>1131</v>
      </c>
      <c r="D13" s="119" t="s">
        <v>1956</v>
      </c>
      <c r="E13" s="122">
        <v>221272</v>
      </c>
      <c r="F13" s="133">
        <f>Tabla7[[#This Row],[EXISTENCIA]]*Tabla7[[#This Row],[COSTEO UNIDAD]]</f>
        <v>110636</v>
      </c>
      <c r="G13" s="244">
        <f>Tabla7[[#This Row],[INICIAL]]-Tabla7[[#This Row],[SALIDA1]]</f>
        <v>0.5</v>
      </c>
      <c r="H13" s="164">
        <v>46218</v>
      </c>
      <c r="I13" s="157">
        <v>0.5</v>
      </c>
      <c r="J13" s="164">
        <v>46142</v>
      </c>
      <c r="K13" s="119" t="s">
        <v>1195</v>
      </c>
      <c r="L13" s="246"/>
      <c r="M13" s="164"/>
      <c r="N13" s="119"/>
      <c r="O13" s="119"/>
      <c r="P13" s="119"/>
      <c r="Q13" s="119"/>
      <c r="R13" s="119"/>
      <c r="S13" s="119"/>
      <c r="T13" s="119"/>
      <c r="U13" s="119"/>
    </row>
    <row r="14" spans="1:21" ht="17.25">
      <c r="A14" s="242" t="s">
        <v>2053</v>
      </c>
      <c r="B14" s="119" t="s">
        <v>32</v>
      </c>
      <c r="C14" s="119" t="s">
        <v>1709</v>
      </c>
      <c r="D14" s="162" t="s">
        <v>1956</v>
      </c>
      <c r="E14" s="134">
        <v>3074.7200000000003</v>
      </c>
      <c r="F14" s="133">
        <f>Tabla7[[#This Row],[EXISTENCIA]]*Tabla7[[#This Row],[COSTEO UNIDAD]]</f>
        <v>16296.016000000001</v>
      </c>
      <c r="G14" s="244">
        <f>Tabla7[[#This Row],[INICIAL]]-Tabla7[[#This Row],[SALIDA1]]</f>
        <v>5.3</v>
      </c>
      <c r="H14" s="164">
        <v>46218</v>
      </c>
      <c r="I14" s="157">
        <v>5.3</v>
      </c>
      <c r="J14" s="164">
        <v>46136</v>
      </c>
      <c r="K14" s="119" t="s">
        <v>873</v>
      </c>
      <c r="L14" s="233"/>
      <c r="M14" s="164"/>
      <c r="N14" s="119"/>
      <c r="O14" s="119"/>
      <c r="P14" s="119"/>
      <c r="Q14" s="119"/>
      <c r="R14" s="119"/>
      <c r="S14" s="119"/>
      <c r="T14" s="119"/>
      <c r="U14" s="119"/>
    </row>
    <row r="15" spans="1:21" ht="17.25">
      <c r="A15" s="242" t="s">
        <v>2054</v>
      </c>
      <c r="B15" s="119" t="s">
        <v>32</v>
      </c>
      <c r="C15" s="119" t="s">
        <v>1718</v>
      </c>
      <c r="D15" s="162" t="s">
        <v>1956</v>
      </c>
      <c r="E15" s="134">
        <v>1647.84</v>
      </c>
      <c r="F15" s="133">
        <f>Tabla7[[#This Row],[EXISTENCIA]]*Tabla7[[#This Row],[COSTEO UNIDAD]]</f>
        <v>9063.119999999999</v>
      </c>
      <c r="G15" s="244">
        <f>Tabla7[[#This Row],[INICIAL]]-Tabla7[[#This Row],[SALIDA1]]</f>
        <v>5.5</v>
      </c>
      <c r="H15" s="164">
        <v>46218</v>
      </c>
      <c r="I15" s="157">
        <v>5.5</v>
      </c>
      <c r="J15" s="164">
        <v>46135</v>
      </c>
      <c r="K15" s="119" t="s">
        <v>873</v>
      </c>
      <c r="L15" s="233"/>
      <c r="M15" s="164"/>
      <c r="N15" s="119"/>
      <c r="O15" s="119"/>
      <c r="P15" s="119"/>
      <c r="Q15" s="119"/>
      <c r="R15" s="119"/>
      <c r="S15" s="119"/>
      <c r="T15" s="119"/>
      <c r="U15" s="119"/>
    </row>
    <row r="16" spans="1:21" ht="17.25">
      <c r="A16" s="242" t="s">
        <v>2055</v>
      </c>
      <c r="B16" s="119" t="s">
        <v>360</v>
      </c>
      <c r="C16" s="119" t="s">
        <v>1720</v>
      </c>
      <c r="D16" s="162" t="s">
        <v>1956</v>
      </c>
      <c r="E16" s="134">
        <v>6738.7999999999993</v>
      </c>
      <c r="F16" s="133">
        <f>Tabla7[[#This Row],[EXISTENCIA]]*Tabla7[[#This Row],[COSTEO UNIDAD]]</f>
        <v>16847</v>
      </c>
      <c r="G16" s="244">
        <f>Tabla7[[#This Row],[INICIAL]]-Tabla7[[#This Row],[SALIDA1]]</f>
        <v>2.5</v>
      </c>
      <c r="H16" s="164">
        <v>46218</v>
      </c>
      <c r="I16" s="157">
        <v>2.5</v>
      </c>
      <c r="J16" s="164">
        <v>46136</v>
      </c>
      <c r="K16" s="119" t="s">
        <v>873</v>
      </c>
      <c r="L16" s="233"/>
      <c r="M16" s="164"/>
      <c r="N16" s="119"/>
      <c r="O16" s="119"/>
      <c r="P16" s="119"/>
      <c r="Q16" s="119"/>
      <c r="R16" s="119"/>
      <c r="S16" s="119"/>
      <c r="T16" s="119"/>
      <c r="U16" s="119"/>
    </row>
    <row r="17" spans="1:21" ht="17.25">
      <c r="A17" s="242" t="s">
        <v>2055</v>
      </c>
      <c r="B17" s="119" t="s">
        <v>360</v>
      </c>
      <c r="C17" s="119" t="s">
        <v>1720</v>
      </c>
      <c r="D17" s="162" t="s">
        <v>1956</v>
      </c>
      <c r="E17" s="134">
        <v>6738.7999999999993</v>
      </c>
      <c r="F17" s="133">
        <f>Tabla7[[#This Row],[EXISTENCIA]]*Tabla7[[#This Row],[COSTEO UNIDAD]]</f>
        <v>24933.559999999998</v>
      </c>
      <c r="G17" s="244">
        <f>Tabla7[[#This Row],[INICIAL]]-Tabla7[[#This Row],[SALIDA1]]</f>
        <v>3.7</v>
      </c>
      <c r="H17" s="164">
        <v>46218</v>
      </c>
      <c r="I17" s="157">
        <v>3.7</v>
      </c>
      <c r="J17" s="164">
        <v>46136</v>
      </c>
      <c r="K17" s="119" t="s">
        <v>873</v>
      </c>
      <c r="L17" s="233"/>
      <c r="M17" s="164"/>
      <c r="N17" s="119"/>
      <c r="O17" s="119"/>
      <c r="P17" s="119"/>
      <c r="Q17" s="119"/>
      <c r="R17" s="119"/>
      <c r="S17" s="119"/>
      <c r="T17" s="119"/>
      <c r="U17" s="119"/>
    </row>
    <row r="18" spans="1:21" ht="17.25">
      <c r="A18" s="242" t="s">
        <v>2056</v>
      </c>
      <c r="B18" s="119" t="s">
        <v>360</v>
      </c>
      <c r="C18" s="119" t="s">
        <v>1720</v>
      </c>
      <c r="D18" s="162" t="s">
        <v>1956</v>
      </c>
      <c r="E18" s="134">
        <v>2865.2799999999997</v>
      </c>
      <c r="F18" s="133">
        <f>Tabla7[[#This Row],[EXISTENCIA]]*Tabla7[[#This Row],[COSTEO UNIDAD]]</f>
        <v>5730.5599999999995</v>
      </c>
      <c r="G18" s="244">
        <f>Tabla7[[#This Row],[INICIAL]]-Tabla7[[#This Row],[SALIDA1]]</f>
        <v>2</v>
      </c>
      <c r="H18" s="164">
        <v>46218</v>
      </c>
      <c r="I18" s="157">
        <v>2</v>
      </c>
      <c r="J18" s="164">
        <v>46136</v>
      </c>
      <c r="K18" s="119" t="s">
        <v>873</v>
      </c>
      <c r="L18" s="233"/>
      <c r="M18" s="164"/>
      <c r="N18" s="119"/>
      <c r="O18" s="119"/>
      <c r="P18" s="119"/>
      <c r="Q18" s="119"/>
      <c r="R18" s="119"/>
      <c r="S18" s="119"/>
      <c r="T18" s="119"/>
      <c r="U18" s="119"/>
    </row>
    <row r="19" spans="1:21" ht="17.25">
      <c r="A19" s="242" t="s">
        <v>2057</v>
      </c>
      <c r="B19" s="119" t="s">
        <v>32</v>
      </c>
      <c r="C19" s="119" t="s">
        <v>1720</v>
      </c>
      <c r="D19" s="162" t="s">
        <v>1956</v>
      </c>
      <c r="E19" s="134">
        <v>19792.48</v>
      </c>
      <c r="F19" s="133">
        <f>Tabla7[[#This Row],[EXISTENCIA]]*Tabla7[[#This Row],[COSTEO UNIDAD]]</f>
        <v>95003.903999999995</v>
      </c>
      <c r="G19" s="244">
        <f>Tabla7[[#This Row],[INICIAL]]-Tabla7[[#This Row],[SALIDA1]]</f>
        <v>4.8</v>
      </c>
      <c r="H19" s="164">
        <v>46218</v>
      </c>
      <c r="I19" s="157">
        <v>4.8</v>
      </c>
      <c r="J19" s="164">
        <v>46135</v>
      </c>
      <c r="K19" s="119" t="s">
        <v>873</v>
      </c>
      <c r="L19" s="233"/>
      <c r="M19" s="164"/>
      <c r="N19" s="119"/>
      <c r="O19" s="119"/>
      <c r="P19" s="119"/>
      <c r="Q19" s="119"/>
      <c r="R19" s="119"/>
      <c r="S19" s="119"/>
      <c r="T19" s="119"/>
      <c r="U19" s="119"/>
    </row>
    <row r="20" spans="1:21" ht="17.25">
      <c r="A20" s="242" t="s">
        <v>2057</v>
      </c>
      <c r="B20" s="119" t="s">
        <v>32</v>
      </c>
      <c r="C20" s="119" t="s">
        <v>1720</v>
      </c>
      <c r="D20" s="162" t="s">
        <v>1956</v>
      </c>
      <c r="E20" s="134">
        <v>19792.48</v>
      </c>
      <c r="F20" s="133">
        <f>Tabla7[[#This Row],[EXISTENCIA]]*Tabla7[[#This Row],[COSTEO UNIDAD]]</f>
        <v>81149.167999999991</v>
      </c>
      <c r="G20" s="244">
        <f>Tabla7[[#This Row],[INICIAL]]-Tabla7[[#This Row],[SALIDA1]]</f>
        <v>4.0999999999999996</v>
      </c>
      <c r="H20" s="164">
        <v>46218</v>
      </c>
      <c r="I20" s="157">
        <v>4.0999999999999996</v>
      </c>
      <c r="J20" s="164">
        <v>46135</v>
      </c>
      <c r="K20" s="119" t="s">
        <v>873</v>
      </c>
      <c r="L20" s="233"/>
      <c r="M20" s="164"/>
      <c r="N20" s="119"/>
      <c r="O20" s="119"/>
      <c r="P20" s="119"/>
      <c r="Q20" s="119"/>
      <c r="R20" s="119"/>
      <c r="S20" s="119"/>
      <c r="T20" s="119"/>
      <c r="U20" s="119"/>
    </row>
    <row r="21" spans="1:21" ht="17.25">
      <c r="A21" s="242" t="s">
        <v>2057</v>
      </c>
      <c r="B21" s="119" t="s">
        <v>32</v>
      </c>
      <c r="C21" s="119" t="s">
        <v>1720</v>
      </c>
      <c r="D21" s="162" t="s">
        <v>1956</v>
      </c>
      <c r="E21" s="134">
        <v>19792.48</v>
      </c>
      <c r="F21" s="133">
        <f>Tabla7[[#This Row],[EXISTENCIA]]*Tabla7[[#This Row],[COSTEO UNIDAD]]</f>
        <v>79169.919999999998</v>
      </c>
      <c r="G21" s="244">
        <f>Tabla7[[#This Row],[INICIAL]]-Tabla7[[#This Row],[SALIDA1]]</f>
        <v>4</v>
      </c>
      <c r="H21" s="164">
        <v>46218</v>
      </c>
      <c r="I21" s="157">
        <v>4</v>
      </c>
      <c r="J21" s="164">
        <v>46135</v>
      </c>
      <c r="K21" s="119" t="s">
        <v>873</v>
      </c>
      <c r="L21" s="233"/>
      <c r="M21" s="164"/>
      <c r="N21" s="119"/>
      <c r="O21" s="119"/>
      <c r="P21" s="119"/>
      <c r="Q21" s="119"/>
      <c r="R21" s="119"/>
      <c r="S21" s="119"/>
      <c r="T21" s="119"/>
      <c r="U21" s="119"/>
    </row>
    <row r="22" spans="1:21" ht="17.25">
      <c r="A22" s="242" t="s">
        <v>2057</v>
      </c>
      <c r="B22" s="119" t="s">
        <v>32</v>
      </c>
      <c r="C22" s="119" t="s">
        <v>1720</v>
      </c>
      <c r="D22" s="162" t="s">
        <v>1956</v>
      </c>
      <c r="E22" s="134">
        <v>19792.48</v>
      </c>
      <c r="F22" s="133">
        <f>Tabla7[[#This Row],[EXISTENCIA]]*Tabla7[[#This Row],[COSTEO UNIDAD]]</f>
        <v>51460.448000000004</v>
      </c>
      <c r="G22" s="244">
        <f>Tabla7[[#This Row],[INICIAL]]-Tabla7[[#This Row],[SALIDA1]]</f>
        <v>2.6</v>
      </c>
      <c r="H22" s="164">
        <v>46218</v>
      </c>
      <c r="I22" s="157">
        <v>2.6</v>
      </c>
      <c r="J22" s="164">
        <v>46136</v>
      </c>
      <c r="K22" s="119" t="s">
        <v>873</v>
      </c>
      <c r="L22" s="233"/>
      <c r="M22" s="164"/>
      <c r="N22" s="119"/>
      <c r="O22" s="119"/>
      <c r="P22" s="119"/>
      <c r="Q22" s="119"/>
      <c r="R22" s="119"/>
      <c r="S22" s="119"/>
      <c r="T22" s="119"/>
      <c r="U22" s="119"/>
    </row>
    <row r="23" spans="1:21" ht="17.25">
      <c r="A23" s="242" t="s">
        <v>2057</v>
      </c>
      <c r="B23" s="119" t="s">
        <v>32</v>
      </c>
      <c r="C23" s="119" t="s">
        <v>1720</v>
      </c>
      <c r="D23" s="162" t="s">
        <v>1956</v>
      </c>
      <c r="E23" s="134">
        <v>19792.48</v>
      </c>
      <c r="F23" s="133">
        <f>Tabla7[[#This Row],[EXISTENCIA]]*Tabla7[[#This Row],[COSTEO UNIDAD]]</f>
        <v>47501.951999999997</v>
      </c>
      <c r="G23" s="244">
        <f>Tabla7[[#This Row],[INICIAL]]-Tabla7[[#This Row],[SALIDA1]]</f>
        <v>2.4</v>
      </c>
      <c r="H23" s="164">
        <v>46218</v>
      </c>
      <c r="I23" s="157">
        <v>2.4</v>
      </c>
      <c r="J23" s="164">
        <v>46136</v>
      </c>
      <c r="K23" s="119" t="s">
        <v>873</v>
      </c>
      <c r="L23" s="233"/>
      <c r="M23" s="164"/>
      <c r="N23" s="119"/>
      <c r="O23" s="119"/>
      <c r="P23" s="119"/>
      <c r="Q23" s="119"/>
      <c r="R23" s="119"/>
      <c r="S23" s="119"/>
      <c r="T23" s="119"/>
      <c r="U23" s="119"/>
    </row>
    <row r="24" spans="1:21" ht="17.25">
      <c r="A24" s="242" t="s">
        <v>2057</v>
      </c>
      <c r="B24" s="119" t="s">
        <v>32</v>
      </c>
      <c r="C24" s="119" t="s">
        <v>1720</v>
      </c>
      <c r="D24" s="162" t="s">
        <v>1956</v>
      </c>
      <c r="E24" s="134">
        <v>19792.48</v>
      </c>
      <c r="F24" s="133">
        <f>Tabla7[[#This Row],[EXISTENCIA]]*Tabla7[[#This Row],[COSTEO UNIDAD]]</f>
        <v>51460.448000000004</v>
      </c>
      <c r="G24" s="244">
        <f>Tabla7[[#This Row],[INICIAL]]-Tabla7[[#This Row],[SALIDA1]]</f>
        <v>2.6</v>
      </c>
      <c r="H24" s="164">
        <v>46218</v>
      </c>
      <c r="I24" s="157">
        <v>2.6</v>
      </c>
      <c r="J24" s="164">
        <v>46136</v>
      </c>
      <c r="K24" s="119" t="s">
        <v>873</v>
      </c>
      <c r="L24" s="233"/>
      <c r="M24" s="164"/>
      <c r="N24" s="119"/>
      <c r="O24" s="119"/>
      <c r="P24" s="119"/>
      <c r="Q24" s="119"/>
      <c r="R24" s="119"/>
      <c r="S24" s="119"/>
      <c r="T24" s="119"/>
      <c r="U24" s="119"/>
    </row>
    <row r="25" spans="1:21" ht="17.25">
      <c r="A25" s="242" t="s">
        <v>2058</v>
      </c>
      <c r="B25" s="119" t="s">
        <v>360</v>
      </c>
      <c r="C25" s="119" t="s">
        <v>1720</v>
      </c>
      <c r="D25" s="162" t="s">
        <v>1956</v>
      </c>
      <c r="E25" s="134">
        <v>23247.52</v>
      </c>
      <c r="F25" s="133">
        <f>Tabla7[[#This Row],[EXISTENCIA]]*Tabla7[[#This Row],[COSTEO UNIDAD]]</f>
        <v>69742.559999999998</v>
      </c>
      <c r="G25" s="244">
        <f>Tabla7[[#This Row],[INICIAL]]-Tabla7[[#This Row],[SALIDA1]]</f>
        <v>3</v>
      </c>
      <c r="H25" s="164">
        <v>46218</v>
      </c>
      <c r="I25" s="157">
        <v>3</v>
      </c>
      <c r="J25" s="164">
        <v>46135</v>
      </c>
      <c r="K25" s="119" t="s">
        <v>873</v>
      </c>
      <c r="L25" s="233"/>
      <c r="M25" s="164"/>
      <c r="N25" s="119"/>
      <c r="O25" s="119"/>
      <c r="P25" s="119"/>
      <c r="Q25" s="119"/>
      <c r="R25" s="119"/>
      <c r="S25" s="119"/>
      <c r="T25" s="119"/>
      <c r="U25" s="119"/>
    </row>
    <row r="26" spans="1:21" ht="17.25">
      <c r="A26" s="242" t="s">
        <v>2058</v>
      </c>
      <c r="B26" s="119" t="s">
        <v>360</v>
      </c>
      <c r="C26" s="119" t="s">
        <v>1720</v>
      </c>
      <c r="D26" s="162" t="s">
        <v>1956</v>
      </c>
      <c r="E26" s="134">
        <v>23247.52</v>
      </c>
      <c r="F26" s="133">
        <f>Tabla7[[#This Row],[EXISTENCIA]]*Tabla7[[#This Row],[COSTEO UNIDAD]]</f>
        <v>67417.808000000005</v>
      </c>
      <c r="G26" s="244">
        <f>Tabla7[[#This Row],[INICIAL]]-Tabla7[[#This Row],[SALIDA1]]</f>
        <v>2.9</v>
      </c>
      <c r="H26" s="164">
        <v>46218</v>
      </c>
      <c r="I26" s="157">
        <v>2.9</v>
      </c>
      <c r="J26" s="164">
        <v>46135</v>
      </c>
      <c r="K26" s="119" t="s">
        <v>873</v>
      </c>
      <c r="L26" s="233"/>
      <c r="M26" s="164"/>
      <c r="N26" s="119"/>
      <c r="O26" s="119"/>
      <c r="P26" s="119"/>
      <c r="Q26" s="119"/>
      <c r="R26" s="119"/>
      <c r="S26" s="119"/>
      <c r="T26" s="119"/>
      <c r="U26" s="119"/>
    </row>
    <row r="27" spans="1:21" ht="17.25">
      <c r="A27" s="242" t="s">
        <v>2059</v>
      </c>
      <c r="B27" s="119" t="s">
        <v>32</v>
      </c>
      <c r="C27" s="119" t="s">
        <v>1720</v>
      </c>
      <c r="D27" s="162" t="s">
        <v>1956</v>
      </c>
      <c r="E27" s="134">
        <v>2041.8399999999997</v>
      </c>
      <c r="F27" s="133">
        <f>Tabla7[[#This Row],[EXISTENCIA]]*Tabla7[[#This Row],[COSTEO UNIDAD]]</f>
        <v>7146.4399999999987</v>
      </c>
      <c r="G27" s="244">
        <f>Tabla7[[#This Row],[INICIAL]]-Tabla7[[#This Row],[SALIDA1]]</f>
        <v>3.5</v>
      </c>
      <c r="H27" s="164">
        <v>46218</v>
      </c>
      <c r="I27" s="157">
        <v>3.5</v>
      </c>
      <c r="J27" s="164">
        <v>46136</v>
      </c>
      <c r="K27" s="119" t="s">
        <v>873</v>
      </c>
      <c r="L27" s="233"/>
      <c r="M27" s="164"/>
      <c r="N27" s="119"/>
      <c r="O27" s="119"/>
      <c r="P27" s="119"/>
      <c r="Q27" s="119"/>
      <c r="R27" s="119"/>
      <c r="S27" s="119"/>
      <c r="T27" s="119"/>
      <c r="U27" s="119"/>
    </row>
    <row r="28" spans="1:21" ht="17.25">
      <c r="A28" s="242" t="s">
        <v>2059</v>
      </c>
      <c r="B28" s="119" t="s">
        <v>32</v>
      </c>
      <c r="C28" s="119" t="s">
        <v>1720</v>
      </c>
      <c r="D28" s="162" t="s">
        <v>1956</v>
      </c>
      <c r="E28" s="134">
        <v>2041.8399999999997</v>
      </c>
      <c r="F28" s="133">
        <f>Tabla7[[#This Row],[EXISTENCIA]]*Tabla7[[#This Row],[COSTEO UNIDAD]]</f>
        <v>7146.4399999999987</v>
      </c>
      <c r="G28" s="244">
        <f>Tabla7[[#This Row],[INICIAL]]-Tabla7[[#This Row],[SALIDA1]]</f>
        <v>3.5</v>
      </c>
      <c r="H28" s="164">
        <v>46218</v>
      </c>
      <c r="I28" s="157">
        <v>3.5</v>
      </c>
      <c r="J28" s="164">
        <v>46136</v>
      </c>
      <c r="K28" s="119" t="s">
        <v>873</v>
      </c>
      <c r="L28" s="233"/>
      <c r="M28" s="164"/>
      <c r="N28" s="119"/>
      <c r="O28" s="119"/>
      <c r="P28" s="119"/>
      <c r="Q28" s="119"/>
      <c r="R28" s="119"/>
      <c r="S28" s="119"/>
      <c r="T28" s="119"/>
      <c r="U28" s="119"/>
    </row>
    <row r="29" spans="1:21" ht="17.25">
      <c r="A29" s="242" t="s">
        <v>2059</v>
      </c>
      <c r="B29" s="119" t="s">
        <v>32</v>
      </c>
      <c r="C29" s="119" t="s">
        <v>1720</v>
      </c>
      <c r="D29" s="162" t="s">
        <v>1956</v>
      </c>
      <c r="E29" s="134">
        <v>2041.8399999999997</v>
      </c>
      <c r="F29" s="133">
        <f>Tabla7[[#This Row],[EXISTENCIA]]*Tabla7[[#This Row],[COSTEO UNIDAD]]</f>
        <v>10209.199999999999</v>
      </c>
      <c r="G29" s="244">
        <f>Tabla7[[#This Row],[INICIAL]]-Tabla7[[#This Row],[SALIDA1]]</f>
        <v>5</v>
      </c>
      <c r="H29" s="164">
        <v>46218</v>
      </c>
      <c r="I29" s="157">
        <v>5</v>
      </c>
      <c r="J29" s="164">
        <v>46135</v>
      </c>
      <c r="K29" s="119" t="s">
        <v>873</v>
      </c>
      <c r="L29" s="233"/>
      <c r="M29" s="164"/>
      <c r="N29" s="119"/>
      <c r="O29" s="119"/>
      <c r="P29" s="119"/>
      <c r="Q29" s="119"/>
      <c r="R29" s="119"/>
      <c r="S29" s="119"/>
      <c r="T29" s="119"/>
      <c r="U29" s="119"/>
    </row>
    <row r="30" spans="1:21" ht="17.25">
      <c r="A30" s="242" t="s">
        <v>2059</v>
      </c>
      <c r="B30" s="119" t="s">
        <v>32</v>
      </c>
      <c r="C30" s="119" t="s">
        <v>1720</v>
      </c>
      <c r="D30" s="162" t="s">
        <v>1956</v>
      </c>
      <c r="E30" s="134">
        <v>2041.8399999999997</v>
      </c>
      <c r="F30" s="133">
        <f>Tabla7[[#This Row],[EXISTENCIA]]*Tabla7[[#This Row],[COSTEO UNIDAD]]</f>
        <v>10413.383999999998</v>
      </c>
      <c r="G30" s="244">
        <f>Tabla7[[#This Row],[INICIAL]]-Tabla7[[#This Row],[SALIDA1]]</f>
        <v>5.0999999999999996</v>
      </c>
      <c r="H30" s="164">
        <v>46218</v>
      </c>
      <c r="I30" s="157">
        <v>5.0999999999999996</v>
      </c>
      <c r="J30" s="164">
        <v>46135</v>
      </c>
      <c r="K30" s="119" t="s">
        <v>873</v>
      </c>
      <c r="L30" s="233"/>
      <c r="M30" s="164"/>
      <c r="N30" s="119"/>
      <c r="O30" s="119"/>
      <c r="P30" s="119"/>
      <c r="Q30" s="119"/>
      <c r="R30" s="119"/>
      <c r="S30" s="119"/>
      <c r="T30" s="119"/>
      <c r="U30" s="119"/>
    </row>
    <row r="31" spans="1:21" ht="17.25">
      <c r="A31" s="242" t="s">
        <v>2059</v>
      </c>
      <c r="B31" s="119" t="s">
        <v>32</v>
      </c>
      <c r="C31" s="119" t="s">
        <v>1720</v>
      </c>
      <c r="D31" s="162" t="s">
        <v>1956</v>
      </c>
      <c r="E31" s="134">
        <v>2041.8399999999997</v>
      </c>
      <c r="F31" s="133">
        <f>Tabla7[[#This Row],[EXISTENCIA]]*Tabla7[[#This Row],[COSTEO UNIDAD]]</f>
        <v>7146.4399999999987</v>
      </c>
      <c r="G31" s="244">
        <f>Tabla7[[#This Row],[INICIAL]]-Tabla7[[#This Row],[SALIDA1]]</f>
        <v>3.5</v>
      </c>
      <c r="H31" s="164">
        <v>46218</v>
      </c>
      <c r="I31" s="157">
        <v>3.5</v>
      </c>
      <c r="J31" s="164">
        <v>46135</v>
      </c>
      <c r="K31" s="119" t="s">
        <v>873</v>
      </c>
      <c r="L31" s="233"/>
      <c r="M31" s="164"/>
      <c r="N31" s="119"/>
      <c r="O31" s="119"/>
      <c r="P31" s="119"/>
      <c r="Q31" s="119"/>
      <c r="R31" s="119"/>
      <c r="S31" s="119"/>
      <c r="T31" s="119"/>
      <c r="U31" s="119"/>
    </row>
    <row r="32" spans="1:21" ht="17.25">
      <c r="A32" s="242" t="s">
        <v>2059</v>
      </c>
      <c r="B32" s="119" t="s">
        <v>32</v>
      </c>
      <c r="C32" s="119" t="s">
        <v>1720</v>
      </c>
      <c r="D32" s="162" t="s">
        <v>1956</v>
      </c>
      <c r="E32" s="134">
        <v>2041.8399999999997</v>
      </c>
      <c r="F32" s="133">
        <f>Tabla7[[#This Row],[EXISTENCIA]]*Tabla7[[#This Row],[COSTEO UNIDAD]]</f>
        <v>7146.4399999999987</v>
      </c>
      <c r="G32" s="244">
        <f>Tabla7[[#This Row],[INICIAL]]-Tabla7[[#This Row],[SALIDA1]]</f>
        <v>3.5</v>
      </c>
      <c r="H32" s="164">
        <v>46218</v>
      </c>
      <c r="I32" s="157">
        <v>3.5</v>
      </c>
      <c r="J32" s="164">
        <v>46135</v>
      </c>
      <c r="K32" s="119" t="s">
        <v>873</v>
      </c>
      <c r="L32" s="233"/>
      <c r="M32" s="164"/>
      <c r="N32" s="119"/>
      <c r="O32" s="119"/>
      <c r="P32" s="119"/>
      <c r="Q32" s="119"/>
      <c r="R32" s="119"/>
      <c r="S32" s="119"/>
      <c r="T32" s="119"/>
      <c r="U32" s="119"/>
    </row>
    <row r="33" spans="1:21" ht="17.25">
      <c r="A33" s="242" t="s">
        <v>2059</v>
      </c>
      <c r="B33" s="119" t="s">
        <v>32</v>
      </c>
      <c r="C33" s="119" t="s">
        <v>1720</v>
      </c>
      <c r="D33" s="162" t="s">
        <v>1956</v>
      </c>
      <c r="E33" s="134">
        <v>2041.8399999999997</v>
      </c>
      <c r="F33" s="133">
        <f>Tabla7[[#This Row],[EXISTENCIA]]*Tabla7[[#This Row],[COSTEO UNIDAD]]</f>
        <v>5308.7839999999997</v>
      </c>
      <c r="G33" s="244">
        <f>Tabla7[[#This Row],[INICIAL]]-Tabla7[[#This Row],[SALIDA1]]</f>
        <v>2.6</v>
      </c>
      <c r="H33" s="164">
        <v>46218</v>
      </c>
      <c r="I33" s="157">
        <v>2.6</v>
      </c>
      <c r="J33" s="164">
        <v>46136</v>
      </c>
      <c r="K33" s="119" t="s">
        <v>873</v>
      </c>
      <c r="L33" s="233"/>
      <c r="M33" s="164"/>
      <c r="N33" s="119"/>
      <c r="O33" s="119"/>
      <c r="P33" s="119"/>
      <c r="Q33" s="119"/>
      <c r="R33" s="119"/>
      <c r="S33" s="119"/>
      <c r="T33" s="119"/>
      <c r="U33" s="119"/>
    </row>
    <row r="34" spans="1:21" ht="17.25">
      <c r="A34" s="242" t="s">
        <v>2059</v>
      </c>
      <c r="B34" s="119" t="s">
        <v>32</v>
      </c>
      <c r="C34" s="119" t="s">
        <v>1720</v>
      </c>
      <c r="D34" s="162" t="s">
        <v>1956</v>
      </c>
      <c r="E34" s="134">
        <v>2041.8399999999997</v>
      </c>
      <c r="F34" s="133">
        <f>Tabla7[[#This Row],[EXISTENCIA]]*Tabla7[[#This Row],[COSTEO UNIDAD]]</f>
        <v>4083.6799999999994</v>
      </c>
      <c r="G34" s="244">
        <f>Tabla7[[#This Row],[INICIAL]]-Tabla7[[#This Row],[SALIDA1]]</f>
        <v>2</v>
      </c>
      <c r="H34" s="164">
        <v>46218</v>
      </c>
      <c r="I34" s="157">
        <v>2</v>
      </c>
      <c r="J34" s="164">
        <v>46136</v>
      </c>
      <c r="K34" s="119" t="s">
        <v>873</v>
      </c>
      <c r="L34" s="233"/>
      <c r="M34" s="164"/>
      <c r="N34" s="119"/>
      <c r="O34" s="119"/>
      <c r="P34" s="119"/>
      <c r="Q34" s="119"/>
      <c r="R34" s="119"/>
      <c r="S34" s="119"/>
      <c r="T34" s="119"/>
      <c r="U34" s="119"/>
    </row>
    <row r="35" spans="1:21" ht="17.25">
      <c r="A35" s="242" t="s">
        <v>2060</v>
      </c>
      <c r="B35" s="119" t="s">
        <v>360</v>
      </c>
      <c r="C35" s="119" t="s">
        <v>1720</v>
      </c>
      <c r="D35" s="162" t="s">
        <v>1956</v>
      </c>
      <c r="E35" s="134">
        <v>39562.479999999996</v>
      </c>
      <c r="F35" s="133">
        <f>Tabla7[[#This Row],[EXISTENCIA]]*Tabla7[[#This Row],[COSTEO UNIDAD]]</f>
        <v>162206.16799999998</v>
      </c>
      <c r="G35" s="244">
        <f>Tabla7[[#This Row],[INICIAL]]-Tabla7[[#This Row],[SALIDA1]]</f>
        <v>4.0999999999999996</v>
      </c>
      <c r="H35" s="164">
        <v>46218</v>
      </c>
      <c r="I35" s="157">
        <v>4.0999999999999996</v>
      </c>
      <c r="J35" s="164">
        <v>46135</v>
      </c>
      <c r="K35" s="119" t="s">
        <v>873</v>
      </c>
      <c r="L35" s="233"/>
      <c r="M35" s="164"/>
      <c r="N35" s="119"/>
      <c r="O35" s="119"/>
      <c r="P35" s="119"/>
      <c r="Q35" s="119"/>
      <c r="R35" s="119"/>
      <c r="S35" s="119"/>
      <c r="T35" s="119"/>
      <c r="U35" s="119"/>
    </row>
    <row r="36" spans="1:21" ht="17.25">
      <c r="A36" s="242" t="s">
        <v>2060</v>
      </c>
      <c r="B36" s="119" t="s">
        <v>360</v>
      </c>
      <c r="C36" s="119" t="s">
        <v>1720</v>
      </c>
      <c r="D36" s="162" t="s">
        <v>1956</v>
      </c>
      <c r="E36" s="134">
        <v>39562.479999999996</v>
      </c>
      <c r="F36" s="133">
        <f>Tabla7[[#This Row],[EXISTENCIA]]*Tabla7[[#This Row],[COSTEO UNIDAD]]</f>
        <v>83081.207999999999</v>
      </c>
      <c r="G36" s="244">
        <f>Tabla7[[#This Row],[INICIAL]]-Tabla7[[#This Row],[SALIDA1]]</f>
        <v>2.1</v>
      </c>
      <c r="H36" s="164">
        <v>46218</v>
      </c>
      <c r="I36" s="157">
        <v>2.1</v>
      </c>
      <c r="J36" s="164">
        <v>46136</v>
      </c>
      <c r="K36" s="119" t="s">
        <v>873</v>
      </c>
      <c r="L36" s="233"/>
      <c r="M36" s="164"/>
      <c r="N36" s="119"/>
      <c r="O36" s="119"/>
      <c r="P36" s="119"/>
      <c r="Q36" s="119"/>
      <c r="R36" s="119"/>
      <c r="S36" s="119"/>
      <c r="T36" s="119"/>
      <c r="U36" s="119"/>
    </row>
    <row r="37" spans="1:21" ht="17.25">
      <c r="A37" s="242" t="s">
        <v>2061</v>
      </c>
      <c r="B37" s="119" t="s">
        <v>32</v>
      </c>
      <c r="C37" s="119" t="s">
        <v>2062</v>
      </c>
      <c r="D37" s="162" t="s">
        <v>1956</v>
      </c>
      <c r="E37" s="134">
        <v>2309.2799999999997</v>
      </c>
      <c r="F37" s="133">
        <f>Tabla7[[#This Row],[EXISTENCIA]]*Tabla7[[#This Row],[COSTEO UNIDAD]]</f>
        <v>5080.4160000000002</v>
      </c>
      <c r="G37" s="244">
        <f>Tabla7[[#This Row],[INICIAL]]-Tabla7[[#This Row],[SALIDA1]]</f>
        <v>2.2000000000000002</v>
      </c>
      <c r="H37" s="164">
        <v>46218</v>
      </c>
      <c r="I37" s="157">
        <v>2.2000000000000002</v>
      </c>
      <c r="J37" s="164">
        <v>46136</v>
      </c>
      <c r="K37" s="119" t="s">
        <v>873</v>
      </c>
      <c r="L37" s="233"/>
      <c r="M37" s="164"/>
      <c r="N37" s="119"/>
      <c r="O37" s="119"/>
      <c r="P37" s="119"/>
      <c r="Q37" s="119"/>
      <c r="R37" s="119"/>
      <c r="S37" s="119"/>
      <c r="T37" s="119"/>
      <c r="U37" s="119"/>
    </row>
    <row r="38" spans="1:21" ht="17.25">
      <c r="A38" s="243" t="s">
        <v>2063</v>
      </c>
      <c r="B38" s="119" t="s">
        <v>32</v>
      </c>
      <c r="C38" s="119" t="s">
        <v>2062</v>
      </c>
      <c r="D38" s="162" t="s">
        <v>1956</v>
      </c>
      <c r="E38" s="134">
        <v>2309.2799999999997</v>
      </c>
      <c r="F38" s="133">
        <f>Tabla7[[#This Row],[EXISTENCIA]]*Tabla7[[#This Row],[COSTEO UNIDAD]]</f>
        <v>6004.1279999999997</v>
      </c>
      <c r="G38" s="244">
        <f>Tabla7[[#This Row],[INICIAL]]-Tabla7[[#This Row],[SALIDA1]]</f>
        <v>2.6</v>
      </c>
      <c r="H38" s="164">
        <v>46218</v>
      </c>
      <c r="I38" s="157">
        <v>2.6</v>
      </c>
      <c r="J38" s="164">
        <v>46135</v>
      </c>
      <c r="K38" s="119" t="s">
        <v>873</v>
      </c>
      <c r="L38" s="233"/>
      <c r="M38" s="164"/>
      <c r="N38" s="119"/>
      <c r="O38" s="119"/>
      <c r="P38" s="119"/>
      <c r="Q38" s="119"/>
      <c r="R38" s="119"/>
      <c r="S38" s="119"/>
      <c r="T38" s="119"/>
      <c r="U38" s="119"/>
    </row>
    <row r="39" spans="1:21" ht="17.25">
      <c r="A39" s="243" t="s">
        <v>2063</v>
      </c>
      <c r="B39" s="119" t="s">
        <v>32</v>
      </c>
      <c r="C39" s="119" t="s">
        <v>2062</v>
      </c>
      <c r="D39" s="162" t="s">
        <v>1956</v>
      </c>
      <c r="E39" s="134">
        <v>2309.2799999999997</v>
      </c>
      <c r="F39" s="133">
        <f>Tabla7[[#This Row],[EXISTENCIA]]*Tabla7[[#This Row],[COSTEO UNIDAD]]</f>
        <v>5542.271999999999</v>
      </c>
      <c r="G39" s="244">
        <f>Tabla7[[#This Row],[INICIAL]]-Tabla7[[#This Row],[SALIDA1]]</f>
        <v>2.4</v>
      </c>
      <c r="H39" s="164">
        <v>46218</v>
      </c>
      <c r="I39" s="157">
        <v>2.4</v>
      </c>
      <c r="J39" s="164">
        <v>46135</v>
      </c>
      <c r="K39" s="119" t="s">
        <v>873</v>
      </c>
      <c r="L39" s="233"/>
      <c r="M39" s="164"/>
      <c r="N39" s="119"/>
      <c r="O39" s="119"/>
      <c r="P39" s="119"/>
      <c r="Q39" s="119"/>
      <c r="R39" s="119"/>
      <c r="S39" s="119"/>
      <c r="T39" s="119"/>
      <c r="U39" s="119"/>
    </row>
    <row r="40" spans="1:21" ht="17.25">
      <c r="A40" s="157" t="s">
        <v>2064</v>
      </c>
      <c r="B40" s="119" t="s">
        <v>32</v>
      </c>
      <c r="C40" s="119" t="s">
        <v>887</v>
      </c>
      <c r="D40" s="162" t="s">
        <v>1956</v>
      </c>
      <c r="E40" s="134">
        <v>11672</v>
      </c>
      <c r="F40" s="133">
        <f>Tabla7[[#This Row],[EXISTENCIA]]*Tabla7[[#This Row],[COSTEO UNIDAD]]</f>
        <v>0</v>
      </c>
      <c r="G40" s="244">
        <f>Tabla7[[#This Row],[INICIAL]]-Tabla7[[#This Row],[SALIDA1]]</f>
        <v>0</v>
      </c>
      <c r="H40" s="164">
        <v>46218</v>
      </c>
      <c r="I40" s="157">
        <v>5.5</v>
      </c>
      <c r="J40" s="164">
        <v>46135</v>
      </c>
      <c r="K40" s="119" t="s">
        <v>2065</v>
      </c>
      <c r="L40" s="233" t="s">
        <v>2042</v>
      </c>
      <c r="M40" s="164">
        <v>46185</v>
      </c>
      <c r="N40" s="119">
        <v>5.5</v>
      </c>
      <c r="O40" s="119" t="s">
        <v>2025</v>
      </c>
      <c r="P40" s="119"/>
      <c r="Q40" s="119"/>
      <c r="R40" s="119"/>
      <c r="S40" s="119"/>
      <c r="T40" s="119"/>
      <c r="U40" s="119"/>
    </row>
    <row r="41" spans="1:21" ht="17.25">
      <c r="A41" s="242" t="s">
        <v>2066</v>
      </c>
      <c r="B41" s="119" t="s">
        <v>32</v>
      </c>
      <c r="C41" s="119" t="s">
        <v>887</v>
      </c>
      <c r="D41" s="162" t="s">
        <v>1956</v>
      </c>
      <c r="E41" s="134">
        <v>17815.852459016394</v>
      </c>
      <c r="F41" s="133">
        <f>Tabla7[[#This Row],[EXISTENCIA]]*Tabla7[[#This Row],[COSTEO UNIDAD]]</f>
        <v>49884.386885245898</v>
      </c>
      <c r="G41" s="244">
        <f>Tabla7[[#This Row],[INICIAL]]-Tabla7[[#This Row],[SALIDA1]]</f>
        <v>2.8</v>
      </c>
      <c r="H41" s="164">
        <v>46218</v>
      </c>
      <c r="I41" s="157">
        <v>2.8</v>
      </c>
      <c r="J41" s="164">
        <v>46135</v>
      </c>
      <c r="K41" s="119" t="s">
        <v>873</v>
      </c>
      <c r="L41" s="233"/>
      <c r="M41" s="164"/>
      <c r="N41" s="119"/>
      <c r="O41" s="119"/>
      <c r="P41" s="119"/>
      <c r="Q41" s="119"/>
      <c r="R41" s="119"/>
      <c r="S41" s="119"/>
      <c r="T41" s="119"/>
      <c r="U41" s="119"/>
    </row>
    <row r="42" spans="1:21" ht="17.25">
      <c r="A42" s="242" t="s">
        <v>2067</v>
      </c>
      <c r="B42" s="119" t="s">
        <v>32</v>
      </c>
      <c r="C42" s="119" t="s">
        <v>887</v>
      </c>
      <c r="D42" s="162" t="s">
        <v>1956</v>
      </c>
      <c r="E42" s="134">
        <v>17815.852459016394</v>
      </c>
      <c r="F42" s="133">
        <f>Tabla7[[#This Row],[EXISTENCIA]]*Tabla7[[#This Row],[COSTEO UNIDAD]]</f>
        <v>35631.704918032789</v>
      </c>
      <c r="G42" s="244">
        <f>Tabla7[[#This Row],[INICIAL]]-Tabla7[[#This Row],[SALIDA1]]</f>
        <v>2</v>
      </c>
      <c r="H42" s="164">
        <v>46218</v>
      </c>
      <c r="I42" s="157">
        <v>2</v>
      </c>
      <c r="J42" s="164">
        <v>46136</v>
      </c>
      <c r="K42" s="119" t="s">
        <v>873</v>
      </c>
      <c r="L42" s="233"/>
      <c r="M42" s="164"/>
      <c r="N42" s="119"/>
      <c r="O42" s="119"/>
      <c r="P42" s="119"/>
      <c r="Q42" s="119"/>
      <c r="R42" s="119"/>
      <c r="S42" s="119"/>
      <c r="T42" s="119"/>
      <c r="U42" s="119"/>
    </row>
    <row r="43" spans="1:21" ht="17.25">
      <c r="A43" s="242" t="s">
        <v>2068</v>
      </c>
      <c r="B43" s="119" t="s">
        <v>32</v>
      </c>
      <c r="C43" s="119" t="s">
        <v>887</v>
      </c>
      <c r="D43" s="162" t="s">
        <v>1956</v>
      </c>
      <c r="E43" s="134">
        <v>15712</v>
      </c>
      <c r="F43" s="133">
        <f>Tabla7[[#This Row],[EXISTENCIA]]*Tabla7[[#This Row],[COSTEO UNIDAD]]</f>
        <v>87987.199999999997</v>
      </c>
      <c r="G43" s="244">
        <f>Tabla7[[#This Row],[INICIAL]]-Tabla7[[#This Row],[SALIDA1]]</f>
        <v>5.6</v>
      </c>
      <c r="H43" s="164">
        <v>46218</v>
      </c>
      <c r="I43" s="157">
        <v>5.6</v>
      </c>
      <c r="J43" s="164">
        <v>46135</v>
      </c>
      <c r="K43" s="119" t="s">
        <v>1195</v>
      </c>
      <c r="L43" s="233"/>
      <c r="M43" s="164"/>
      <c r="N43" s="119"/>
      <c r="O43" s="119"/>
      <c r="P43" s="119"/>
      <c r="Q43" s="119"/>
      <c r="R43" s="119"/>
      <c r="S43" s="119"/>
      <c r="T43" s="119"/>
      <c r="U43" s="119"/>
    </row>
    <row r="44" spans="1:21" ht="17.25">
      <c r="A44" s="242" t="s">
        <v>2068</v>
      </c>
      <c r="B44" s="119" t="s">
        <v>32</v>
      </c>
      <c r="C44" s="119" t="s">
        <v>887</v>
      </c>
      <c r="D44" s="162" t="s">
        <v>1956</v>
      </c>
      <c r="E44" s="134">
        <v>15712</v>
      </c>
      <c r="F44" s="133">
        <f>Tabla7[[#This Row],[EXISTENCIA]]*Tabla7[[#This Row],[COSTEO UNIDAD]]</f>
        <v>37708.799999999996</v>
      </c>
      <c r="G44" s="244">
        <f>Tabla7[[#This Row],[INICIAL]]-Tabla7[[#This Row],[SALIDA1]]</f>
        <v>2.4</v>
      </c>
      <c r="H44" s="164">
        <v>46218</v>
      </c>
      <c r="I44" s="157">
        <v>2.4</v>
      </c>
      <c r="J44" s="164">
        <v>46135</v>
      </c>
      <c r="K44" s="119" t="s">
        <v>1195</v>
      </c>
      <c r="L44" s="233"/>
      <c r="M44" s="164"/>
      <c r="N44" s="119"/>
      <c r="O44" s="119"/>
      <c r="P44" s="119"/>
      <c r="Q44" s="119"/>
      <c r="R44" s="119"/>
      <c r="S44" s="119"/>
      <c r="T44" s="119"/>
      <c r="U44" s="119"/>
    </row>
    <row r="45" spans="1:21" ht="17.25">
      <c r="A45" s="242" t="s">
        <v>2069</v>
      </c>
      <c r="B45" s="119" t="s">
        <v>32</v>
      </c>
      <c r="C45" s="119" t="s">
        <v>887</v>
      </c>
      <c r="D45" s="162" t="s">
        <v>1956</v>
      </c>
      <c r="E45" s="134">
        <v>7088</v>
      </c>
      <c r="F45" s="133">
        <f>Tabla7[[#This Row],[EXISTENCIA]]*Tabla7[[#This Row],[COSTEO UNIDAD]]</f>
        <v>11340.800000000001</v>
      </c>
      <c r="G45" s="244">
        <f>Tabla7[[#This Row],[INICIAL]]-Tabla7[[#This Row],[SALIDA1]]</f>
        <v>1.6</v>
      </c>
      <c r="H45" s="164">
        <v>46218</v>
      </c>
      <c r="I45" s="157">
        <v>1.6</v>
      </c>
      <c r="J45" s="164">
        <v>46135</v>
      </c>
      <c r="K45" s="119" t="s">
        <v>1210</v>
      </c>
      <c r="L45" s="233"/>
      <c r="M45" s="164"/>
      <c r="N45" s="119"/>
      <c r="O45" s="119"/>
      <c r="P45" s="119"/>
      <c r="Q45" s="119"/>
      <c r="R45" s="119"/>
      <c r="S45" s="119"/>
      <c r="T45" s="119"/>
      <c r="U45" s="119"/>
    </row>
    <row r="46" spans="1:21" ht="17.25">
      <c r="A46" s="242" t="s">
        <v>2070</v>
      </c>
      <c r="B46" s="119" t="s">
        <v>32</v>
      </c>
      <c r="C46" s="119" t="s">
        <v>887</v>
      </c>
      <c r="D46" s="162" t="s">
        <v>1956</v>
      </c>
      <c r="E46" s="134">
        <v>52901.144262295085</v>
      </c>
      <c r="F46" s="133">
        <f>Tabla7[[#This Row],[EXISTENCIA]]*Tabla7[[#This Row],[COSTEO UNIDAD]]</f>
        <v>0</v>
      </c>
      <c r="G46" s="244">
        <f>Tabla7[[#This Row],[INICIAL]]-Tabla7[[#This Row],[SALIDA1]]</f>
        <v>0</v>
      </c>
      <c r="H46" s="164">
        <v>46218</v>
      </c>
      <c r="I46" s="157">
        <v>5.2</v>
      </c>
      <c r="J46" s="164">
        <v>46135</v>
      </c>
      <c r="K46" s="119" t="s">
        <v>873</v>
      </c>
      <c r="L46" s="233" t="s">
        <v>2042</v>
      </c>
      <c r="M46" s="164">
        <v>46185</v>
      </c>
      <c r="N46" s="119">
        <v>5.2</v>
      </c>
      <c r="O46" s="119" t="s">
        <v>2025</v>
      </c>
      <c r="P46" s="119"/>
      <c r="Q46" s="119"/>
      <c r="R46" s="119"/>
      <c r="S46" s="119"/>
      <c r="T46" s="119"/>
      <c r="U46" s="119"/>
    </row>
    <row r="47" spans="1:21" ht="17.25">
      <c r="A47" s="157" t="s">
        <v>2011</v>
      </c>
      <c r="B47" s="119" t="s">
        <v>830</v>
      </c>
      <c r="C47" s="119" t="s">
        <v>2071</v>
      </c>
      <c r="D47" s="119" t="s">
        <v>1956</v>
      </c>
      <c r="E47" s="122">
        <v>16776</v>
      </c>
      <c r="F47" s="133">
        <f>Tabla7[[#This Row],[EXISTENCIA]]*Tabla7[[#This Row],[COSTEO UNIDAD]]</f>
        <v>83880</v>
      </c>
      <c r="G47" s="244">
        <f>Tabla7[[#This Row],[INICIAL]]-Tabla7[[#This Row],[SALIDA1]]</f>
        <v>5</v>
      </c>
      <c r="H47" s="164">
        <v>46218</v>
      </c>
      <c r="I47" s="157">
        <v>5</v>
      </c>
      <c r="J47" s="164">
        <v>46135</v>
      </c>
      <c r="K47" s="119" t="s">
        <v>1445</v>
      </c>
      <c r="L47" s="233"/>
      <c r="M47" s="164"/>
      <c r="N47" s="119"/>
      <c r="O47" s="119"/>
      <c r="P47" s="119"/>
      <c r="Q47" s="119"/>
      <c r="R47" s="119"/>
      <c r="S47" s="119"/>
      <c r="T47" s="119"/>
      <c r="U47" s="119"/>
    </row>
    <row r="48" spans="1:21" ht="17.25">
      <c r="A48" s="221" t="s">
        <v>2072</v>
      </c>
      <c r="B48" s="247" t="s">
        <v>2073</v>
      </c>
      <c r="C48" s="247"/>
      <c r="D48" s="119" t="s">
        <v>1956</v>
      </c>
      <c r="E48" s="122">
        <v>12500</v>
      </c>
      <c r="F48" s="133">
        <f>Tabla7[[#This Row],[EXISTENCIA]]*Tabla7[[#This Row],[COSTEO UNIDAD]]</f>
        <v>21250</v>
      </c>
      <c r="G48" s="244">
        <f>Tabla7[[#This Row],[INICIAL]]-Tabla7[[#This Row],[SALIDA1]]</f>
        <v>1.7</v>
      </c>
      <c r="H48" s="164">
        <v>46218</v>
      </c>
      <c r="I48" s="157">
        <v>1.7</v>
      </c>
      <c r="J48" s="227">
        <v>46167</v>
      </c>
      <c r="K48" s="247" t="s">
        <v>2074</v>
      </c>
      <c r="L48" s="248"/>
      <c r="M48" s="227"/>
      <c r="N48" s="119"/>
      <c r="O48" s="119"/>
      <c r="P48" s="119"/>
      <c r="Q48" s="119"/>
      <c r="R48" s="119"/>
      <c r="S48" s="119"/>
      <c r="T48" s="119"/>
      <c r="U48" s="119"/>
    </row>
    <row r="49" spans="1:21" ht="17.25">
      <c r="A49" s="221" t="s">
        <v>2072</v>
      </c>
      <c r="B49" s="119" t="s">
        <v>2073</v>
      </c>
      <c r="C49" s="119"/>
      <c r="D49" s="119" t="s">
        <v>1956</v>
      </c>
      <c r="E49" s="122">
        <v>12500</v>
      </c>
      <c r="F49" s="133">
        <f>Tabla7[[#This Row],[EXISTENCIA]]*Tabla7[[#This Row],[COSTEO UNIDAD]]</f>
        <v>20000</v>
      </c>
      <c r="G49" s="244">
        <f>Tabla7[[#This Row],[INICIAL]]-Tabla7[[#This Row],[SALIDA1]]</f>
        <v>1.6</v>
      </c>
      <c r="H49" s="164">
        <v>46218</v>
      </c>
      <c r="I49" s="157">
        <v>1.6</v>
      </c>
      <c r="J49" s="164">
        <v>46167</v>
      </c>
      <c r="K49" s="119" t="s">
        <v>2074</v>
      </c>
      <c r="L49" s="233"/>
      <c r="M49" s="164"/>
      <c r="N49" s="119"/>
      <c r="O49" s="119"/>
      <c r="P49" s="119"/>
      <c r="Q49" s="119"/>
      <c r="R49" s="119"/>
      <c r="S49" s="119"/>
      <c r="T49" s="119"/>
      <c r="U49" s="119"/>
    </row>
    <row r="50" spans="1:21" ht="17.25">
      <c r="A50" s="221" t="s">
        <v>2072</v>
      </c>
      <c r="B50" s="247" t="s">
        <v>2073</v>
      </c>
      <c r="C50" s="247"/>
      <c r="D50" s="119" t="s">
        <v>1956</v>
      </c>
      <c r="E50" s="122">
        <v>12500</v>
      </c>
      <c r="F50" s="133">
        <f>Tabla7[[#This Row],[EXISTENCIA]]*Tabla7[[#This Row],[COSTEO UNIDAD]]</f>
        <v>15000</v>
      </c>
      <c r="G50" s="244">
        <f>Tabla7[[#This Row],[INICIAL]]-Tabla7[[#This Row],[SALIDA1]]</f>
        <v>1.2</v>
      </c>
      <c r="H50" s="164">
        <v>46218</v>
      </c>
      <c r="I50" s="157">
        <v>1.2</v>
      </c>
      <c r="J50" s="227">
        <v>46167</v>
      </c>
      <c r="K50" s="247" t="s">
        <v>2074</v>
      </c>
      <c r="L50" s="248"/>
      <c r="M50" s="227"/>
      <c r="N50" s="119"/>
      <c r="O50" s="119"/>
      <c r="P50" s="119"/>
      <c r="Q50" s="119"/>
      <c r="R50" s="119"/>
      <c r="S50" s="119"/>
      <c r="T50" s="119"/>
      <c r="U50" s="119"/>
    </row>
    <row r="51" spans="1:21" ht="17.25">
      <c r="A51" s="221" t="s">
        <v>2072</v>
      </c>
      <c r="B51" s="119" t="s">
        <v>2073</v>
      </c>
      <c r="C51" s="119"/>
      <c r="D51" s="119" t="s">
        <v>1956</v>
      </c>
      <c r="E51" s="122">
        <v>12500</v>
      </c>
      <c r="F51" s="133">
        <f>Tabla7[[#This Row],[EXISTENCIA]]*Tabla7[[#This Row],[COSTEO UNIDAD]]</f>
        <v>71250</v>
      </c>
      <c r="G51" s="244">
        <f>Tabla7[[#This Row],[INICIAL]]-Tabla7[[#This Row],[SALIDA1]]</f>
        <v>5.7</v>
      </c>
      <c r="H51" s="164">
        <v>46218</v>
      </c>
      <c r="I51" s="157">
        <v>5.7</v>
      </c>
      <c r="J51" s="164">
        <v>46167</v>
      </c>
      <c r="K51" s="119" t="s">
        <v>2074</v>
      </c>
      <c r="L51" s="233"/>
      <c r="M51" s="164"/>
      <c r="N51" s="119"/>
      <c r="O51" s="119"/>
      <c r="P51" s="119"/>
      <c r="Q51" s="119"/>
      <c r="R51" s="119"/>
      <c r="S51" s="119"/>
      <c r="T51" s="119"/>
      <c r="U51" s="119"/>
    </row>
    <row r="52" spans="1:21" ht="17.25">
      <c r="A52" s="221" t="s">
        <v>2075</v>
      </c>
      <c r="B52" s="247" t="s">
        <v>2073</v>
      </c>
      <c r="C52" s="247"/>
      <c r="D52" s="119" t="s">
        <v>1956</v>
      </c>
      <c r="E52" s="122">
        <v>7000</v>
      </c>
      <c r="F52" s="133">
        <f>Tabla7[[#This Row],[EXISTENCIA]]*Tabla7[[#This Row],[COSTEO UNIDAD]]</f>
        <v>12600</v>
      </c>
      <c r="G52" s="244">
        <f>Tabla7[[#This Row],[INICIAL]]-Tabla7[[#This Row],[SALIDA1]]</f>
        <v>1.8</v>
      </c>
      <c r="H52" s="164">
        <v>46218</v>
      </c>
      <c r="I52" s="157">
        <v>1.8</v>
      </c>
      <c r="J52" s="227">
        <v>46167</v>
      </c>
      <c r="K52" s="247" t="s">
        <v>2074</v>
      </c>
      <c r="L52" s="248"/>
      <c r="M52" s="227"/>
      <c r="N52" s="119"/>
      <c r="O52" s="119"/>
      <c r="P52" s="119"/>
      <c r="Q52" s="119"/>
      <c r="R52" s="119"/>
      <c r="S52" s="119"/>
      <c r="T52" s="119"/>
      <c r="U52" s="119"/>
    </row>
    <row r="53" spans="1:21" ht="17.25">
      <c r="A53" s="221" t="s">
        <v>2075</v>
      </c>
      <c r="B53" s="119" t="s">
        <v>2073</v>
      </c>
      <c r="C53" s="119"/>
      <c r="D53" s="119" t="s">
        <v>1956</v>
      </c>
      <c r="E53" s="122">
        <v>7000</v>
      </c>
      <c r="F53" s="133">
        <f>Tabla7[[#This Row],[EXISTENCIA]]*Tabla7[[#This Row],[COSTEO UNIDAD]]</f>
        <v>11200</v>
      </c>
      <c r="G53" s="244">
        <f>Tabla7[[#This Row],[INICIAL]]-Tabla7[[#This Row],[SALIDA1]]</f>
        <v>1.6</v>
      </c>
      <c r="H53" s="164">
        <v>46218</v>
      </c>
      <c r="I53" s="157">
        <v>1.6</v>
      </c>
      <c r="J53" s="164">
        <v>46167</v>
      </c>
      <c r="K53" s="119" t="s">
        <v>2074</v>
      </c>
      <c r="L53" s="233"/>
      <c r="M53" s="164"/>
      <c r="N53" s="119"/>
      <c r="O53" s="119"/>
      <c r="P53" s="119"/>
      <c r="Q53" s="119"/>
      <c r="R53" s="119"/>
      <c r="S53" s="119"/>
      <c r="T53" s="119"/>
      <c r="U53" s="119"/>
    </row>
    <row r="54" spans="1:21" ht="17.25">
      <c r="A54" s="221" t="s">
        <v>2076</v>
      </c>
      <c r="B54" s="247" t="s">
        <v>2073</v>
      </c>
      <c r="C54" s="247"/>
      <c r="D54" s="119" t="s">
        <v>1956</v>
      </c>
      <c r="E54" s="122">
        <v>4400</v>
      </c>
      <c r="F54" s="133">
        <f>Tabla7[[#This Row],[EXISTENCIA]]*Tabla7[[#This Row],[COSTEO UNIDAD]]</f>
        <v>13200</v>
      </c>
      <c r="G54" s="244">
        <f>Tabla7[[#This Row],[INICIAL]]-Tabla7[[#This Row],[SALIDA1]]</f>
        <v>3</v>
      </c>
      <c r="H54" s="164">
        <v>46218</v>
      </c>
      <c r="I54" s="157">
        <v>3</v>
      </c>
      <c r="J54" s="227">
        <v>46167</v>
      </c>
      <c r="K54" s="247" t="s">
        <v>1951</v>
      </c>
      <c r="L54" s="248"/>
      <c r="M54" s="227"/>
      <c r="N54" s="119"/>
      <c r="O54" s="119"/>
      <c r="P54" s="119"/>
      <c r="Q54" s="119"/>
      <c r="R54" s="119"/>
      <c r="S54" s="119"/>
      <c r="T54" s="119"/>
      <c r="U54" s="119"/>
    </row>
    <row r="55" spans="1:21" ht="17.25">
      <c r="A55" s="221" t="s">
        <v>2077</v>
      </c>
      <c r="B55" s="119" t="s">
        <v>2073</v>
      </c>
      <c r="C55" s="119"/>
      <c r="D55" s="119" t="s">
        <v>1956</v>
      </c>
      <c r="E55" s="122">
        <v>23000</v>
      </c>
      <c r="F55" s="133">
        <f>Tabla7[[#This Row],[EXISTENCIA]]*Tabla7[[#This Row],[COSTEO UNIDAD]]</f>
        <v>46000</v>
      </c>
      <c r="G55" s="244">
        <f>Tabla7[[#This Row],[INICIAL]]-Tabla7[[#This Row],[SALIDA1]]</f>
        <v>2</v>
      </c>
      <c r="H55" s="164">
        <v>46218</v>
      </c>
      <c r="I55" s="157">
        <v>2</v>
      </c>
      <c r="J55" s="164">
        <v>46167</v>
      </c>
      <c r="K55" s="119" t="s">
        <v>800</v>
      </c>
      <c r="L55" s="233"/>
      <c r="M55" s="164"/>
      <c r="N55" s="119"/>
      <c r="O55" s="119"/>
      <c r="P55" s="119"/>
      <c r="Q55" s="119"/>
      <c r="R55" s="119"/>
      <c r="S55" s="119"/>
      <c r="T55" s="119"/>
      <c r="U55" s="119"/>
    </row>
    <row r="56" spans="1:21" ht="17.25">
      <c r="A56" s="221" t="s">
        <v>2077</v>
      </c>
      <c r="B56" s="247" t="s">
        <v>2073</v>
      </c>
      <c r="C56" s="247"/>
      <c r="D56" s="119" t="s">
        <v>1956</v>
      </c>
      <c r="E56" s="122">
        <v>23000</v>
      </c>
      <c r="F56" s="133">
        <f>Tabla7[[#This Row],[EXISTENCIA]]*Tabla7[[#This Row],[COSTEO UNIDAD]]</f>
        <v>138000</v>
      </c>
      <c r="G56" s="244">
        <f>Tabla7[[#This Row],[INICIAL]]-Tabla7[[#This Row],[SALIDA1]]</f>
        <v>6</v>
      </c>
      <c r="H56" s="164">
        <v>46218</v>
      </c>
      <c r="I56" s="157">
        <v>6</v>
      </c>
      <c r="J56" s="227">
        <v>46167</v>
      </c>
      <c r="K56" s="247" t="s">
        <v>800</v>
      </c>
      <c r="L56" s="248"/>
      <c r="M56" s="227"/>
      <c r="N56" s="119"/>
      <c r="O56" s="119"/>
      <c r="P56" s="119"/>
      <c r="Q56" s="119"/>
      <c r="R56" s="119"/>
      <c r="S56" s="119"/>
      <c r="T56" s="119"/>
      <c r="U56" s="119"/>
    </row>
    <row r="57" spans="1:21" ht="17.25">
      <c r="A57" s="221" t="s">
        <v>2078</v>
      </c>
      <c r="B57" s="119" t="s">
        <v>2073</v>
      </c>
      <c r="C57" s="119"/>
      <c r="D57" s="119" t="s">
        <v>1956</v>
      </c>
      <c r="E57" s="122">
        <v>84150</v>
      </c>
      <c r="F57" s="133">
        <f>Tabla7[[#This Row],[EXISTENCIA]]*Tabla7[[#This Row],[COSTEO UNIDAD]]</f>
        <v>420750</v>
      </c>
      <c r="G57" s="244">
        <f>Tabla7[[#This Row],[INICIAL]]-Tabla7[[#This Row],[SALIDA1]]</f>
        <v>5</v>
      </c>
      <c r="H57" s="164">
        <v>46218</v>
      </c>
      <c r="I57" s="157">
        <v>5</v>
      </c>
      <c r="J57" s="164">
        <v>46167</v>
      </c>
      <c r="K57" s="119" t="s">
        <v>2079</v>
      </c>
      <c r="L57" s="233"/>
      <c r="M57" s="164"/>
      <c r="N57" s="119"/>
      <c r="O57" s="119"/>
      <c r="P57" s="119"/>
      <c r="Q57" s="119"/>
      <c r="R57" s="119"/>
      <c r="S57" s="119"/>
      <c r="T57" s="119"/>
      <c r="U57" s="119"/>
    </row>
    <row r="58" spans="1:21" ht="17.25">
      <c r="A58" s="249" t="s">
        <v>2080</v>
      </c>
      <c r="B58" s="247" t="s">
        <v>2081</v>
      </c>
      <c r="C58" s="119"/>
      <c r="D58" s="247" t="s">
        <v>1956</v>
      </c>
      <c r="E58" s="134">
        <v>5319</v>
      </c>
      <c r="F58" s="133">
        <f>Tabla7[[#This Row],[EXISTENCIA]]*Tabla7[[#This Row],[COSTEO UNIDAD]]</f>
        <v>10638</v>
      </c>
      <c r="G58" s="244">
        <f>Tabla7[[#This Row],[INICIAL]]-Tabla7[[#This Row],[SALIDA1]]</f>
        <v>2</v>
      </c>
      <c r="H58" s="164">
        <v>46218</v>
      </c>
      <c r="I58" s="157">
        <v>2</v>
      </c>
      <c r="J58" s="227">
        <v>46147</v>
      </c>
      <c r="K58" s="247" t="s">
        <v>1346</v>
      </c>
      <c r="L58" s="233"/>
      <c r="M58" s="164"/>
      <c r="N58" s="119"/>
      <c r="O58" s="119"/>
      <c r="P58" s="119"/>
      <c r="Q58" s="119"/>
      <c r="R58" s="119"/>
      <c r="S58" s="119"/>
      <c r="T58" s="119"/>
      <c r="U58" s="119"/>
    </row>
    <row r="59" spans="1:21" ht="17.25">
      <c r="A59" s="249" t="s">
        <v>2082</v>
      </c>
      <c r="B59" s="119" t="s">
        <v>2081</v>
      </c>
      <c r="C59" s="119"/>
      <c r="D59" s="119" t="s">
        <v>1956</v>
      </c>
      <c r="E59" s="134">
        <v>3080</v>
      </c>
      <c r="F59" s="133">
        <f>Tabla7[[#This Row],[EXISTENCIA]]*Tabla7[[#This Row],[COSTEO UNIDAD]]</f>
        <v>4620</v>
      </c>
      <c r="G59" s="244">
        <f>Tabla7[[#This Row],[INICIAL]]-Tabla7[[#This Row],[SALIDA1]]</f>
        <v>1.5</v>
      </c>
      <c r="H59" s="164">
        <v>46218</v>
      </c>
      <c r="I59" s="157">
        <v>1.5</v>
      </c>
      <c r="J59" s="164">
        <v>46167</v>
      </c>
      <c r="K59" s="119" t="s">
        <v>2083</v>
      </c>
      <c r="L59" s="233"/>
      <c r="M59" s="164"/>
      <c r="N59" s="119"/>
      <c r="O59" s="119"/>
      <c r="P59" s="119"/>
      <c r="Q59" s="119"/>
      <c r="R59" s="119"/>
      <c r="S59" s="119"/>
      <c r="T59" s="119"/>
      <c r="U59" s="119"/>
    </row>
    <row r="60" spans="1:21" ht="17.25">
      <c r="A60" s="249" t="s">
        <v>2084</v>
      </c>
      <c r="B60" s="247" t="s">
        <v>2081</v>
      </c>
      <c r="C60" s="119"/>
      <c r="D60" s="247" t="s">
        <v>1956</v>
      </c>
      <c r="E60" s="134">
        <v>1895</v>
      </c>
      <c r="F60" s="133">
        <f>Tabla7[[#This Row],[EXISTENCIA]]*Tabla7[[#This Row],[COSTEO UNIDAD]]</f>
        <v>3790</v>
      </c>
      <c r="G60" s="244">
        <f>Tabla7[[#This Row],[INICIAL]]-Tabla7[[#This Row],[SALIDA1]]</f>
        <v>2</v>
      </c>
      <c r="H60" s="164">
        <v>46218</v>
      </c>
      <c r="I60" s="157">
        <v>2</v>
      </c>
      <c r="J60" s="227">
        <v>46147</v>
      </c>
      <c r="K60" s="247" t="s">
        <v>1346</v>
      </c>
      <c r="L60" s="233"/>
      <c r="M60" s="164"/>
      <c r="N60" s="119"/>
      <c r="O60" s="119"/>
      <c r="P60" s="119"/>
      <c r="Q60" s="119"/>
      <c r="R60" s="119"/>
      <c r="S60" s="119"/>
      <c r="T60" s="119"/>
      <c r="U60" s="119"/>
    </row>
    <row r="61" spans="1:21" ht="17.25">
      <c r="A61" s="249" t="s">
        <v>2084</v>
      </c>
      <c r="B61" s="119" t="s">
        <v>2081</v>
      </c>
      <c r="C61" s="119"/>
      <c r="D61" s="119" t="s">
        <v>1956</v>
      </c>
      <c r="E61" s="134">
        <v>1895</v>
      </c>
      <c r="F61" s="133">
        <f>Tabla7[[#This Row],[EXISTENCIA]]*Tabla7[[#This Row],[COSTEO UNIDAD]]</f>
        <v>4737.5</v>
      </c>
      <c r="G61" s="244">
        <f>Tabla7[[#This Row],[INICIAL]]-Tabla7[[#This Row],[SALIDA1]]</f>
        <v>2.5</v>
      </c>
      <c r="H61" s="164">
        <v>46218</v>
      </c>
      <c r="I61" s="157">
        <v>2.5</v>
      </c>
      <c r="J61" s="164">
        <v>46147</v>
      </c>
      <c r="K61" s="119" t="s">
        <v>1346</v>
      </c>
      <c r="L61" s="233"/>
      <c r="M61" s="164"/>
      <c r="N61" s="119"/>
      <c r="O61" s="119"/>
      <c r="P61" s="119"/>
      <c r="Q61" s="119"/>
      <c r="R61" s="119"/>
      <c r="S61" s="119"/>
      <c r="T61" s="119"/>
      <c r="U61" s="119"/>
    </row>
    <row r="62" spans="1:21" ht="17.25">
      <c r="A62" s="249" t="s">
        <v>2085</v>
      </c>
      <c r="B62" s="247" t="s">
        <v>2081</v>
      </c>
      <c r="C62" s="119"/>
      <c r="D62" s="247" t="s">
        <v>1956</v>
      </c>
      <c r="E62" s="134">
        <v>2255.3333333333335</v>
      </c>
      <c r="F62" s="133">
        <f>Tabla7[[#This Row],[EXISTENCIA]]*Tabla7[[#This Row],[COSTEO UNIDAD]]</f>
        <v>9021.3333333333339</v>
      </c>
      <c r="G62" s="244">
        <f>Tabla7[[#This Row],[INICIAL]]-Tabla7[[#This Row],[SALIDA1]]</f>
        <v>4</v>
      </c>
      <c r="H62" s="164">
        <v>46218</v>
      </c>
      <c r="I62" s="157">
        <v>4</v>
      </c>
      <c r="J62" s="227">
        <v>46167</v>
      </c>
      <c r="K62" s="247" t="s">
        <v>2086</v>
      </c>
      <c r="L62" s="233"/>
      <c r="M62" s="164"/>
      <c r="N62" s="119"/>
      <c r="O62" s="119"/>
      <c r="P62" s="119"/>
      <c r="Q62" s="119"/>
      <c r="R62" s="119"/>
      <c r="S62" s="119"/>
      <c r="T62" s="119"/>
      <c r="U62" s="119"/>
    </row>
    <row r="63" spans="1:21" ht="17.25">
      <c r="A63" s="249" t="s">
        <v>2087</v>
      </c>
      <c r="B63" s="119" t="s">
        <v>2088</v>
      </c>
      <c r="C63" s="119"/>
      <c r="D63" s="119" t="s">
        <v>1956</v>
      </c>
      <c r="E63" s="134">
        <v>59100</v>
      </c>
      <c r="F63" s="133">
        <f>Tabla7[[#This Row],[EXISTENCIA]]*Tabla7[[#This Row],[COSTEO UNIDAD]]</f>
        <v>118200</v>
      </c>
      <c r="G63" s="244">
        <f>Tabla7[[#This Row],[INICIAL]]-Tabla7[[#This Row],[SALIDA1]]</f>
        <v>2</v>
      </c>
      <c r="H63" s="164">
        <v>46218</v>
      </c>
      <c r="I63" s="157">
        <v>2</v>
      </c>
      <c r="J63" s="164">
        <v>46167</v>
      </c>
      <c r="K63" s="119" t="s">
        <v>795</v>
      </c>
      <c r="L63" s="233"/>
      <c r="M63" s="164"/>
      <c r="N63" s="119"/>
      <c r="O63" s="119"/>
      <c r="P63" s="119"/>
      <c r="Q63" s="119"/>
      <c r="R63" s="119"/>
      <c r="S63" s="119"/>
      <c r="T63" s="119"/>
      <c r="U63" s="119"/>
    </row>
    <row r="64" spans="1:21" ht="17.25">
      <c r="A64" s="249" t="s">
        <v>2089</v>
      </c>
      <c r="B64" s="247" t="s">
        <v>2088</v>
      </c>
      <c r="C64" s="119"/>
      <c r="D64" s="247" t="s">
        <v>1956</v>
      </c>
      <c r="E64" s="134">
        <v>3100</v>
      </c>
      <c r="F64" s="133">
        <f>Tabla7[[#This Row],[EXISTENCIA]]*Tabla7[[#This Row],[COSTEO UNIDAD]]</f>
        <v>31000</v>
      </c>
      <c r="G64" s="244">
        <f>Tabla7[[#This Row],[INICIAL]]-Tabla7[[#This Row],[SALIDA1]]</f>
        <v>10</v>
      </c>
      <c r="H64" s="164">
        <v>46218</v>
      </c>
      <c r="I64" s="157">
        <v>10</v>
      </c>
      <c r="J64" s="227">
        <v>46167</v>
      </c>
      <c r="K64" s="247" t="s">
        <v>2074</v>
      </c>
      <c r="L64" s="233"/>
      <c r="M64" s="164"/>
      <c r="N64" s="119"/>
      <c r="O64" s="119"/>
      <c r="P64" s="119"/>
      <c r="Q64" s="119"/>
      <c r="R64" s="119"/>
      <c r="S64" s="119"/>
      <c r="T64" s="119"/>
      <c r="U64" s="119"/>
    </row>
    <row r="65" spans="1:21" ht="17.25">
      <c r="A65" s="249" t="s">
        <v>2089</v>
      </c>
      <c r="B65" s="119" t="s">
        <v>2088</v>
      </c>
      <c r="C65" s="119"/>
      <c r="D65" s="119" t="s">
        <v>1956</v>
      </c>
      <c r="E65" s="134">
        <v>3100</v>
      </c>
      <c r="F65" s="133">
        <f>Tabla7[[#This Row],[EXISTENCIA]]*Tabla7[[#This Row],[COSTEO UNIDAD]]</f>
        <v>31000</v>
      </c>
      <c r="G65" s="244">
        <f>Tabla7[[#This Row],[INICIAL]]-Tabla7[[#This Row],[SALIDA1]]</f>
        <v>10</v>
      </c>
      <c r="H65" s="164">
        <v>46218</v>
      </c>
      <c r="I65" s="157">
        <v>10</v>
      </c>
      <c r="J65" s="164">
        <v>46167</v>
      </c>
      <c r="K65" s="119" t="s">
        <v>2074</v>
      </c>
      <c r="L65" s="233"/>
      <c r="M65" s="164"/>
      <c r="N65" s="119"/>
      <c r="O65" s="119"/>
      <c r="P65" s="119"/>
      <c r="Q65" s="119"/>
      <c r="R65" s="119"/>
      <c r="S65" s="119"/>
      <c r="T65" s="119"/>
      <c r="U65" s="119"/>
    </row>
    <row r="66" spans="1:21" ht="17.25">
      <c r="A66" s="249" t="s">
        <v>1955</v>
      </c>
      <c r="B66" s="119" t="s">
        <v>1242</v>
      </c>
      <c r="C66" s="119"/>
      <c r="D66" s="119" t="s">
        <v>1956</v>
      </c>
      <c r="E66" s="134">
        <v>4080</v>
      </c>
      <c r="F66" s="133">
        <f>Tabla7[[#This Row],[EXISTENCIA]]*Tabla7[[#This Row],[COSTEO UNIDAD]]</f>
        <v>20400</v>
      </c>
      <c r="G66" s="244">
        <f>Tabla7[[#This Row],[INICIAL]]-Tabla7[[#This Row],[SALIDA1]]</f>
        <v>5</v>
      </c>
      <c r="H66" s="164">
        <v>46218</v>
      </c>
      <c r="I66" s="157">
        <v>5</v>
      </c>
      <c r="J66" s="164">
        <v>46171</v>
      </c>
      <c r="K66" s="119" t="s">
        <v>1957</v>
      </c>
      <c r="L66" s="233"/>
      <c r="M66" s="164"/>
      <c r="N66" s="119"/>
      <c r="O66" s="119"/>
      <c r="P66" s="119"/>
      <c r="Q66" s="119"/>
      <c r="R66" s="119"/>
      <c r="S66" s="119"/>
      <c r="T66" s="119"/>
      <c r="U66" s="119"/>
    </row>
    <row r="67" spans="1:21" ht="17.25">
      <c r="A67" s="249" t="s">
        <v>1955</v>
      </c>
      <c r="B67" s="247" t="s">
        <v>1242</v>
      </c>
      <c r="C67" s="119"/>
      <c r="D67" s="247" t="s">
        <v>1956</v>
      </c>
      <c r="E67" s="134">
        <v>4080</v>
      </c>
      <c r="F67" s="133">
        <f>Tabla7[[#This Row],[EXISTENCIA]]*Tabla7[[#This Row],[COSTEO UNIDAD]]</f>
        <v>20400</v>
      </c>
      <c r="G67" s="244">
        <f>Tabla7[[#This Row],[INICIAL]]-Tabla7[[#This Row],[SALIDA1]]</f>
        <v>5</v>
      </c>
      <c r="H67" s="164">
        <v>46218</v>
      </c>
      <c r="I67" s="157">
        <v>5</v>
      </c>
      <c r="J67" s="227">
        <v>46171</v>
      </c>
      <c r="K67" s="247" t="s">
        <v>1957</v>
      </c>
      <c r="L67" s="233"/>
      <c r="M67" s="164"/>
      <c r="N67" s="119"/>
      <c r="O67" s="119"/>
      <c r="P67" s="119"/>
      <c r="Q67" s="119"/>
      <c r="R67" s="119"/>
      <c r="S67" s="119"/>
      <c r="T67" s="119"/>
      <c r="U67" s="119"/>
    </row>
    <row r="68" spans="1:21" ht="17.25">
      <c r="A68" s="250" t="s">
        <v>2090</v>
      </c>
      <c r="B68" s="119" t="s">
        <v>1242</v>
      </c>
      <c r="C68" s="119"/>
      <c r="D68" s="119" t="s">
        <v>1956</v>
      </c>
      <c r="E68" s="134">
        <v>5000</v>
      </c>
      <c r="F68" s="133">
        <f>Tabla7[[#This Row],[EXISTENCIA]]*Tabla7[[#This Row],[COSTEO UNIDAD]]</f>
        <v>27500</v>
      </c>
      <c r="G68" s="244">
        <f>Tabla7[[#This Row],[INICIAL]]-Tabla7[[#This Row],[SALIDA1]]</f>
        <v>5.5</v>
      </c>
      <c r="H68" s="164">
        <v>46218</v>
      </c>
      <c r="I68" s="157">
        <v>5.5</v>
      </c>
      <c r="J68" s="164">
        <v>46171</v>
      </c>
      <c r="K68" s="119" t="s">
        <v>820</v>
      </c>
      <c r="L68" s="233"/>
      <c r="M68" s="164"/>
      <c r="N68" s="119"/>
      <c r="O68" s="119"/>
      <c r="P68" s="119"/>
      <c r="Q68" s="119"/>
      <c r="R68" s="119"/>
      <c r="S68" s="119"/>
      <c r="T68" s="119"/>
      <c r="U68" s="119"/>
    </row>
    <row r="69" spans="1:21" ht="17.25">
      <c r="A69" s="249" t="s">
        <v>1962</v>
      </c>
      <c r="B69" s="119" t="s">
        <v>1961</v>
      </c>
      <c r="C69" s="119"/>
      <c r="D69" s="119" t="s">
        <v>1956</v>
      </c>
      <c r="E69" s="134">
        <v>7310</v>
      </c>
      <c r="F69" s="133">
        <f>Tabla7[[#This Row],[EXISTENCIA]]*Tabla7[[#This Row],[COSTEO UNIDAD]]</f>
        <v>14620</v>
      </c>
      <c r="G69" s="244">
        <f>Tabla7[[#This Row],[INICIAL]]-Tabla7[[#This Row],[SALIDA1]]</f>
        <v>2</v>
      </c>
      <c r="H69" s="164">
        <v>46218</v>
      </c>
      <c r="I69" s="157">
        <v>2</v>
      </c>
      <c r="J69" s="164">
        <v>46171</v>
      </c>
      <c r="K69" s="119" t="s">
        <v>1198</v>
      </c>
      <c r="L69" s="233"/>
      <c r="M69" s="164"/>
      <c r="N69" s="119"/>
      <c r="O69" s="119"/>
      <c r="P69" s="119"/>
      <c r="Q69" s="119"/>
      <c r="R69" s="119"/>
      <c r="S69" s="119"/>
      <c r="T69" s="119"/>
      <c r="U69" s="119"/>
    </row>
    <row r="70" spans="1:21" ht="17.25">
      <c r="A70" s="249" t="s">
        <v>1962</v>
      </c>
      <c r="B70" s="119" t="s">
        <v>1961</v>
      </c>
      <c r="C70" s="119"/>
      <c r="D70" s="247" t="s">
        <v>1956</v>
      </c>
      <c r="E70" s="134">
        <v>7310</v>
      </c>
      <c r="F70" s="133">
        <f>Tabla7[[#This Row],[EXISTENCIA]]*Tabla7[[#This Row],[COSTEO UNIDAD]]</f>
        <v>58480</v>
      </c>
      <c r="G70" s="244">
        <f>Tabla7[[#This Row],[INICIAL]]-Tabla7[[#This Row],[SALIDA1]]</f>
        <v>8</v>
      </c>
      <c r="H70" s="164">
        <v>46218</v>
      </c>
      <c r="I70" s="157">
        <v>8</v>
      </c>
      <c r="J70" s="227">
        <v>46171</v>
      </c>
      <c r="K70" s="247" t="s">
        <v>1198</v>
      </c>
      <c r="L70" s="233"/>
      <c r="M70" s="164"/>
      <c r="N70" s="119"/>
      <c r="O70" s="119"/>
      <c r="P70" s="119"/>
      <c r="Q70" s="119"/>
      <c r="R70" s="119"/>
      <c r="S70" s="119"/>
      <c r="T70" s="119"/>
      <c r="U70" s="119"/>
    </row>
    <row r="71" spans="1:21" ht="17.25">
      <c r="A71" s="249" t="s">
        <v>2091</v>
      </c>
      <c r="B71" s="119" t="s">
        <v>1961</v>
      </c>
      <c r="C71" s="119"/>
      <c r="D71" s="119" t="s">
        <v>1956</v>
      </c>
      <c r="E71" s="134">
        <v>2704</v>
      </c>
      <c r="F71" s="133">
        <f>Tabla7[[#This Row],[EXISTENCIA]]*Tabla7[[#This Row],[COSTEO UNIDAD]]</f>
        <v>6760</v>
      </c>
      <c r="G71" s="244">
        <f>Tabla7[[#This Row],[INICIAL]]-Tabla7[[#This Row],[SALIDA1]]</f>
        <v>2.5</v>
      </c>
      <c r="H71" s="164">
        <v>46218</v>
      </c>
      <c r="I71" s="157">
        <v>2.5</v>
      </c>
      <c r="J71" s="164">
        <v>46171</v>
      </c>
      <c r="K71" s="119" t="s">
        <v>2092</v>
      </c>
      <c r="L71" s="233"/>
      <c r="M71" s="164"/>
      <c r="N71" s="119"/>
      <c r="O71" s="119"/>
      <c r="P71" s="119"/>
      <c r="Q71" s="119"/>
      <c r="R71" s="119"/>
      <c r="S71" s="119"/>
      <c r="T71" s="119"/>
      <c r="U71" s="119"/>
    </row>
    <row r="72" spans="1:21" ht="17.25">
      <c r="A72" s="249" t="s">
        <v>2091</v>
      </c>
      <c r="B72" s="119" t="s">
        <v>1961</v>
      </c>
      <c r="C72" s="119"/>
      <c r="D72" s="247" t="s">
        <v>1956</v>
      </c>
      <c r="E72" s="134">
        <v>2704</v>
      </c>
      <c r="F72" s="133">
        <f>Tabla7[[#This Row],[EXISTENCIA]]*Tabla7[[#This Row],[COSTEO UNIDAD]]</f>
        <v>10816</v>
      </c>
      <c r="G72" s="244">
        <f>Tabla7[[#This Row],[INICIAL]]-Tabla7[[#This Row],[SALIDA1]]</f>
        <v>4</v>
      </c>
      <c r="H72" s="164">
        <v>46218</v>
      </c>
      <c r="I72" s="157">
        <v>4</v>
      </c>
      <c r="J72" s="227">
        <v>46171</v>
      </c>
      <c r="K72" s="247" t="s">
        <v>2092</v>
      </c>
      <c r="L72" s="233"/>
      <c r="M72" s="164"/>
      <c r="N72" s="119"/>
      <c r="O72" s="119"/>
      <c r="P72" s="119"/>
      <c r="Q72" s="119"/>
      <c r="R72" s="119"/>
      <c r="S72" s="119"/>
      <c r="T72" s="119"/>
      <c r="U72" s="119"/>
    </row>
    <row r="73" spans="1:21" ht="17.25">
      <c r="A73" s="249" t="s">
        <v>2091</v>
      </c>
      <c r="B73" s="119" t="s">
        <v>1961</v>
      </c>
      <c r="C73" s="119"/>
      <c r="D73" s="119" t="s">
        <v>1956</v>
      </c>
      <c r="E73" s="134">
        <v>2704</v>
      </c>
      <c r="F73" s="133">
        <f>Tabla7[[#This Row],[EXISTENCIA]]*Tabla7[[#This Row],[COSTEO UNIDAD]]</f>
        <v>4056</v>
      </c>
      <c r="G73" s="244">
        <f>Tabla7[[#This Row],[INICIAL]]-Tabla7[[#This Row],[SALIDA1]]</f>
        <v>1.5</v>
      </c>
      <c r="H73" s="164">
        <v>46218</v>
      </c>
      <c r="I73" s="157">
        <v>1.5</v>
      </c>
      <c r="J73" s="164">
        <v>46171</v>
      </c>
      <c r="K73" s="119" t="s">
        <v>2092</v>
      </c>
      <c r="L73" s="233"/>
      <c r="M73" s="164"/>
      <c r="N73" s="119"/>
      <c r="O73" s="119"/>
      <c r="P73" s="119"/>
      <c r="Q73" s="119"/>
      <c r="R73" s="119"/>
      <c r="S73" s="119"/>
      <c r="T73" s="119"/>
      <c r="U73" s="119"/>
    </row>
    <row r="74" spans="1:21" ht="17.25">
      <c r="A74" s="249" t="s">
        <v>2093</v>
      </c>
      <c r="B74" s="119" t="s">
        <v>1961</v>
      </c>
      <c r="C74" s="119"/>
      <c r="D74" s="247" t="s">
        <v>1956</v>
      </c>
      <c r="E74" s="134">
        <v>10000</v>
      </c>
      <c r="F74" s="133">
        <f>Tabla7[[#This Row],[EXISTENCIA]]*Tabla7[[#This Row],[COSTEO UNIDAD]]</f>
        <v>22000</v>
      </c>
      <c r="G74" s="244">
        <f>Tabla7[[#This Row],[INICIAL]]-Tabla7[[#This Row],[SALIDA1]]</f>
        <v>2.2000000000000002</v>
      </c>
      <c r="H74" s="164">
        <v>46218</v>
      </c>
      <c r="I74" s="157">
        <v>2.2000000000000002</v>
      </c>
      <c r="J74" s="227">
        <v>46167</v>
      </c>
      <c r="K74" s="247" t="s">
        <v>2094</v>
      </c>
      <c r="L74" s="233"/>
      <c r="M74" s="164"/>
      <c r="N74" s="119"/>
      <c r="O74" s="119"/>
      <c r="P74" s="119"/>
      <c r="Q74" s="119"/>
      <c r="R74" s="119"/>
      <c r="S74" s="119"/>
      <c r="T74" s="119"/>
      <c r="U74" s="119"/>
    </row>
    <row r="75" spans="1:21" ht="17.25">
      <c r="A75" s="249" t="s">
        <v>2095</v>
      </c>
      <c r="B75" s="119" t="s">
        <v>2096</v>
      </c>
      <c r="C75" s="119"/>
      <c r="D75" s="119" t="s">
        <v>1956</v>
      </c>
      <c r="E75" s="134">
        <f>79090*0.8</f>
        <v>63272</v>
      </c>
      <c r="F75" s="133">
        <f>Tabla7[[#This Row],[EXISTENCIA]]*Tabla7[[#This Row],[COSTEO UNIDAD]]</f>
        <v>0</v>
      </c>
      <c r="G75" s="244">
        <f>Tabla7[[#This Row],[INICIAL]]-Tabla7[[#This Row],[SALIDA1]]</f>
        <v>0</v>
      </c>
      <c r="H75" s="164">
        <v>46218</v>
      </c>
      <c r="I75" s="157">
        <v>0.5</v>
      </c>
      <c r="J75" s="164">
        <v>46171</v>
      </c>
      <c r="K75" s="119" t="s">
        <v>1379</v>
      </c>
      <c r="L75" s="233"/>
      <c r="M75" s="164">
        <v>46194</v>
      </c>
      <c r="N75" s="119">
        <v>0.5</v>
      </c>
      <c r="O75" s="119" t="s">
        <v>2027</v>
      </c>
      <c r="P75" s="119"/>
      <c r="Q75" s="119"/>
      <c r="R75" s="119"/>
      <c r="S75" s="119"/>
      <c r="T75" s="119"/>
      <c r="U75" s="119"/>
    </row>
    <row r="76" spans="1:21" customFormat="1" ht="17.25">
      <c r="A76" s="249" t="s">
        <v>2097</v>
      </c>
      <c r="B76" s="119"/>
      <c r="C76" s="119"/>
      <c r="D76" s="119" t="s">
        <v>791</v>
      </c>
      <c r="E76" s="159"/>
      <c r="F76" s="135">
        <f>Tabla7[[#This Row],[EXISTENCIA]]*Tabla7[[#This Row],[COSTEO UNIDAD]]</f>
        <v>0</v>
      </c>
      <c r="G76" s="244">
        <f>Tabla7[[#This Row],[INICIAL]]-Tabla7[[#This Row],[SALIDA1]]</f>
        <v>3</v>
      </c>
      <c r="H76" s="130">
        <v>46148</v>
      </c>
      <c r="I76" s="157">
        <v>3</v>
      </c>
      <c r="J76" s="164">
        <v>46148</v>
      </c>
      <c r="K76" s="119"/>
      <c r="L76" s="233"/>
      <c r="M76" s="164"/>
      <c r="N76" s="119"/>
      <c r="O76" s="119"/>
      <c r="P76" s="119"/>
      <c r="Q76" s="119"/>
      <c r="R76" s="119"/>
      <c r="S76" s="119"/>
      <c r="T76" s="119"/>
      <c r="U76" s="119"/>
    </row>
    <row r="77" spans="1:21" ht="17.25">
      <c r="A77" s="249"/>
      <c r="B77" s="119"/>
      <c r="C77" s="119"/>
      <c r="D77" s="119"/>
      <c r="E77" s="134"/>
      <c r="F77" s="134">
        <f>Tabla7[[#This Row],[EXISTENCIA]]*Tabla7[[#This Row],[COSTEO UNIDAD]]</f>
        <v>0</v>
      </c>
      <c r="G77" s="244">
        <f>Tabla7[[#This Row],[INICIAL]]-Tabla7[[#This Row],[SALIDA1]]</f>
        <v>0</v>
      </c>
      <c r="H77" s="164"/>
      <c r="I77" s="157"/>
      <c r="J77" s="164"/>
      <c r="K77" s="119"/>
      <c r="L77" s="233"/>
      <c r="M77" s="164"/>
      <c r="N77" s="119"/>
      <c r="O77" s="119"/>
      <c r="P77" s="119"/>
      <c r="Q77" s="119"/>
      <c r="R77" s="119"/>
      <c r="S77" s="119"/>
      <c r="T77" s="119"/>
      <c r="U77" s="119"/>
    </row>
  </sheetData>
  <conditionalFormatting sqref="A58:A77">
    <cfRule type="duplicateValues" dxfId="44" priority="336"/>
  </conditionalFormatting>
  <dataValidations count="3">
    <dataValidation type="list" allowBlank="1" sqref="A2:A47 A78:A987 A75 A77" xr:uid="{DC8B77BF-8093-4CC9-A0ED-18C2A219444F}">
      <formula1>INDIRECT("BD[ELEMENTO]")</formula1>
    </dataValidation>
    <dataValidation type="list" allowBlank="1" showInputMessage="1" showErrorMessage="1" sqref="A48:A74 A76" xr:uid="{73702291-7FC7-4DFB-916E-FDE613FFFE8B}">
      <formula1>INDIRECT("BD[ELEMENTO]")</formula1>
    </dataValidation>
    <dataValidation type="list" allowBlank="1" showInputMessage="1" showErrorMessage="1" sqref="U2:U77 R2:R77 O2:O77" xr:uid="{63CDD1F1-70D7-461F-B4CA-F6AECDB481C9}">
      <formula1>INDIRECT("CC[CONCATENADO]")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EA3FB-85EB-47EB-A8D1-82D02257A64B}">
  <sheetPr codeName="shBD">
    <tabColor theme="2" tint="-0.89999084444715716"/>
  </sheetPr>
  <dimension ref="A1:E952"/>
  <sheetViews>
    <sheetView zoomScale="130" zoomScaleNormal="130" workbookViewId="0">
      <pane ySplit="1" topLeftCell="A778" activePane="bottomLeft" state="frozen"/>
      <selection pane="bottomLeft" activeCell="A955" sqref="A955"/>
    </sheetView>
  </sheetViews>
  <sheetFormatPr defaultColWidth="11.42578125" defaultRowHeight="15"/>
  <cols>
    <col min="1" max="1" width="69.28515625" customWidth="1"/>
    <col min="5" max="6" width="21.42578125" customWidth="1"/>
  </cols>
  <sheetData>
    <row r="1" spans="1:5">
      <c r="A1" s="139" t="s">
        <v>2</v>
      </c>
      <c r="B1" s="140" t="s">
        <v>4</v>
      </c>
      <c r="C1" s="140" t="s">
        <v>665</v>
      </c>
      <c r="D1" s="140" t="s">
        <v>2098</v>
      </c>
      <c r="E1" s="140" t="s">
        <v>2099</v>
      </c>
    </row>
    <row r="2" spans="1:5" hidden="1">
      <c r="A2" s="1" t="s">
        <v>790</v>
      </c>
      <c r="B2" t="s">
        <v>13</v>
      </c>
      <c r="D2" t="s">
        <v>791</v>
      </c>
      <c r="E2" s="170" cm="1">
        <f t="array" ref="E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4300</v>
      </c>
    </row>
    <row r="3" spans="1:5" hidden="1">
      <c r="A3" t="s">
        <v>793</v>
      </c>
      <c r="B3" t="s">
        <v>13</v>
      </c>
      <c r="D3" t="s">
        <v>791</v>
      </c>
      <c r="E3" s="170" cm="1">
        <f t="array" ref="E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4300</v>
      </c>
    </row>
    <row r="4" spans="1:5" hidden="1">
      <c r="A4" t="s">
        <v>794</v>
      </c>
      <c r="B4" t="s">
        <v>13</v>
      </c>
      <c r="D4" t="s">
        <v>791</v>
      </c>
      <c r="E4" s="170" cm="1">
        <f t="array" ref="E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4750</v>
      </c>
    </row>
    <row r="5" spans="1:5" hidden="1">
      <c r="A5" t="s">
        <v>796</v>
      </c>
      <c r="B5" t="s">
        <v>13</v>
      </c>
      <c r="D5" t="s">
        <v>791</v>
      </c>
      <c r="E5" s="170" cm="1">
        <f t="array" ref="E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1800</v>
      </c>
    </row>
    <row r="6" spans="1:5" hidden="1">
      <c r="A6" t="s">
        <v>798</v>
      </c>
      <c r="B6" t="s">
        <v>13</v>
      </c>
      <c r="D6" t="s">
        <v>791</v>
      </c>
      <c r="E6" s="170" cm="1">
        <f t="array" ref="E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1800</v>
      </c>
    </row>
    <row r="7" spans="1:5" hidden="1">
      <c r="A7" t="s">
        <v>799</v>
      </c>
      <c r="B7" t="s">
        <v>13</v>
      </c>
      <c r="D7" t="s">
        <v>791</v>
      </c>
      <c r="E7" s="170" cm="1">
        <f t="array" ref="E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12100</v>
      </c>
    </row>
    <row r="8" spans="1:5" hidden="1">
      <c r="A8" t="s">
        <v>801</v>
      </c>
      <c r="B8" t="s">
        <v>13</v>
      </c>
      <c r="D8" t="s">
        <v>791</v>
      </c>
      <c r="E8" s="170" cm="1">
        <f t="array" ref="E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2380</v>
      </c>
    </row>
    <row r="9" spans="1:5" hidden="1">
      <c r="A9" t="s">
        <v>803</v>
      </c>
      <c r="B9" t="s">
        <v>13</v>
      </c>
      <c r="D9" t="s">
        <v>791</v>
      </c>
      <c r="E9" s="170" cm="1">
        <f t="array" ref="E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3420</v>
      </c>
    </row>
    <row r="10" spans="1:5" hidden="1">
      <c r="A10" t="s">
        <v>805</v>
      </c>
      <c r="B10" t="s">
        <v>13</v>
      </c>
      <c r="D10" t="s">
        <v>791</v>
      </c>
      <c r="E10" s="170" cm="1">
        <f t="array" ref="E1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4300</v>
      </c>
    </row>
    <row r="11" spans="1:5" hidden="1">
      <c r="A11" t="s">
        <v>806</v>
      </c>
      <c r="B11" t="s">
        <v>13</v>
      </c>
      <c r="D11" t="s">
        <v>791</v>
      </c>
      <c r="E11" s="170" cm="1">
        <f t="array" ref="E1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3420</v>
      </c>
    </row>
    <row r="12" spans="1:5" hidden="1">
      <c r="A12" t="s">
        <v>807</v>
      </c>
      <c r="B12" t="s">
        <v>13</v>
      </c>
      <c r="D12" t="s">
        <v>791</v>
      </c>
      <c r="E12" s="170" cm="1">
        <f t="array" ref="E1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3420</v>
      </c>
    </row>
    <row r="13" spans="1:5" hidden="1">
      <c r="A13" t="s">
        <v>808</v>
      </c>
      <c r="B13" t="s">
        <v>13</v>
      </c>
      <c r="D13" t="s">
        <v>791</v>
      </c>
      <c r="E13" s="170" cm="1">
        <f t="array" ref="E1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1742.5</v>
      </c>
    </row>
    <row r="14" spans="1:5" hidden="1">
      <c r="A14" t="s">
        <v>810</v>
      </c>
      <c r="B14" t="s">
        <v>13</v>
      </c>
      <c r="D14" t="s">
        <v>791</v>
      </c>
      <c r="E14" s="170" cm="1">
        <f t="array" ref="E1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4300</v>
      </c>
    </row>
    <row r="15" spans="1:5" hidden="1">
      <c r="A15" t="s">
        <v>811</v>
      </c>
      <c r="B15" t="s">
        <v>13</v>
      </c>
      <c r="D15" t="s">
        <v>791</v>
      </c>
      <c r="E15" s="170" cm="1">
        <f t="array" ref="E1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1800</v>
      </c>
    </row>
    <row r="16" spans="1:5" hidden="1">
      <c r="A16" t="s">
        <v>812</v>
      </c>
      <c r="B16" t="s">
        <v>13</v>
      </c>
      <c r="D16" t="s">
        <v>791</v>
      </c>
      <c r="E16" s="170" cm="1">
        <f t="array" ref="E1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1800</v>
      </c>
    </row>
    <row r="17" spans="1:5" hidden="1">
      <c r="A17" t="s">
        <v>813</v>
      </c>
      <c r="B17" t="s">
        <v>13</v>
      </c>
      <c r="D17" t="s">
        <v>791</v>
      </c>
      <c r="E17" s="170" cm="1">
        <f t="array" ref="E1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2167.5</v>
      </c>
    </row>
    <row r="18" spans="1:5" hidden="1">
      <c r="A18" t="s">
        <v>815</v>
      </c>
      <c r="B18" t="s">
        <v>13</v>
      </c>
      <c r="D18" t="s">
        <v>791</v>
      </c>
      <c r="E18" s="170" cm="1">
        <f t="array" ref="E1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2167</v>
      </c>
    </row>
    <row r="19" spans="1:5" hidden="1">
      <c r="A19" t="s">
        <v>816</v>
      </c>
      <c r="B19" t="s">
        <v>13</v>
      </c>
      <c r="D19" t="s">
        <v>791</v>
      </c>
      <c r="E19" s="170" cm="1">
        <f t="array" ref="E1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11600</v>
      </c>
    </row>
    <row r="20" spans="1:5" hidden="1">
      <c r="A20" t="s">
        <v>818</v>
      </c>
      <c r="B20" t="s">
        <v>13</v>
      </c>
      <c r="C20" t="s">
        <v>819</v>
      </c>
      <c r="D20" t="s">
        <v>791</v>
      </c>
      <c r="E20" s="170" cm="1">
        <f t="array" ref="E2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6800</v>
      </c>
    </row>
    <row r="21" spans="1:5" hidden="1">
      <c r="A21" t="s">
        <v>821</v>
      </c>
      <c r="B21" t="s">
        <v>13</v>
      </c>
      <c r="C21" t="s">
        <v>819</v>
      </c>
      <c r="D21" t="s">
        <v>791</v>
      </c>
      <c r="E21" s="170" cm="1">
        <f t="array" ref="E2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3744</v>
      </c>
    </row>
    <row r="22" spans="1:5" hidden="1">
      <c r="A22" t="s">
        <v>823</v>
      </c>
      <c r="B22" t="s">
        <v>123</v>
      </c>
      <c r="D22" t="s">
        <v>791</v>
      </c>
      <c r="E22" s="170" cm="1">
        <f t="array" ref="E2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24080</v>
      </c>
    </row>
    <row r="23" spans="1:5" hidden="1">
      <c r="A23" t="s">
        <v>825</v>
      </c>
      <c r="B23" t="s">
        <v>123</v>
      </c>
      <c r="D23" t="s">
        <v>791</v>
      </c>
      <c r="E23" s="170" cm="1">
        <f t="array" ref="E2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47000</v>
      </c>
    </row>
    <row r="24" spans="1:5" hidden="1">
      <c r="A24" t="s">
        <v>827</v>
      </c>
      <c r="B24" t="s">
        <v>123</v>
      </c>
      <c r="D24" t="s">
        <v>791</v>
      </c>
      <c r="E24" s="170" cm="1">
        <f t="array" ref="E2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90800</v>
      </c>
    </row>
    <row r="25" spans="1:5" hidden="1">
      <c r="A25" t="s">
        <v>829</v>
      </c>
      <c r="B25" t="s">
        <v>830</v>
      </c>
      <c r="C25" t="s">
        <v>831</v>
      </c>
      <c r="D25" t="s">
        <v>791</v>
      </c>
      <c r="E25" s="170" cm="1">
        <f t="array" ref="E2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4872</v>
      </c>
    </row>
    <row r="26" spans="1:5" hidden="1">
      <c r="A26" t="s">
        <v>833</v>
      </c>
      <c r="B26" t="s">
        <v>830</v>
      </c>
      <c r="C26" t="s">
        <v>831</v>
      </c>
      <c r="D26" t="s">
        <v>791</v>
      </c>
      <c r="E26" s="170" cm="1">
        <f t="array" ref="E2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3600</v>
      </c>
    </row>
    <row r="27" spans="1:5" hidden="1">
      <c r="A27" t="s">
        <v>835</v>
      </c>
      <c r="B27" t="s">
        <v>830</v>
      </c>
      <c r="C27" t="s">
        <v>831</v>
      </c>
      <c r="D27" t="s">
        <v>791</v>
      </c>
      <c r="E27" s="170" cm="1">
        <f t="array" ref="E2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5200</v>
      </c>
    </row>
    <row r="28" spans="1:5" hidden="1">
      <c r="A28" t="s">
        <v>836</v>
      </c>
      <c r="B28" t="s">
        <v>123</v>
      </c>
      <c r="D28" t="s">
        <v>791</v>
      </c>
      <c r="E28" s="170" cm="1">
        <f t="array" ref="E2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47600</v>
      </c>
    </row>
    <row r="29" spans="1:5" hidden="1">
      <c r="A29" t="s">
        <v>838</v>
      </c>
      <c r="B29" t="s">
        <v>123</v>
      </c>
      <c r="D29" t="s">
        <v>791</v>
      </c>
      <c r="E29" s="170" cm="1">
        <f t="array" ref="E2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115949.6</v>
      </c>
    </row>
    <row r="30" spans="1:5" hidden="1">
      <c r="A30" t="s">
        <v>839</v>
      </c>
      <c r="B30" t="s">
        <v>830</v>
      </c>
      <c r="C30" t="s">
        <v>831</v>
      </c>
      <c r="D30" t="s">
        <v>791</v>
      </c>
      <c r="E30" s="170" cm="1">
        <f t="array" ref="E3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14552</v>
      </c>
    </row>
    <row r="31" spans="1:5" hidden="1">
      <c r="A31" t="s">
        <v>841</v>
      </c>
      <c r="B31" t="s">
        <v>830</v>
      </c>
      <c r="C31" t="s">
        <v>831</v>
      </c>
      <c r="D31" t="s">
        <v>791</v>
      </c>
      <c r="E31" s="170" cm="1">
        <f t="array" ref="E3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22800</v>
      </c>
    </row>
    <row r="32" spans="1:5" hidden="1">
      <c r="A32" t="s">
        <v>843</v>
      </c>
      <c r="B32" t="s">
        <v>830</v>
      </c>
      <c r="C32" t="s">
        <v>831</v>
      </c>
      <c r="D32" t="s">
        <v>791</v>
      </c>
      <c r="E32" s="170" cm="1">
        <f t="array" ref="E3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19800</v>
      </c>
    </row>
    <row r="33" spans="1:5" hidden="1">
      <c r="A33" t="s">
        <v>844</v>
      </c>
      <c r="B33" t="s">
        <v>830</v>
      </c>
      <c r="C33" t="s">
        <v>831</v>
      </c>
      <c r="D33" t="s">
        <v>791</v>
      </c>
      <c r="E33" s="170" cm="1">
        <f t="array" ref="E3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20080</v>
      </c>
    </row>
    <row r="34" spans="1:5" hidden="1">
      <c r="A34" t="s">
        <v>846</v>
      </c>
      <c r="B34" t="s">
        <v>123</v>
      </c>
      <c r="D34" t="s">
        <v>791</v>
      </c>
      <c r="E34" s="170" cm="1">
        <f t="array" ref="E3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152000</v>
      </c>
    </row>
    <row r="35" spans="1:5" hidden="1">
      <c r="A35" t="s">
        <v>847</v>
      </c>
      <c r="B35" t="s">
        <v>830</v>
      </c>
      <c r="C35" t="s">
        <v>831</v>
      </c>
      <c r="D35" t="s">
        <v>791</v>
      </c>
      <c r="E35" s="170" cm="1">
        <f t="array" ref="E3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3600</v>
      </c>
    </row>
    <row r="36" spans="1:5" hidden="1">
      <c r="A36" t="s">
        <v>848</v>
      </c>
      <c r="B36" t="s">
        <v>830</v>
      </c>
      <c r="C36" t="s">
        <v>831</v>
      </c>
      <c r="D36" t="s">
        <v>791</v>
      </c>
      <c r="E36" s="170" cm="1">
        <f t="array" ref="E3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14480</v>
      </c>
    </row>
    <row r="37" spans="1:5" hidden="1">
      <c r="A37" t="s">
        <v>849</v>
      </c>
      <c r="B37" t="s">
        <v>123</v>
      </c>
      <c r="D37" t="s">
        <v>791</v>
      </c>
      <c r="E37" s="170" cm="1">
        <f t="array" ref="E3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20000</v>
      </c>
    </row>
    <row r="38" spans="1:5" hidden="1">
      <c r="A38" t="s">
        <v>850</v>
      </c>
      <c r="B38" t="s">
        <v>123</v>
      </c>
      <c r="D38" t="s">
        <v>791</v>
      </c>
      <c r="E38" s="170" cm="1">
        <f t="array" ref="E3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50300</v>
      </c>
    </row>
    <row r="39" spans="1:5" hidden="1">
      <c r="A39" t="s">
        <v>852</v>
      </c>
      <c r="B39" t="s">
        <v>123</v>
      </c>
      <c r="D39" t="s">
        <v>791</v>
      </c>
      <c r="E39" s="170" cm="1">
        <f t="array" ref="E3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105000</v>
      </c>
    </row>
    <row r="40" spans="1:5" hidden="1">
      <c r="A40" t="s">
        <v>854</v>
      </c>
      <c r="B40" t="s">
        <v>13</v>
      </c>
      <c r="D40" t="s">
        <v>791</v>
      </c>
      <c r="E40" s="170" cm="1">
        <f t="array" ref="E4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22600</v>
      </c>
    </row>
    <row r="41" spans="1:5" hidden="1">
      <c r="A41" t="s">
        <v>855</v>
      </c>
      <c r="B41" t="s">
        <v>830</v>
      </c>
      <c r="C41" t="s">
        <v>831</v>
      </c>
      <c r="D41" t="s">
        <v>791</v>
      </c>
      <c r="E41" s="170" cm="1">
        <f t="array" ref="E4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4400</v>
      </c>
    </row>
    <row r="42" spans="1:5" hidden="1">
      <c r="A42" t="s">
        <v>857</v>
      </c>
      <c r="B42" t="s">
        <v>830</v>
      </c>
      <c r="C42" t="s">
        <v>831</v>
      </c>
      <c r="D42" t="s">
        <v>791</v>
      </c>
      <c r="E42" s="170" cm="1">
        <f t="array" ref="E4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5200</v>
      </c>
    </row>
    <row r="43" spans="1:5" hidden="1">
      <c r="A43" t="s">
        <v>858</v>
      </c>
      <c r="B43" t="s">
        <v>830</v>
      </c>
      <c r="C43" t="s">
        <v>831</v>
      </c>
      <c r="D43" t="s">
        <v>791</v>
      </c>
      <c r="E43" s="170" cm="1">
        <f t="array" ref="E4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3200</v>
      </c>
    </row>
    <row r="44" spans="1:5" hidden="1">
      <c r="A44" t="s">
        <v>859</v>
      </c>
      <c r="B44" t="s">
        <v>172</v>
      </c>
      <c r="C44" t="s">
        <v>860</v>
      </c>
      <c r="D44" t="s">
        <v>791</v>
      </c>
      <c r="E44" s="170" cm="1">
        <f t="array" ref="E4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5" spans="1:5" hidden="1">
      <c r="A45" t="s">
        <v>862</v>
      </c>
      <c r="B45" t="s">
        <v>172</v>
      </c>
      <c r="C45" t="s">
        <v>860</v>
      </c>
      <c r="D45" t="s">
        <v>791</v>
      </c>
      <c r="E45" s="170" cm="1">
        <f t="array" ref="E4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37032</v>
      </c>
    </row>
    <row r="46" spans="1:5" hidden="1">
      <c r="A46" t="s">
        <v>864</v>
      </c>
      <c r="B46" t="s">
        <v>830</v>
      </c>
      <c r="C46" t="s">
        <v>831</v>
      </c>
      <c r="D46" t="s">
        <v>791</v>
      </c>
      <c r="E46" s="170" cm="1">
        <f t="array" ref="E4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18832</v>
      </c>
    </row>
    <row r="47" spans="1:5" hidden="1">
      <c r="A47" t="s">
        <v>866</v>
      </c>
      <c r="B47" t="s">
        <v>830</v>
      </c>
      <c r="C47" t="s">
        <v>831</v>
      </c>
      <c r="D47" t="s">
        <v>791</v>
      </c>
      <c r="E47" s="170" cm="1">
        <f t="array" ref="E4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2216</v>
      </c>
    </row>
    <row r="48" spans="1:5" hidden="1">
      <c r="A48" t="s">
        <v>867</v>
      </c>
      <c r="B48" t="s">
        <v>830</v>
      </c>
      <c r="C48" t="s">
        <v>831</v>
      </c>
      <c r="D48" t="s">
        <v>791</v>
      </c>
      <c r="E48" s="170" cm="1">
        <f t="array" ref="E4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43256</v>
      </c>
    </row>
    <row r="49" spans="1:5" hidden="1">
      <c r="A49" t="s">
        <v>869</v>
      </c>
      <c r="B49" t="s">
        <v>830</v>
      </c>
      <c r="C49" t="s">
        <v>831</v>
      </c>
      <c r="D49" t="s">
        <v>791</v>
      </c>
      <c r="E49" s="170" cm="1">
        <f t="array" ref="E4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18832</v>
      </c>
    </row>
    <row r="50" spans="1:5" hidden="1">
      <c r="A50" t="s">
        <v>871</v>
      </c>
      <c r="B50" t="s">
        <v>830</v>
      </c>
      <c r="C50" t="s">
        <v>831</v>
      </c>
      <c r="D50" t="s">
        <v>791</v>
      </c>
      <c r="E50" s="170" cm="1">
        <f t="array" ref="E5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43256</v>
      </c>
    </row>
    <row r="51" spans="1:5" hidden="1">
      <c r="A51" t="s">
        <v>872</v>
      </c>
      <c r="B51" t="s">
        <v>32</v>
      </c>
      <c r="C51" t="s">
        <v>860</v>
      </c>
      <c r="D51" t="s">
        <v>791</v>
      </c>
      <c r="E51" s="170" cm="1">
        <f t="array" ref="E5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1194.72</v>
      </c>
    </row>
    <row r="52" spans="1:5" hidden="1">
      <c r="A52" t="s">
        <v>874</v>
      </c>
      <c r="B52" t="s">
        <v>32</v>
      </c>
      <c r="C52" t="s">
        <v>860</v>
      </c>
      <c r="D52" t="s">
        <v>791</v>
      </c>
      <c r="E52" s="170" cm="1">
        <f t="array" ref="E5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298.08</v>
      </c>
    </row>
    <row r="53" spans="1:5" hidden="1">
      <c r="A53" t="s">
        <v>876</v>
      </c>
      <c r="B53" t="s">
        <v>32</v>
      </c>
      <c r="C53" t="s">
        <v>860</v>
      </c>
      <c r="D53" t="s">
        <v>791</v>
      </c>
      <c r="E53" s="170" cm="1">
        <f t="array" ref="E5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3302.8799999999997</v>
      </c>
    </row>
    <row r="54" spans="1:5" hidden="1">
      <c r="A54" t="s">
        <v>878</v>
      </c>
      <c r="B54" t="s">
        <v>32</v>
      </c>
      <c r="C54" t="s">
        <v>860</v>
      </c>
      <c r="D54" t="s">
        <v>791</v>
      </c>
      <c r="E54" s="170" cm="1">
        <f t="array" ref="E5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1953.12</v>
      </c>
    </row>
    <row r="55" spans="1:5" hidden="1">
      <c r="A55" t="s">
        <v>879</v>
      </c>
      <c r="B55" t="s">
        <v>32</v>
      </c>
      <c r="C55" t="s">
        <v>860</v>
      </c>
      <c r="D55" t="s">
        <v>791</v>
      </c>
      <c r="E55" s="170" cm="1">
        <f t="array" ref="E5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5880</v>
      </c>
    </row>
    <row r="56" spans="1:5" hidden="1">
      <c r="A56" t="s">
        <v>880</v>
      </c>
      <c r="B56" t="s">
        <v>32</v>
      </c>
      <c r="C56" t="s">
        <v>860</v>
      </c>
      <c r="D56" t="s">
        <v>791</v>
      </c>
      <c r="E56" s="170" cm="1">
        <f t="array" ref="E5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10941.119999999999</v>
      </c>
    </row>
    <row r="57" spans="1:5" hidden="1">
      <c r="A57" t="s">
        <v>882</v>
      </c>
      <c r="B57" t="s">
        <v>32</v>
      </c>
      <c r="C57" t="s">
        <v>860</v>
      </c>
      <c r="D57" t="s">
        <v>791</v>
      </c>
      <c r="E57" s="170" cm="1">
        <f t="array" ref="E5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17274.72</v>
      </c>
    </row>
    <row r="58" spans="1:5" hidden="1">
      <c r="A58" t="s">
        <v>884</v>
      </c>
      <c r="B58" t="s">
        <v>32</v>
      </c>
      <c r="C58" t="s">
        <v>860</v>
      </c>
      <c r="D58" t="s">
        <v>791</v>
      </c>
      <c r="E58" s="170" cm="1">
        <f t="array" ref="E5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536.16</v>
      </c>
    </row>
    <row r="59" spans="1:5" hidden="1">
      <c r="A59" t="s">
        <v>885</v>
      </c>
      <c r="B59" t="s">
        <v>32</v>
      </c>
      <c r="C59" t="s">
        <v>860</v>
      </c>
      <c r="D59" t="s">
        <v>791</v>
      </c>
      <c r="E59" s="170" cm="1">
        <f t="array" ref="E5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33114.239999999998</v>
      </c>
    </row>
    <row r="60" spans="1:5" hidden="1">
      <c r="A60" t="s">
        <v>886</v>
      </c>
      <c r="B60" t="s">
        <v>32</v>
      </c>
      <c r="C60" t="s">
        <v>887</v>
      </c>
      <c r="D60" t="s">
        <v>791</v>
      </c>
      <c r="E60" s="170" cm="1">
        <f t="array" ref="E6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1950.72</v>
      </c>
    </row>
    <row r="61" spans="1:5" hidden="1">
      <c r="A61" t="s">
        <v>888</v>
      </c>
      <c r="B61" t="s">
        <v>172</v>
      </c>
      <c r="C61" t="s">
        <v>860</v>
      </c>
      <c r="D61" t="s">
        <v>791</v>
      </c>
      <c r="E61" s="170" cm="1">
        <f t="array" ref="E6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7085</v>
      </c>
    </row>
    <row r="62" spans="1:5" hidden="1">
      <c r="A62" t="s">
        <v>889</v>
      </c>
      <c r="B62" t="s">
        <v>172</v>
      </c>
      <c r="C62" t="s">
        <v>860</v>
      </c>
      <c r="D62" t="s">
        <v>791</v>
      </c>
      <c r="E62" s="170" cm="1">
        <f t="array" ref="E6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29655</v>
      </c>
    </row>
    <row r="63" spans="1:5" hidden="1">
      <c r="A63" t="s">
        <v>891</v>
      </c>
      <c r="B63" t="s">
        <v>830</v>
      </c>
      <c r="C63" t="s">
        <v>831</v>
      </c>
      <c r="D63" t="s">
        <v>791</v>
      </c>
      <c r="E63" s="170" cm="1">
        <f t="array" ref="E6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12592</v>
      </c>
    </row>
    <row r="64" spans="1:5" hidden="1">
      <c r="A64" t="s">
        <v>892</v>
      </c>
      <c r="B64" t="s">
        <v>830</v>
      </c>
      <c r="C64" t="s">
        <v>831</v>
      </c>
      <c r="D64" t="s">
        <v>791</v>
      </c>
      <c r="E64" s="170" cm="1">
        <f t="array" ref="E6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43256</v>
      </c>
    </row>
    <row r="65" spans="1:5" hidden="1">
      <c r="A65" t="s">
        <v>893</v>
      </c>
      <c r="B65" t="s">
        <v>830</v>
      </c>
      <c r="C65" t="s">
        <v>831</v>
      </c>
      <c r="D65" t="s">
        <v>791</v>
      </c>
      <c r="E65" s="170" cm="1">
        <f t="array" ref="E6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3960</v>
      </c>
    </row>
    <row r="66" spans="1:5" hidden="1">
      <c r="A66" t="s">
        <v>894</v>
      </c>
      <c r="B66" t="s">
        <v>830</v>
      </c>
      <c r="C66" t="s">
        <v>831</v>
      </c>
      <c r="D66" t="s">
        <v>791</v>
      </c>
      <c r="E66" s="170" cm="1">
        <f t="array" ref="E6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7" spans="1:5" hidden="1">
      <c r="A67" t="s">
        <v>895</v>
      </c>
      <c r="B67" t="s">
        <v>830</v>
      </c>
      <c r="C67" t="s">
        <v>831</v>
      </c>
      <c r="D67" t="s">
        <v>791</v>
      </c>
      <c r="E67" s="170" cm="1">
        <f t="array" ref="E6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8" spans="1:5" hidden="1">
      <c r="A68" t="s">
        <v>896</v>
      </c>
      <c r="B68" t="s">
        <v>830</v>
      </c>
      <c r="C68" t="s">
        <v>831</v>
      </c>
      <c r="D68" t="s">
        <v>791</v>
      </c>
      <c r="E68" s="170" cm="1">
        <f t="array" ref="E6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12592</v>
      </c>
    </row>
    <row r="69" spans="1:5" hidden="1">
      <c r="A69" t="s">
        <v>897</v>
      </c>
      <c r="B69" t="s">
        <v>830</v>
      </c>
      <c r="C69" t="s">
        <v>831</v>
      </c>
      <c r="D69" t="s">
        <v>791</v>
      </c>
      <c r="E69" s="170" cm="1">
        <f t="array" ref="E6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43256</v>
      </c>
    </row>
    <row r="70" spans="1:5" hidden="1">
      <c r="A70" t="s">
        <v>898</v>
      </c>
      <c r="B70" t="s">
        <v>32</v>
      </c>
      <c r="C70" t="s">
        <v>860</v>
      </c>
      <c r="D70" t="s">
        <v>791</v>
      </c>
      <c r="E70" s="170" cm="1">
        <f t="array" ref="E7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997.92</v>
      </c>
    </row>
    <row r="71" spans="1:5" hidden="1">
      <c r="A71" t="s">
        <v>899</v>
      </c>
      <c r="B71" t="s">
        <v>32</v>
      </c>
      <c r="C71" t="s">
        <v>860</v>
      </c>
      <c r="D71" t="s">
        <v>791</v>
      </c>
      <c r="E71" s="170" cm="1">
        <f t="array" ref="E7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263.52</v>
      </c>
    </row>
    <row r="72" spans="1:5" hidden="1">
      <c r="A72" t="s">
        <v>900</v>
      </c>
      <c r="B72" t="s">
        <v>32</v>
      </c>
      <c r="C72" t="s">
        <v>860</v>
      </c>
      <c r="D72" t="s">
        <v>791</v>
      </c>
      <c r="E72" s="170" cm="1">
        <f t="array" ref="E7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2460.96</v>
      </c>
    </row>
    <row r="73" spans="1:5" hidden="1">
      <c r="A73" t="s">
        <v>901</v>
      </c>
      <c r="B73" t="s">
        <v>32</v>
      </c>
      <c r="C73" t="s">
        <v>860</v>
      </c>
      <c r="D73" t="s">
        <v>791</v>
      </c>
      <c r="E73" s="170" cm="1">
        <f t="array" ref="E7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2100</v>
      </c>
    </row>
    <row r="74" spans="1:5" hidden="1">
      <c r="A74" t="s">
        <v>902</v>
      </c>
      <c r="B74" t="s">
        <v>32</v>
      </c>
      <c r="C74" t="s">
        <v>860</v>
      </c>
      <c r="D74" t="s">
        <v>791</v>
      </c>
      <c r="E74" s="170" cm="1">
        <f t="array" ref="E7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3515.52</v>
      </c>
    </row>
    <row r="75" spans="1:5" hidden="1">
      <c r="A75" t="s">
        <v>903</v>
      </c>
      <c r="B75" t="s">
        <v>32</v>
      </c>
      <c r="C75" t="s">
        <v>860</v>
      </c>
      <c r="D75" t="s">
        <v>791</v>
      </c>
      <c r="E75" s="170" cm="1">
        <f t="array" ref="E7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9140.6399999999976</v>
      </c>
    </row>
    <row r="76" spans="1:5" hidden="1">
      <c r="A76" t="s">
        <v>904</v>
      </c>
      <c r="B76" t="s">
        <v>32</v>
      </c>
      <c r="C76" t="s">
        <v>860</v>
      </c>
      <c r="D76" t="s">
        <v>791</v>
      </c>
      <c r="E76" s="170" cm="1">
        <f t="array" ref="E7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13819.199999999999</v>
      </c>
    </row>
    <row r="77" spans="1:5" hidden="1">
      <c r="A77" t="s">
        <v>905</v>
      </c>
      <c r="B77" t="s">
        <v>32</v>
      </c>
      <c r="C77" t="s">
        <v>860</v>
      </c>
      <c r="D77" t="s">
        <v>791</v>
      </c>
      <c r="E77" s="170" cm="1">
        <f t="array" ref="E7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478.08</v>
      </c>
    </row>
    <row r="78" spans="1:5" hidden="1">
      <c r="A78" t="s">
        <v>906</v>
      </c>
      <c r="B78" t="s">
        <v>32</v>
      </c>
      <c r="C78" t="s">
        <v>860</v>
      </c>
      <c r="D78" t="s">
        <v>791</v>
      </c>
      <c r="E78" s="170" cm="1">
        <f t="array" ref="E7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25420.32</v>
      </c>
    </row>
    <row r="79" spans="1:5" hidden="1">
      <c r="A79" t="s">
        <v>907</v>
      </c>
      <c r="B79" t="s">
        <v>32</v>
      </c>
      <c r="C79" t="s">
        <v>887</v>
      </c>
      <c r="D79" t="s">
        <v>791</v>
      </c>
      <c r="E79" s="170" cm="1">
        <f t="array" ref="E7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23600</v>
      </c>
    </row>
    <row r="80" spans="1:5" hidden="1">
      <c r="A80" t="s">
        <v>909</v>
      </c>
      <c r="B80" t="s">
        <v>32</v>
      </c>
      <c r="C80" t="s">
        <v>887</v>
      </c>
      <c r="D80" t="s">
        <v>791</v>
      </c>
      <c r="E80" s="170" cm="1">
        <f t="array" ref="E8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17200</v>
      </c>
    </row>
    <row r="81" spans="1:5" hidden="1">
      <c r="A81" t="s">
        <v>911</v>
      </c>
      <c r="B81" t="s">
        <v>360</v>
      </c>
      <c r="C81" t="s">
        <v>887</v>
      </c>
      <c r="D81" t="s">
        <v>791</v>
      </c>
      <c r="E81" s="170" cm="1">
        <f t="array" ref="E8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2" spans="1:5" hidden="1">
      <c r="A82" t="s">
        <v>912</v>
      </c>
      <c r="B82" t="s">
        <v>360</v>
      </c>
      <c r="C82" t="s">
        <v>860</v>
      </c>
      <c r="D82" t="s">
        <v>791</v>
      </c>
      <c r="E82" s="170" cm="1">
        <f t="array" ref="E8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3236</v>
      </c>
    </row>
    <row r="83" spans="1:5" hidden="1">
      <c r="A83" t="s">
        <v>913</v>
      </c>
      <c r="B83" t="s">
        <v>360</v>
      </c>
      <c r="C83" t="s">
        <v>860</v>
      </c>
      <c r="D83" t="s">
        <v>791</v>
      </c>
      <c r="E83" s="170" cm="1">
        <f t="array" ref="E8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3170</v>
      </c>
    </row>
    <row r="84" spans="1:5" hidden="1">
      <c r="A84" t="s">
        <v>914</v>
      </c>
      <c r="B84" t="s">
        <v>915</v>
      </c>
      <c r="D84" t="s">
        <v>791</v>
      </c>
      <c r="E84" s="170" cm="1">
        <f t="array" ref="E8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347</v>
      </c>
    </row>
    <row r="85" spans="1:5" hidden="1">
      <c r="A85" t="s">
        <v>918</v>
      </c>
      <c r="B85" t="s">
        <v>919</v>
      </c>
      <c r="D85" t="s">
        <v>791</v>
      </c>
      <c r="E85" s="170" cm="1">
        <f t="array" ref="E8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1011</v>
      </c>
    </row>
    <row r="86" spans="1:5" hidden="1">
      <c r="A86" t="s">
        <v>922</v>
      </c>
      <c r="B86" t="s">
        <v>919</v>
      </c>
      <c r="D86" t="s">
        <v>791</v>
      </c>
      <c r="E86" s="170" cm="1">
        <f t="array" ref="E8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775.1</v>
      </c>
    </row>
    <row r="87" spans="1:5" hidden="1">
      <c r="A87" t="s">
        <v>924</v>
      </c>
      <c r="B87" t="s">
        <v>919</v>
      </c>
      <c r="D87" t="s">
        <v>791</v>
      </c>
      <c r="E87" s="170" cm="1">
        <f t="array" ref="E8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89</v>
      </c>
    </row>
    <row r="88" spans="1:5" hidden="1">
      <c r="A88" t="s">
        <v>926</v>
      </c>
      <c r="B88" t="s">
        <v>919</v>
      </c>
      <c r="D88" t="s">
        <v>791</v>
      </c>
      <c r="E88" s="170" cm="1">
        <f t="array" ref="E8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271</v>
      </c>
    </row>
    <row r="89" spans="1:5" hidden="1">
      <c r="A89" t="s">
        <v>928</v>
      </c>
      <c r="B89" t="s">
        <v>919</v>
      </c>
      <c r="D89" t="s">
        <v>791</v>
      </c>
      <c r="E89" s="170" cm="1">
        <f t="array" ref="E8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221</v>
      </c>
    </row>
    <row r="90" spans="1:5" hidden="1">
      <c r="A90" t="s">
        <v>931</v>
      </c>
      <c r="B90" t="s">
        <v>919</v>
      </c>
      <c r="D90" t="s">
        <v>791</v>
      </c>
      <c r="E90" s="170" cm="1">
        <f t="array" ref="E9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609.79999999999995</v>
      </c>
    </row>
    <row r="91" spans="1:5" hidden="1">
      <c r="A91" t="s">
        <v>932</v>
      </c>
      <c r="B91" t="s">
        <v>915</v>
      </c>
      <c r="D91" t="s">
        <v>791</v>
      </c>
      <c r="E91" s="170" cm="1">
        <f t="array" ref="E9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263</v>
      </c>
    </row>
    <row r="92" spans="1:5" hidden="1">
      <c r="A92" t="s">
        <v>934</v>
      </c>
      <c r="B92" t="s">
        <v>13</v>
      </c>
      <c r="D92" t="s">
        <v>791</v>
      </c>
      <c r="E92" s="170" cm="1">
        <f t="array" ref="E9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93" spans="1:5" hidden="1">
      <c r="A93" t="s">
        <v>935</v>
      </c>
      <c r="B93" t="s">
        <v>13</v>
      </c>
      <c r="D93" t="s">
        <v>791</v>
      </c>
      <c r="E93" s="170" cm="1">
        <f t="array" ref="E9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94" spans="1:5" hidden="1">
      <c r="A94" t="s">
        <v>936</v>
      </c>
      <c r="B94" t="s">
        <v>13</v>
      </c>
      <c r="D94" t="s">
        <v>791</v>
      </c>
      <c r="E94" s="170" cm="1">
        <f t="array" ref="E9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198.31</v>
      </c>
    </row>
    <row r="95" spans="1:5" hidden="1">
      <c r="A95" t="s">
        <v>937</v>
      </c>
      <c r="B95" t="s">
        <v>13</v>
      </c>
      <c r="D95" t="s">
        <v>791</v>
      </c>
      <c r="E95" s="170" cm="1">
        <f t="array" ref="E9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51.34</v>
      </c>
    </row>
    <row r="96" spans="1:5" hidden="1">
      <c r="A96" t="s">
        <v>938</v>
      </c>
      <c r="B96" t="s">
        <v>13</v>
      </c>
      <c r="D96" t="s">
        <v>791</v>
      </c>
      <c r="E96" s="170" cm="1">
        <f t="array" ref="E9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482.63</v>
      </c>
    </row>
    <row r="97" spans="1:5" hidden="1">
      <c r="A97" t="s">
        <v>939</v>
      </c>
      <c r="B97" t="s">
        <v>13</v>
      </c>
      <c r="D97" t="s">
        <v>791</v>
      </c>
      <c r="E97" s="170" cm="1">
        <f t="array" ref="E9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302.60000000000002</v>
      </c>
    </row>
    <row r="98" spans="1:5" hidden="1">
      <c r="A98" t="s">
        <v>940</v>
      </c>
      <c r="B98" t="s">
        <v>13</v>
      </c>
      <c r="D98" t="s">
        <v>791</v>
      </c>
      <c r="E98" s="170" cm="1">
        <f t="array" ref="E9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99" spans="1:5" hidden="1">
      <c r="A99" t="s">
        <v>941</v>
      </c>
      <c r="B99" t="s">
        <v>942</v>
      </c>
      <c r="D99" t="s">
        <v>791</v>
      </c>
      <c r="E99" s="170" cm="1">
        <f t="array" ref="E9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3570</v>
      </c>
    </row>
    <row r="100" spans="1:5" hidden="1">
      <c r="A100" t="s">
        <v>944</v>
      </c>
      <c r="B100" t="s">
        <v>942</v>
      </c>
      <c r="D100" t="s">
        <v>791</v>
      </c>
      <c r="E100" s="170" cm="1">
        <f t="array" ref="E10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2630</v>
      </c>
    </row>
    <row r="101" spans="1:5" hidden="1">
      <c r="A101" t="s">
        <v>945</v>
      </c>
      <c r="B101" t="s">
        <v>942</v>
      </c>
      <c r="D101" t="s">
        <v>791</v>
      </c>
      <c r="E101" s="170" cm="1">
        <f t="array" ref="E10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4300</v>
      </c>
    </row>
    <row r="102" spans="1:5" hidden="1">
      <c r="A102" t="s">
        <v>947</v>
      </c>
      <c r="B102" t="s">
        <v>942</v>
      </c>
      <c r="D102" t="s">
        <v>791</v>
      </c>
      <c r="E102" s="170" cm="1">
        <f t="array" ref="E10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2892</v>
      </c>
    </row>
    <row r="103" spans="1:5" hidden="1">
      <c r="A103" t="s">
        <v>949</v>
      </c>
      <c r="B103" t="s">
        <v>942</v>
      </c>
      <c r="D103" t="s">
        <v>791</v>
      </c>
      <c r="E103" s="170" cm="1">
        <f t="array" ref="E10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6130</v>
      </c>
    </row>
    <row r="104" spans="1:5" hidden="1">
      <c r="A104" t="s">
        <v>950</v>
      </c>
      <c r="B104" t="s">
        <v>942</v>
      </c>
      <c r="D104" t="s">
        <v>791</v>
      </c>
      <c r="E104" s="170" cm="1">
        <f t="array" ref="E10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2910</v>
      </c>
    </row>
    <row r="105" spans="1:5" hidden="1">
      <c r="A105" t="s">
        <v>951</v>
      </c>
      <c r="B105" t="s">
        <v>942</v>
      </c>
      <c r="D105" t="s">
        <v>791</v>
      </c>
      <c r="E105" s="170" cm="1">
        <f t="array" ref="E10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6600</v>
      </c>
    </row>
    <row r="106" spans="1:5" hidden="1">
      <c r="A106" t="s">
        <v>952</v>
      </c>
      <c r="B106" t="s">
        <v>942</v>
      </c>
      <c r="D106" t="s">
        <v>791</v>
      </c>
      <c r="E106" s="170" cm="1">
        <f t="array" ref="E10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6776</v>
      </c>
    </row>
    <row r="107" spans="1:5" hidden="1">
      <c r="A107" t="s">
        <v>953</v>
      </c>
      <c r="B107" t="s">
        <v>942</v>
      </c>
      <c r="D107" t="s">
        <v>791</v>
      </c>
      <c r="E107" s="170" cm="1">
        <f t="array" ref="E10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29645</v>
      </c>
    </row>
    <row r="108" spans="1:5" hidden="1">
      <c r="A108" t="s">
        <v>955</v>
      </c>
      <c r="B108" t="s">
        <v>942</v>
      </c>
      <c r="D108" t="s">
        <v>791</v>
      </c>
      <c r="E108" s="170" cm="1">
        <f t="array" ref="E10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26850</v>
      </c>
    </row>
    <row r="109" spans="1:5" hidden="1">
      <c r="A109" t="s">
        <v>957</v>
      </c>
      <c r="B109" t="s">
        <v>942</v>
      </c>
      <c r="D109" t="s">
        <v>791</v>
      </c>
      <c r="E109" s="170" cm="1">
        <f t="array" ref="E10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26850</v>
      </c>
    </row>
    <row r="110" spans="1:5" hidden="1">
      <c r="A110" t="s">
        <v>959</v>
      </c>
      <c r="B110" t="s">
        <v>460</v>
      </c>
      <c r="C110" t="s">
        <v>819</v>
      </c>
      <c r="D110" t="s">
        <v>791</v>
      </c>
      <c r="E110" s="170" cm="1">
        <f t="array" ref="E11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57128</v>
      </c>
    </row>
    <row r="111" spans="1:5" hidden="1">
      <c r="A111" t="s">
        <v>961</v>
      </c>
      <c r="B111" t="s">
        <v>13</v>
      </c>
      <c r="C111" t="s">
        <v>819</v>
      </c>
      <c r="D111" t="s">
        <v>791</v>
      </c>
      <c r="E111" s="170" cm="1">
        <f t="array" ref="E11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233328</v>
      </c>
    </row>
    <row r="112" spans="1:5" hidden="1">
      <c r="A112" t="s">
        <v>963</v>
      </c>
      <c r="B112" t="s">
        <v>32</v>
      </c>
      <c r="C112" t="s">
        <v>887</v>
      </c>
      <c r="D112" t="s">
        <v>791</v>
      </c>
      <c r="E112" s="170" cm="1">
        <f t="array" ref="E11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113" spans="1:5" hidden="1">
      <c r="A113" t="s">
        <v>964</v>
      </c>
      <c r="B113" t="s">
        <v>32</v>
      </c>
      <c r="C113" t="s">
        <v>887</v>
      </c>
      <c r="D113" t="s">
        <v>791</v>
      </c>
      <c r="E113" s="170" cm="1">
        <f t="array" ref="E11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228320</v>
      </c>
    </row>
    <row r="114" spans="1:5" hidden="1">
      <c r="A114" t="s">
        <v>965</v>
      </c>
      <c r="B114" t="s">
        <v>32</v>
      </c>
      <c r="C114" t="s">
        <v>887</v>
      </c>
      <c r="D114" t="s">
        <v>791</v>
      </c>
      <c r="E114" s="170" cm="1">
        <f t="array" ref="E11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340400</v>
      </c>
    </row>
    <row r="115" spans="1:5" hidden="1">
      <c r="A115" t="s">
        <v>966</v>
      </c>
      <c r="B115" t="s">
        <v>460</v>
      </c>
      <c r="C115" t="s">
        <v>819</v>
      </c>
      <c r="D115" t="s">
        <v>791</v>
      </c>
      <c r="E115" s="170" cm="1">
        <f t="array" ref="E11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22500</v>
      </c>
    </row>
    <row r="116" spans="1:5" hidden="1">
      <c r="A116" t="s">
        <v>968</v>
      </c>
      <c r="B116" t="s">
        <v>460</v>
      </c>
      <c r="C116" t="s">
        <v>819</v>
      </c>
      <c r="D116" t="s">
        <v>791</v>
      </c>
      <c r="E116" s="170" cm="1">
        <f t="array" ref="E11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47200</v>
      </c>
    </row>
    <row r="117" spans="1:5" hidden="1">
      <c r="A117" t="s">
        <v>970</v>
      </c>
      <c r="B117" t="s">
        <v>13</v>
      </c>
      <c r="C117" t="s">
        <v>819</v>
      </c>
      <c r="D117" t="s">
        <v>791</v>
      </c>
      <c r="E117" s="170" cm="1">
        <f t="array" ref="E11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25700</v>
      </c>
    </row>
    <row r="118" spans="1:5" hidden="1">
      <c r="A118" t="s">
        <v>972</v>
      </c>
      <c r="B118" t="s">
        <v>13</v>
      </c>
      <c r="C118" t="s">
        <v>819</v>
      </c>
      <c r="D118" t="s">
        <v>791</v>
      </c>
      <c r="E118" s="170" cm="1">
        <f t="array" ref="E11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41920</v>
      </c>
    </row>
    <row r="119" spans="1:5" hidden="1">
      <c r="A119" t="s">
        <v>974</v>
      </c>
      <c r="B119" t="s">
        <v>13</v>
      </c>
      <c r="C119" t="s">
        <v>819</v>
      </c>
      <c r="D119" t="s">
        <v>791</v>
      </c>
      <c r="E119" s="170" cm="1">
        <f t="array" ref="E11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69900</v>
      </c>
    </row>
    <row r="120" spans="1:5" hidden="1">
      <c r="A120" t="s">
        <v>975</v>
      </c>
      <c r="B120" t="s">
        <v>13</v>
      </c>
      <c r="C120" t="s">
        <v>819</v>
      </c>
      <c r="D120" t="s">
        <v>791</v>
      </c>
      <c r="E120" s="170" cm="1">
        <f t="array" ref="E12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99000</v>
      </c>
    </row>
    <row r="121" spans="1:5" hidden="1">
      <c r="A121" t="s">
        <v>977</v>
      </c>
      <c r="B121" t="s">
        <v>13</v>
      </c>
      <c r="C121" t="s">
        <v>819</v>
      </c>
      <c r="D121" t="s">
        <v>791</v>
      </c>
      <c r="E121" s="170" cm="1">
        <f t="array" ref="E12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155600</v>
      </c>
    </row>
    <row r="122" spans="1:5" hidden="1">
      <c r="A122" t="s">
        <v>978</v>
      </c>
      <c r="B122" t="s">
        <v>16</v>
      </c>
      <c r="C122" t="s">
        <v>819</v>
      </c>
      <c r="D122" t="s">
        <v>791</v>
      </c>
      <c r="E122" s="170" cm="1">
        <f t="array" ref="E12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19016</v>
      </c>
    </row>
    <row r="123" spans="1:5" hidden="1">
      <c r="A123" t="s">
        <v>979</v>
      </c>
      <c r="B123" t="s">
        <v>16</v>
      </c>
      <c r="C123" t="s">
        <v>819</v>
      </c>
      <c r="D123" t="s">
        <v>791</v>
      </c>
      <c r="E123" s="170" cm="1">
        <f t="array" ref="E12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40176</v>
      </c>
    </row>
    <row r="124" spans="1:5" hidden="1">
      <c r="A124" t="s">
        <v>980</v>
      </c>
      <c r="B124" t="s">
        <v>16</v>
      </c>
      <c r="C124" t="s">
        <v>819</v>
      </c>
      <c r="D124" t="s">
        <v>791</v>
      </c>
      <c r="E124" s="170" cm="1">
        <f t="array" ref="E12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64472</v>
      </c>
    </row>
    <row r="125" spans="1:5" hidden="1">
      <c r="A125" t="s">
        <v>981</v>
      </c>
      <c r="B125" t="s">
        <v>32</v>
      </c>
      <c r="C125" t="s">
        <v>860</v>
      </c>
      <c r="D125" t="s">
        <v>791</v>
      </c>
      <c r="E125" s="170" cm="1">
        <f t="array" ref="E12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24032</v>
      </c>
    </row>
    <row r="126" spans="1:5" hidden="1">
      <c r="A126" t="s">
        <v>982</v>
      </c>
      <c r="B126" t="s">
        <v>32</v>
      </c>
      <c r="C126" t="s">
        <v>860</v>
      </c>
      <c r="D126" t="s">
        <v>791</v>
      </c>
      <c r="E126" s="170" cm="1">
        <f t="array" ref="E12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7240</v>
      </c>
    </row>
    <row r="127" spans="1:5" hidden="1">
      <c r="A127" t="s">
        <v>983</v>
      </c>
      <c r="B127" t="s">
        <v>32</v>
      </c>
      <c r="C127" t="s">
        <v>860</v>
      </c>
      <c r="D127" t="s">
        <v>791</v>
      </c>
      <c r="E127" s="170" cm="1">
        <f t="array" ref="E12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10584</v>
      </c>
    </row>
    <row r="128" spans="1:5" hidden="1">
      <c r="A128" t="s">
        <v>984</v>
      </c>
      <c r="B128" t="s">
        <v>32</v>
      </c>
      <c r="C128" t="s">
        <v>860</v>
      </c>
      <c r="D128" t="s">
        <v>791</v>
      </c>
      <c r="E128" s="170" cm="1">
        <f t="array" ref="E12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11712</v>
      </c>
    </row>
    <row r="129" spans="1:5" hidden="1">
      <c r="A129" t="s">
        <v>985</v>
      </c>
      <c r="B129" t="s">
        <v>32</v>
      </c>
      <c r="C129" t="s">
        <v>860</v>
      </c>
      <c r="D129" t="s">
        <v>791</v>
      </c>
      <c r="E129" s="170" cm="1">
        <f t="array" ref="E12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20800</v>
      </c>
    </row>
    <row r="130" spans="1:5" hidden="1">
      <c r="A130" t="s">
        <v>987</v>
      </c>
      <c r="B130" t="s">
        <v>32</v>
      </c>
      <c r="C130" t="s">
        <v>860</v>
      </c>
      <c r="D130" t="s">
        <v>791</v>
      </c>
      <c r="E130" s="170" cm="1">
        <f t="array" ref="E13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131" spans="1:5" hidden="1">
      <c r="A131" t="s">
        <v>988</v>
      </c>
      <c r="B131" t="s">
        <v>32</v>
      </c>
      <c r="C131" t="s">
        <v>860</v>
      </c>
      <c r="D131" t="s">
        <v>791</v>
      </c>
      <c r="E131" s="170" cm="1">
        <f t="array" ref="E13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56064</v>
      </c>
    </row>
    <row r="132" spans="1:5" hidden="1">
      <c r="A132" t="s">
        <v>990</v>
      </c>
      <c r="B132" t="s">
        <v>32</v>
      </c>
      <c r="C132" t="s">
        <v>860</v>
      </c>
      <c r="D132" t="s">
        <v>791</v>
      </c>
      <c r="E132" s="170" cm="1">
        <f t="array" ref="E13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143960</v>
      </c>
    </row>
    <row r="133" spans="1:5" hidden="1">
      <c r="A133" t="s">
        <v>991</v>
      </c>
      <c r="B133" t="s">
        <v>32</v>
      </c>
      <c r="C133" t="s">
        <v>887</v>
      </c>
      <c r="D133" t="s">
        <v>791</v>
      </c>
      <c r="E133" s="170" cm="1">
        <f t="array" ref="E13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33800</v>
      </c>
    </row>
    <row r="134" spans="1:5" hidden="1">
      <c r="A134" t="s">
        <v>992</v>
      </c>
      <c r="B134" t="s">
        <v>32</v>
      </c>
      <c r="C134" t="s">
        <v>887</v>
      </c>
      <c r="D134" t="s">
        <v>791</v>
      </c>
      <c r="E134" s="170" cm="1">
        <f t="array" ref="E13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34040</v>
      </c>
    </row>
    <row r="135" spans="1:5" hidden="1">
      <c r="A135" t="s">
        <v>993</v>
      </c>
      <c r="B135" t="s">
        <v>32</v>
      </c>
      <c r="C135" t="s">
        <v>887</v>
      </c>
      <c r="D135" t="s">
        <v>791</v>
      </c>
      <c r="E135" s="170" cm="1">
        <f t="array" ref="E13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34880</v>
      </c>
    </row>
    <row r="136" spans="1:5" hidden="1">
      <c r="A136" t="s">
        <v>995</v>
      </c>
      <c r="B136" t="s">
        <v>32</v>
      </c>
      <c r="C136" t="s">
        <v>887</v>
      </c>
      <c r="D136" t="s">
        <v>791</v>
      </c>
      <c r="E136" s="170" cm="1">
        <f t="array" ref="E13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34880</v>
      </c>
    </row>
    <row r="137" spans="1:5" hidden="1">
      <c r="A137" t="s">
        <v>996</v>
      </c>
      <c r="B137" t="s">
        <v>32</v>
      </c>
      <c r="C137" t="s">
        <v>887</v>
      </c>
      <c r="D137" t="s">
        <v>791</v>
      </c>
      <c r="E137" s="170" cm="1">
        <f t="array" ref="E13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49408</v>
      </c>
    </row>
    <row r="138" spans="1:5" hidden="1">
      <c r="A138" t="s">
        <v>998</v>
      </c>
      <c r="B138" t="s">
        <v>32</v>
      </c>
      <c r="C138" t="s">
        <v>887</v>
      </c>
      <c r="D138" t="s">
        <v>791</v>
      </c>
      <c r="E138" s="170" cm="1">
        <f t="array" ref="E13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41520</v>
      </c>
    </row>
    <row r="139" spans="1:5" hidden="1">
      <c r="A139" t="s">
        <v>1000</v>
      </c>
      <c r="B139" t="s">
        <v>32</v>
      </c>
      <c r="C139" t="s">
        <v>887</v>
      </c>
      <c r="D139" t="s">
        <v>791</v>
      </c>
      <c r="E139" s="170" cm="1">
        <f t="array" ref="E13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125512</v>
      </c>
    </row>
    <row r="140" spans="1:5" hidden="1">
      <c r="A140" t="s">
        <v>1001</v>
      </c>
      <c r="B140" t="s">
        <v>460</v>
      </c>
      <c r="C140" t="s">
        <v>819</v>
      </c>
      <c r="D140" t="s">
        <v>791</v>
      </c>
      <c r="E140" s="170" cm="1">
        <f t="array" ref="E14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7200</v>
      </c>
    </row>
    <row r="141" spans="1:5" hidden="1">
      <c r="A141" t="s">
        <v>1003</v>
      </c>
      <c r="B141" t="s">
        <v>460</v>
      </c>
      <c r="C141" t="s">
        <v>819</v>
      </c>
      <c r="D141" t="s">
        <v>791</v>
      </c>
      <c r="E141" s="170" cm="1">
        <f t="array" ref="E14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22500</v>
      </c>
    </row>
    <row r="142" spans="1:5" hidden="1">
      <c r="A142" t="s">
        <v>1004</v>
      </c>
      <c r="B142" t="s">
        <v>460</v>
      </c>
      <c r="C142" t="s">
        <v>819</v>
      </c>
      <c r="D142" t="s">
        <v>791</v>
      </c>
      <c r="E142" s="170" cm="1">
        <f t="array" ref="E14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13448</v>
      </c>
    </row>
    <row r="143" spans="1:5" hidden="1">
      <c r="A143" t="s">
        <v>1005</v>
      </c>
      <c r="B143" t="s">
        <v>460</v>
      </c>
      <c r="C143" t="s">
        <v>819</v>
      </c>
      <c r="D143" t="s">
        <v>791</v>
      </c>
      <c r="E143" s="170" cm="1">
        <f t="array" ref="E14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33800</v>
      </c>
    </row>
    <row r="144" spans="1:5" hidden="1">
      <c r="A144" t="s">
        <v>1007</v>
      </c>
      <c r="B144" t="s">
        <v>460</v>
      </c>
      <c r="C144" t="s">
        <v>819</v>
      </c>
      <c r="D144" t="s">
        <v>791</v>
      </c>
      <c r="E144" s="170" cm="1">
        <f t="array" ref="E14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47720</v>
      </c>
    </row>
    <row r="145" spans="1:5" hidden="1">
      <c r="A145" t="s">
        <v>1008</v>
      </c>
      <c r="B145" t="s">
        <v>13</v>
      </c>
      <c r="C145" t="s">
        <v>819</v>
      </c>
      <c r="D145" t="s">
        <v>791</v>
      </c>
      <c r="E145" s="170" cm="1">
        <f t="array" ref="E14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39216</v>
      </c>
    </row>
    <row r="146" spans="1:5" hidden="1">
      <c r="A146" t="s">
        <v>1009</v>
      </c>
      <c r="B146" t="s">
        <v>13</v>
      </c>
      <c r="C146" t="s">
        <v>819</v>
      </c>
      <c r="D146" t="s">
        <v>791</v>
      </c>
      <c r="E146" s="170" cm="1">
        <f t="array" ref="E14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111590</v>
      </c>
    </row>
    <row r="147" spans="1:5" hidden="1">
      <c r="A147" t="s">
        <v>1011</v>
      </c>
      <c r="B147" t="s">
        <v>321</v>
      </c>
      <c r="C147" t="s">
        <v>860</v>
      </c>
      <c r="D147" t="s">
        <v>791</v>
      </c>
      <c r="E147" s="170" cm="1">
        <f t="array" ref="E14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148" spans="1:5" hidden="1">
      <c r="A148" t="s">
        <v>1013</v>
      </c>
      <c r="B148" t="s">
        <v>172</v>
      </c>
      <c r="C148" t="s">
        <v>860</v>
      </c>
      <c r="D148" t="s">
        <v>791</v>
      </c>
      <c r="E148" s="170" cm="1">
        <f t="array" ref="E14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6636.42</v>
      </c>
    </row>
    <row r="149" spans="1:5" hidden="1">
      <c r="A149" t="s">
        <v>1014</v>
      </c>
      <c r="B149" t="s">
        <v>172</v>
      </c>
      <c r="C149" t="s">
        <v>860</v>
      </c>
      <c r="D149" t="s">
        <v>791</v>
      </c>
      <c r="E149" s="170" cm="1">
        <f t="array" ref="E14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4632.5</v>
      </c>
    </row>
    <row r="150" spans="1:5" hidden="1">
      <c r="A150" t="s">
        <v>1016</v>
      </c>
      <c r="B150" t="s">
        <v>172</v>
      </c>
      <c r="C150" t="s">
        <v>860</v>
      </c>
      <c r="D150" t="s">
        <v>791</v>
      </c>
      <c r="E150" s="170" cm="1">
        <f t="array" ref="E15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4679.3100000000004</v>
      </c>
    </row>
    <row r="151" spans="1:5" hidden="1">
      <c r="A151" t="s">
        <v>1018</v>
      </c>
      <c r="B151" t="s">
        <v>172</v>
      </c>
      <c r="C151" t="s">
        <v>860</v>
      </c>
      <c r="D151" t="s">
        <v>791</v>
      </c>
      <c r="E151" s="170" cm="1">
        <f t="array" ref="E15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3299.84</v>
      </c>
    </row>
    <row r="152" spans="1:5" hidden="1">
      <c r="A152" t="s">
        <v>1020</v>
      </c>
      <c r="B152" t="s">
        <v>172</v>
      </c>
      <c r="C152" t="s">
        <v>860</v>
      </c>
      <c r="D152" t="s">
        <v>791</v>
      </c>
      <c r="E152" s="170" cm="1">
        <f t="array" ref="E15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49200</v>
      </c>
    </row>
    <row r="153" spans="1:5" hidden="1">
      <c r="A153" t="s">
        <v>1022</v>
      </c>
      <c r="B153" t="s">
        <v>32</v>
      </c>
      <c r="C153" t="s">
        <v>860</v>
      </c>
      <c r="D153" t="s">
        <v>791</v>
      </c>
      <c r="E153" s="170" cm="1">
        <f t="array" ref="E15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2680</v>
      </c>
    </row>
    <row r="154" spans="1:5" hidden="1">
      <c r="A154" t="s">
        <v>1024</v>
      </c>
      <c r="B154" t="s">
        <v>32</v>
      </c>
      <c r="C154" t="s">
        <v>860</v>
      </c>
      <c r="D154" t="s">
        <v>791</v>
      </c>
      <c r="E154" s="170" cm="1">
        <f t="array" ref="E15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2278</v>
      </c>
    </row>
    <row r="155" spans="1:5" hidden="1">
      <c r="A155" t="s">
        <v>1025</v>
      </c>
      <c r="B155" t="s">
        <v>32</v>
      </c>
      <c r="C155" t="s">
        <v>860</v>
      </c>
      <c r="D155" t="s">
        <v>791</v>
      </c>
      <c r="E155" s="170" cm="1">
        <f t="array" ref="E15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1632</v>
      </c>
    </row>
    <row r="156" spans="1:5" hidden="1">
      <c r="A156" t="s">
        <v>1027</v>
      </c>
      <c r="B156" t="s">
        <v>32</v>
      </c>
      <c r="C156" t="s">
        <v>860</v>
      </c>
      <c r="D156" t="s">
        <v>791</v>
      </c>
      <c r="E156" s="170" cm="1">
        <f t="array" ref="E15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1416.48</v>
      </c>
    </row>
    <row r="157" spans="1:5" hidden="1">
      <c r="A157" t="s">
        <v>1028</v>
      </c>
      <c r="B157" t="s">
        <v>32</v>
      </c>
      <c r="C157" t="s">
        <v>860</v>
      </c>
      <c r="D157" t="s">
        <v>791</v>
      </c>
      <c r="E157" s="170" cm="1">
        <f t="array" ref="E15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1416.48</v>
      </c>
    </row>
    <row r="158" spans="1:5" hidden="1">
      <c r="A158" t="s">
        <v>1029</v>
      </c>
      <c r="B158" t="s">
        <v>32</v>
      </c>
      <c r="C158" t="s">
        <v>860</v>
      </c>
      <c r="D158" t="s">
        <v>791</v>
      </c>
      <c r="E158" s="170" cm="1">
        <f t="array" ref="E15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159" spans="1:5" hidden="1">
      <c r="A159" t="s">
        <v>1030</v>
      </c>
      <c r="B159" t="s">
        <v>32</v>
      </c>
      <c r="C159" t="s">
        <v>860</v>
      </c>
      <c r="D159" t="s">
        <v>791</v>
      </c>
      <c r="E159" s="170" cm="1">
        <f t="array" ref="E15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8203</v>
      </c>
    </row>
    <row r="160" spans="1:5" hidden="1">
      <c r="A160" t="s">
        <v>1032</v>
      </c>
      <c r="B160" t="s">
        <v>32</v>
      </c>
      <c r="C160" t="s">
        <v>860</v>
      </c>
      <c r="D160" t="s">
        <v>791</v>
      </c>
      <c r="E160" s="170" cm="1">
        <f t="array" ref="E16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3744</v>
      </c>
    </row>
    <row r="161" spans="1:5" hidden="1">
      <c r="A161" t="s">
        <v>1034</v>
      </c>
      <c r="B161" t="s">
        <v>32</v>
      </c>
      <c r="C161" t="s">
        <v>860</v>
      </c>
      <c r="D161" t="s">
        <v>791</v>
      </c>
      <c r="E161" s="170" cm="1">
        <f t="array" ref="E16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3482.5</v>
      </c>
    </row>
    <row r="162" spans="1:5" hidden="1">
      <c r="A162" t="s">
        <v>1036</v>
      </c>
      <c r="B162" t="s">
        <v>32</v>
      </c>
      <c r="C162" t="s">
        <v>860</v>
      </c>
      <c r="D162" t="s">
        <v>791</v>
      </c>
      <c r="E162" s="170" cm="1">
        <f t="array" ref="E16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4200</v>
      </c>
    </row>
    <row r="163" spans="1:5" hidden="1">
      <c r="A163" t="s">
        <v>1037</v>
      </c>
      <c r="B163" t="s">
        <v>32</v>
      </c>
      <c r="C163" t="s">
        <v>860</v>
      </c>
      <c r="D163" t="s">
        <v>791</v>
      </c>
      <c r="E163" s="170" cm="1">
        <f t="array" ref="E16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370.56</v>
      </c>
    </row>
    <row r="164" spans="1:5" hidden="1">
      <c r="A164" t="s">
        <v>1038</v>
      </c>
      <c r="B164" t="s">
        <v>32</v>
      </c>
      <c r="C164" t="s">
        <v>860</v>
      </c>
      <c r="D164" t="s">
        <v>791</v>
      </c>
      <c r="E164" s="170" cm="1">
        <f t="array" ref="E16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165" spans="1:5" hidden="1">
      <c r="A165" t="s">
        <v>1039</v>
      </c>
      <c r="B165" t="s">
        <v>32</v>
      </c>
      <c r="C165" t="s">
        <v>860</v>
      </c>
      <c r="D165" t="s">
        <v>791</v>
      </c>
      <c r="E165" s="170" cm="1">
        <f t="array" ref="E16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14736</v>
      </c>
    </row>
    <row r="166" spans="1:5" hidden="1">
      <c r="A166" t="s">
        <v>1041</v>
      </c>
      <c r="B166" t="s">
        <v>32</v>
      </c>
      <c r="C166" t="s">
        <v>860</v>
      </c>
      <c r="D166" t="s">
        <v>791</v>
      </c>
      <c r="E166" s="170" cm="1">
        <f t="array" ref="E16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72000</v>
      </c>
    </row>
    <row r="167" spans="1:5" hidden="1">
      <c r="A167" t="s">
        <v>1042</v>
      </c>
      <c r="B167" t="s">
        <v>32</v>
      </c>
      <c r="C167" t="s">
        <v>860</v>
      </c>
      <c r="D167" t="s">
        <v>791</v>
      </c>
      <c r="E167" s="170" cm="1">
        <f t="array" ref="E16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72000</v>
      </c>
    </row>
    <row r="168" spans="1:5" hidden="1">
      <c r="A168" t="s">
        <v>1043</v>
      </c>
      <c r="B168" t="s">
        <v>32</v>
      </c>
      <c r="C168" t="s">
        <v>887</v>
      </c>
      <c r="D168" t="s">
        <v>791</v>
      </c>
      <c r="E168" s="170" cm="1">
        <f t="array" ref="E16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18400</v>
      </c>
    </row>
    <row r="169" spans="1:5" hidden="1">
      <c r="A169" t="s">
        <v>1045</v>
      </c>
      <c r="B169" t="s">
        <v>32</v>
      </c>
      <c r="C169" t="s">
        <v>887</v>
      </c>
      <c r="D169" t="s">
        <v>791</v>
      </c>
      <c r="E169" s="170" cm="1">
        <f t="array" ref="E16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13440</v>
      </c>
    </row>
    <row r="170" spans="1:5" hidden="1">
      <c r="A170" t="s">
        <v>1046</v>
      </c>
      <c r="B170" t="s">
        <v>32</v>
      </c>
      <c r="C170" t="s">
        <v>887</v>
      </c>
      <c r="D170" t="s">
        <v>791</v>
      </c>
      <c r="E170" s="170" cm="1">
        <f t="array" ref="E17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18136</v>
      </c>
    </row>
    <row r="171" spans="1:5" hidden="1">
      <c r="A171" t="s">
        <v>1047</v>
      </c>
      <c r="B171" t="s">
        <v>360</v>
      </c>
      <c r="C171" t="s">
        <v>860</v>
      </c>
      <c r="D171" t="s">
        <v>791</v>
      </c>
      <c r="E171" s="170" cm="1">
        <f t="array" ref="E17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2278</v>
      </c>
    </row>
    <row r="172" spans="1:5" hidden="1">
      <c r="A172" t="s">
        <v>1048</v>
      </c>
      <c r="B172" t="s">
        <v>360</v>
      </c>
      <c r="C172" t="s">
        <v>860</v>
      </c>
      <c r="D172" t="s">
        <v>791</v>
      </c>
      <c r="E172" s="170" cm="1">
        <f t="array" ref="E17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2704</v>
      </c>
    </row>
    <row r="173" spans="1:5" hidden="1">
      <c r="A173" t="s">
        <v>1050</v>
      </c>
      <c r="B173" t="s">
        <v>360</v>
      </c>
      <c r="C173" t="s">
        <v>860</v>
      </c>
      <c r="D173" t="s">
        <v>791</v>
      </c>
      <c r="E173" s="170" cm="1">
        <f t="array" ref="E17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10168</v>
      </c>
    </row>
    <row r="174" spans="1:5" hidden="1">
      <c r="A174" t="s">
        <v>1051</v>
      </c>
      <c r="B174" t="s">
        <v>360</v>
      </c>
      <c r="C174" t="s">
        <v>860</v>
      </c>
      <c r="D174" t="s">
        <v>791</v>
      </c>
      <c r="E174" s="170" cm="1">
        <f t="array" ref="E17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3656</v>
      </c>
    </row>
    <row r="175" spans="1:5" hidden="1">
      <c r="A175" t="s">
        <v>1053</v>
      </c>
      <c r="B175" t="s">
        <v>360</v>
      </c>
      <c r="C175" t="s">
        <v>860</v>
      </c>
      <c r="D175" t="s">
        <v>791</v>
      </c>
      <c r="E175" s="170" cm="1">
        <f t="array" ref="E17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3343.1999999999994</v>
      </c>
    </row>
    <row r="176" spans="1:5" hidden="1">
      <c r="A176" t="s">
        <v>1054</v>
      </c>
      <c r="B176" t="s">
        <v>360</v>
      </c>
      <c r="C176" t="s">
        <v>860</v>
      </c>
      <c r="D176" t="s">
        <v>791</v>
      </c>
      <c r="E176" s="170" cm="1">
        <f t="array" ref="E17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23400</v>
      </c>
    </row>
    <row r="177" spans="1:5" hidden="1">
      <c r="A177" t="s">
        <v>1056</v>
      </c>
      <c r="B177" t="s">
        <v>32</v>
      </c>
      <c r="C177" t="s">
        <v>860</v>
      </c>
      <c r="D177" t="s">
        <v>791</v>
      </c>
      <c r="E177" s="170" cm="1">
        <f t="array" ref="E17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21755.800000000003</v>
      </c>
    </row>
    <row r="178" spans="1:5" hidden="1">
      <c r="A178" t="s">
        <v>1057</v>
      </c>
      <c r="B178" t="s">
        <v>360</v>
      </c>
      <c r="C178" t="s">
        <v>860</v>
      </c>
      <c r="D178" t="s">
        <v>791</v>
      </c>
      <c r="E178" s="170" cm="1">
        <f t="array" ref="E17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23240</v>
      </c>
    </row>
    <row r="179" spans="1:5" hidden="1">
      <c r="A179" t="s">
        <v>1058</v>
      </c>
      <c r="B179" t="s">
        <v>193</v>
      </c>
      <c r="C179" t="s">
        <v>1059</v>
      </c>
      <c r="D179" t="s">
        <v>791</v>
      </c>
      <c r="E179" s="170" cm="1">
        <f t="array" ref="E17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5886.24</v>
      </c>
    </row>
    <row r="180" spans="1:5" hidden="1">
      <c r="A180" t="s">
        <v>1060</v>
      </c>
      <c r="B180" t="s">
        <v>193</v>
      </c>
      <c r="C180" t="s">
        <v>1059</v>
      </c>
      <c r="D180" t="s">
        <v>791</v>
      </c>
      <c r="E180" s="170" cm="1">
        <f t="array" ref="E18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5886.2400000000007</v>
      </c>
    </row>
    <row r="181" spans="1:5" hidden="1">
      <c r="A181" t="s">
        <v>1061</v>
      </c>
      <c r="B181" t="s">
        <v>193</v>
      </c>
      <c r="C181" t="s">
        <v>1059</v>
      </c>
      <c r="D181" t="s">
        <v>791</v>
      </c>
      <c r="E181" s="170" cm="1">
        <f t="array" ref="E18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22132.32</v>
      </c>
    </row>
    <row r="182" spans="1:5" hidden="1">
      <c r="A182" t="s">
        <v>1062</v>
      </c>
      <c r="B182" t="s">
        <v>830</v>
      </c>
      <c r="C182" t="s">
        <v>831</v>
      </c>
      <c r="D182" t="s">
        <v>791</v>
      </c>
      <c r="E182" s="170" cm="1">
        <f t="array" ref="E18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1740</v>
      </c>
    </row>
    <row r="183" spans="1:5" hidden="1">
      <c r="A183" t="s">
        <v>1064</v>
      </c>
      <c r="B183" t="s">
        <v>368</v>
      </c>
      <c r="D183" t="s">
        <v>791</v>
      </c>
      <c r="E183" s="170" cm="1">
        <f t="array" ref="E18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184" spans="1:5" hidden="1">
      <c r="A184" t="s">
        <v>1065</v>
      </c>
      <c r="B184" t="s">
        <v>32</v>
      </c>
      <c r="C184" t="s">
        <v>860</v>
      </c>
      <c r="D184" t="s">
        <v>791</v>
      </c>
      <c r="E184" s="170" cm="1">
        <f t="array" ref="E18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3007.1999999999994</v>
      </c>
    </row>
    <row r="185" spans="1:5" hidden="1">
      <c r="A185" t="s">
        <v>1066</v>
      </c>
      <c r="B185" t="s">
        <v>32</v>
      </c>
      <c r="C185" t="s">
        <v>860</v>
      </c>
      <c r="D185" t="s">
        <v>791</v>
      </c>
      <c r="E185" s="170" cm="1">
        <f t="array" ref="E18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3007.2</v>
      </c>
    </row>
    <row r="186" spans="1:5" hidden="1">
      <c r="A186" t="s">
        <v>1067</v>
      </c>
      <c r="B186" t="s">
        <v>32</v>
      </c>
      <c r="C186" t="s">
        <v>860</v>
      </c>
      <c r="D186" t="s">
        <v>791</v>
      </c>
      <c r="E186" s="170" cm="1">
        <f t="array" ref="E18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3744</v>
      </c>
    </row>
    <row r="187" spans="1:5" hidden="1">
      <c r="A187" t="s">
        <v>1068</v>
      </c>
      <c r="B187" t="s">
        <v>32</v>
      </c>
      <c r="C187" t="s">
        <v>860</v>
      </c>
      <c r="D187" t="s">
        <v>791</v>
      </c>
      <c r="E187" s="170" cm="1">
        <f t="array" ref="E18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2524.3199999999997</v>
      </c>
    </row>
    <row r="188" spans="1:5" hidden="1">
      <c r="A188" t="s">
        <v>1069</v>
      </c>
      <c r="B188" t="s">
        <v>32</v>
      </c>
      <c r="C188" t="s">
        <v>860</v>
      </c>
      <c r="D188" t="s">
        <v>791</v>
      </c>
      <c r="E188" s="170" cm="1">
        <f t="array" ref="E18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2524.3199999999997</v>
      </c>
    </row>
    <row r="189" spans="1:5" hidden="1">
      <c r="A189" t="s">
        <v>1070</v>
      </c>
      <c r="B189" t="s">
        <v>32</v>
      </c>
      <c r="C189" t="s">
        <v>860</v>
      </c>
      <c r="D189" t="s">
        <v>791</v>
      </c>
      <c r="E189" s="170" cm="1">
        <f t="array" ref="E18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1504.32</v>
      </c>
    </row>
    <row r="190" spans="1:5" hidden="1">
      <c r="A190" t="s">
        <v>1071</v>
      </c>
      <c r="B190" t="s">
        <v>32</v>
      </c>
      <c r="C190" t="s">
        <v>860</v>
      </c>
      <c r="D190" t="s">
        <v>791</v>
      </c>
      <c r="E190" s="170" cm="1">
        <f t="array" ref="E19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1723.7</v>
      </c>
    </row>
    <row r="191" spans="1:5" hidden="1">
      <c r="A191" t="s">
        <v>1073</v>
      </c>
      <c r="B191" t="s">
        <v>32</v>
      </c>
      <c r="C191" t="s">
        <v>860</v>
      </c>
      <c r="D191" t="s">
        <v>791</v>
      </c>
      <c r="E191" s="170" cm="1">
        <f t="array" ref="E19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4837.4399999999996</v>
      </c>
    </row>
    <row r="192" spans="1:5" hidden="1">
      <c r="A192" t="s">
        <v>1074</v>
      </c>
      <c r="B192" t="s">
        <v>32</v>
      </c>
      <c r="C192" t="s">
        <v>860</v>
      </c>
      <c r="D192" t="s">
        <v>791</v>
      </c>
      <c r="E192" s="170" cm="1">
        <f t="array" ref="E19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5856</v>
      </c>
    </row>
    <row r="193" spans="1:5" hidden="1">
      <c r="A193" t="s">
        <v>1076</v>
      </c>
      <c r="B193" t="s">
        <v>32</v>
      </c>
      <c r="C193" t="s">
        <v>860</v>
      </c>
      <c r="D193" t="s">
        <v>791</v>
      </c>
      <c r="E193" s="170" cm="1">
        <f t="array" ref="E19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25698.899999999998</v>
      </c>
    </row>
    <row r="194" spans="1:5" hidden="1">
      <c r="A194" t="s">
        <v>1077</v>
      </c>
      <c r="B194" t="s">
        <v>32</v>
      </c>
      <c r="C194" t="s">
        <v>860</v>
      </c>
      <c r="D194" t="s">
        <v>791</v>
      </c>
      <c r="E194" s="170" cm="1">
        <f t="array" ref="E19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5912</v>
      </c>
    </row>
    <row r="195" spans="1:5" hidden="1">
      <c r="A195" t="s">
        <v>1078</v>
      </c>
      <c r="B195" t="s">
        <v>32</v>
      </c>
      <c r="C195" t="s">
        <v>887</v>
      </c>
      <c r="D195" t="s">
        <v>791</v>
      </c>
      <c r="E195" s="170" cm="1">
        <f t="array" ref="E19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13440</v>
      </c>
    </row>
    <row r="196" spans="1:5" hidden="1">
      <c r="A196" t="s">
        <v>1079</v>
      </c>
      <c r="B196" t="s">
        <v>32</v>
      </c>
      <c r="C196" t="s">
        <v>887</v>
      </c>
      <c r="D196" t="s">
        <v>791</v>
      </c>
      <c r="E196" s="170" cm="1">
        <f t="array" ref="E19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18400</v>
      </c>
    </row>
    <row r="197" spans="1:5" hidden="1">
      <c r="A197" t="s">
        <v>1080</v>
      </c>
      <c r="B197" t="s">
        <v>32</v>
      </c>
      <c r="C197" t="s">
        <v>860</v>
      </c>
      <c r="D197" t="s">
        <v>791</v>
      </c>
      <c r="E197" s="170" cm="1">
        <f t="array" ref="E19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800</v>
      </c>
    </row>
    <row r="198" spans="1:5" hidden="1">
      <c r="A198" t="s">
        <v>1081</v>
      </c>
      <c r="B198" t="s">
        <v>360</v>
      </c>
      <c r="C198" t="s">
        <v>860</v>
      </c>
      <c r="D198" t="s">
        <v>791</v>
      </c>
      <c r="E198" s="170" cm="1">
        <f t="array" ref="E19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863.04</v>
      </c>
    </row>
    <row r="199" spans="1:5" hidden="1">
      <c r="A199" t="s">
        <v>1082</v>
      </c>
      <c r="B199" t="s">
        <v>32</v>
      </c>
      <c r="C199" t="s">
        <v>860</v>
      </c>
      <c r="D199" t="s">
        <v>791</v>
      </c>
      <c r="E199" s="170" cm="1">
        <f t="array" ref="E19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52973.600000000006</v>
      </c>
    </row>
    <row r="200" spans="1:5" hidden="1">
      <c r="A200" t="s">
        <v>1084</v>
      </c>
      <c r="B200" t="s">
        <v>368</v>
      </c>
      <c r="D200" t="s">
        <v>791</v>
      </c>
      <c r="E200" s="170" cm="1">
        <f t="array" ref="E20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28978</v>
      </c>
    </row>
    <row r="201" spans="1:5" hidden="1">
      <c r="A201" t="s">
        <v>1086</v>
      </c>
      <c r="B201" t="s">
        <v>321</v>
      </c>
      <c r="C201" t="s">
        <v>860</v>
      </c>
      <c r="D201" t="s">
        <v>791</v>
      </c>
      <c r="E201" s="170" cm="1">
        <f t="array" ref="E20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20724</v>
      </c>
    </row>
    <row r="202" spans="1:5" hidden="1">
      <c r="A202" t="s">
        <v>1089</v>
      </c>
      <c r="B202" t="s">
        <v>915</v>
      </c>
      <c r="D202" t="s">
        <v>791</v>
      </c>
      <c r="E202" s="170" cm="1">
        <f t="array" ref="E20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2100</v>
      </c>
    </row>
    <row r="203" spans="1:5" hidden="1">
      <c r="A203" t="s">
        <v>1090</v>
      </c>
      <c r="B203" t="s">
        <v>915</v>
      </c>
      <c r="D203" t="s">
        <v>791</v>
      </c>
      <c r="E203" s="170" cm="1">
        <f t="array" ref="E20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714</v>
      </c>
    </row>
    <row r="204" spans="1:5" hidden="1">
      <c r="A204" t="s">
        <v>1091</v>
      </c>
      <c r="B204" t="s">
        <v>915</v>
      </c>
      <c r="D204" t="s">
        <v>791</v>
      </c>
      <c r="E204" s="170" cm="1">
        <f t="array" ref="E20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05" spans="1:5" hidden="1">
      <c r="A205" t="s">
        <v>2100</v>
      </c>
      <c r="B205" t="s">
        <v>915</v>
      </c>
      <c r="D205" t="s">
        <v>791</v>
      </c>
      <c r="E205" s="170" cm="1">
        <f t="array" ref="E20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06" spans="1:5" hidden="1">
      <c r="A206" t="s">
        <v>1092</v>
      </c>
      <c r="B206" t="s">
        <v>915</v>
      </c>
      <c r="D206" t="s">
        <v>791</v>
      </c>
      <c r="E206" s="170" cm="1">
        <f t="array" ref="E20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809</v>
      </c>
    </row>
    <row r="207" spans="1:5" hidden="1">
      <c r="A207" t="s">
        <v>1093</v>
      </c>
      <c r="B207" t="s">
        <v>915</v>
      </c>
      <c r="D207" t="s">
        <v>791</v>
      </c>
      <c r="E207" s="170" cm="1">
        <f t="array" ref="E20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08" spans="1:5" hidden="1">
      <c r="A208" t="s">
        <v>1094</v>
      </c>
      <c r="B208" t="s">
        <v>915</v>
      </c>
      <c r="D208" t="s">
        <v>791</v>
      </c>
      <c r="E208" s="170" cm="1">
        <f t="array" ref="E20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09" spans="1:5" hidden="1">
      <c r="A209" t="s">
        <v>1095</v>
      </c>
      <c r="B209" t="s">
        <v>915</v>
      </c>
      <c r="D209" t="s">
        <v>791</v>
      </c>
      <c r="E209" s="170" cm="1">
        <f t="array" ref="E20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10" spans="1:5" hidden="1">
      <c r="A210" t="s">
        <v>2101</v>
      </c>
      <c r="B210" t="s">
        <v>915</v>
      </c>
      <c r="D210" t="s">
        <v>791</v>
      </c>
      <c r="E210" s="170" cm="1">
        <f t="array" ref="E21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11" spans="1:5" hidden="1">
      <c r="A211" t="s">
        <v>1096</v>
      </c>
      <c r="B211" t="s">
        <v>915</v>
      </c>
      <c r="D211" t="s">
        <v>791</v>
      </c>
      <c r="E211" s="170" cm="1">
        <f t="array" ref="E21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12" spans="1:5" hidden="1">
      <c r="A212" t="s">
        <v>1097</v>
      </c>
      <c r="B212" t="s">
        <v>13</v>
      </c>
      <c r="D212" t="s">
        <v>791</v>
      </c>
      <c r="E212" s="170" cm="1">
        <f t="array" ref="E21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13" spans="1:5" hidden="1">
      <c r="A213" t="s">
        <v>2102</v>
      </c>
      <c r="B213" t="s">
        <v>13</v>
      </c>
      <c r="D213" t="s">
        <v>791</v>
      </c>
      <c r="E213" s="170" cm="1">
        <f t="array" ref="E21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14" spans="1:5" hidden="1">
      <c r="A214" t="s">
        <v>1100</v>
      </c>
      <c r="B214" t="s">
        <v>915</v>
      </c>
      <c r="D214" t="s">
        <v>791</v>
      </c>
      <c r="E214" s="170" cm="1">
        <f t="array" ref="E21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1018</v>
      </c>
    </row>
    <row r="215" spans="1:5" hidden="1">
      <c r="A215" t="s">
        <v>1098</v>
      </c>
      <c r="B215" t="s">
        <v>915</v>
      </c>
      <c r="D215" t="s">
        <v>791</v>
      </c>
      <c r="E215" s="170" cm="1">
        <f t="array" ref="E21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16" spans="1:5" hidden="1">
      <c r="A216" t="s">
        <v>1099</v>
      </c>
      <c r="B216" t="s">
        <v>915</v>
      </c>
      <c r="D216" t="s">
        <v>791</v>
      </c>
      <c r="E216" s="170" cm="1">
        <f t="array" ref="E21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714</v>
      </c>
    </row>
    <row r="217" spans="1:5" hidden="1">
      <c r="A217" t="s">
        <v>1101</v>
      </c>
      <c r="B217" t="s">
        <v>915</v>
      </c>
      <c r="D217" t="s">
        <v>791</v>
      </c>
      <c r="E217" s="170" cm="1">
        <f t="array" ref="E21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18" spans="1:5" hidden="1">
      <c r="A218" t="s">
        <v>1102</v>
      </c>
      <c r="B218" t="s">
        <v>915</v>
      </c>
      <c r="D218" t="s">
        <v>791</v>
      </c>
      <c r="E218" s="170" cm="1">
        <f t="array" ref="E21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19" spans="1:5" hidden="1">
      <c r="A219" t="s">
        <v>1104</v>
      </c>
      <c r="B219" t="s">
        <v>368</v>
      </c>
      <c r="D219" t="s">
        <v>791</v>
      </c>
      <c r="E219" s="170" cm="1">
        <f t="array" ref="E21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373496</v>
      </c>
    </row>
    <row r="220" spans="1:5" hidden="1">
      <c r="A220" t="s">
        <v>1105</v>
      </c>
      <c r="B220" t="s">
        <v>13</v>
      </c>
      <c r="C220" t="s">
        <v>1106</v>
      </c>
      <c r="D220" t="s">
        <v>791</v>
      </c>
      <c r="E220" s="170" cm="1">
        <f t="array" ref="E22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850000</v>
      </c>
    </row>
    <row r="221" spans="1:5" hidden="1">
      <c r="A221" t="s">
        <v>1108</v>
      </c>
      <c r="B221" t="s">
        <v>123</v>
      </c>
      <c r="D221" t="s">
        <v>791</v>
      </c>
      <c r="E221" s="170" cm="1">
        <f t="array" ref="E22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204000</v>
      </c>
    </row>
    <row r="222" spans="1:5" hidden="1">
      <c r="A222" t="s">
        <v>1110</v>
      </c>
      <c r="B222" t="s">
        <v>368</v>
      </c>
      <c r="D222" t="s">
        <v>791</v>
      </c>
      <c r="E222" s="170" cm="1">
        <f t="array" ref="E22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154110</v>
      </c>
    </row>
    <row r="223" spans="1:5" hidden="1">
      <c r="A223" t="s">
        <v>1113</v>
      </c>
      <c r="B223" t="s">
        <v>368</v>
      </c>
      <c r="D223" t="s">
        <v>791</v>
      </c>
      <c r="E223" s="170" cm="1">
        <f t="array" ref="E22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73960</v>
      </c>
    </row>
    <row r="224" spans="1:5" hidden="1">
      <c r="A224" t="s">
        <v>1115</v>
      </c>
      <c r="B224" t="s">
        <v>32</v>
      </c>
      <c r="C224" t="s">
        <v>887</v>
      </c>
      <c r="D224" t="s">
        <v>791</v>
      </c>
      <c r="E224" s="170" cm="1">
        <f t="array" ref="E22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84720</v>
      </c>
    </row>
    <row r="225" spans="1:5" hidden="1">
      <c r="A225" t="s">
        <v>1116</v>
      </c>
      <c r="B225" t="s">
        <v>32</v>
      </c>
      <c r="C225" t="s">
        <v>860</v>
      </c>
      <c r="D225" t="s">
        <v>791</v>
      </c>
      <c r="E225" s="170" cm="1">
        <f t="array" ref="E22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23648</v>
      </c>
    </row>
    <row r="226" spans="1:5" hidden="1">
      <c r="A226" t="s">
        <v>1117</v>
      </c>
      <c r="B226" t="s">
        <v>32</v>
      </c>
      <c r="C226" t="s">
        <v>860</v>
      </c>
      <c r="D226" t="s">
        <v>791</v>
      </c>
      <c r="E226" s="170" cm="1">
        <f t="array" ref="E22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29560</v>
      </c>
    </row>
    <row r="227" spans="1:5" hidden="1">
      <c r="A227" t="s">
        <v>1119</v>
      </c>
      <c r="B227" t="s">
        <v>32</v>
      </c>
      <c r="C227" t="s">
        <v>860</v>
      </c>
      <c r="D227" t="s">
        <v>791</v>
      </c>
      <c r="E227" s="170" cm="1">
        <f t="array" ref="E22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84720</v>
      </c>
    </row>
    <row r="228" spans="1:5" hidden="1">
      <c r="A228" t="s">
        <v>1120</v>
      </c>
      <c r="B228" t="s">
        <v>32</v>
      </c>
      <c r="C228" t="s">
        <v>860</v>
      </c>
      <c r="D228" t="s">
        <v>791</v>
      </c>
      <c r="E228" s="170" cm="1">
        <f t="array" ref="E22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23374</v>
      </c>
    </row>
    <row r="229" spans="1:5" hidden="1">
      <c r="A229" t="s">
        <v>1122</v>
      </c>
      <c r="B229" t="s">
        <v>32</v>
      </c>
      <c r="C229" t="s">
        <v>860</v>
      </c>
      <c r="D229" t="s">
        <v>791</v>
      </c>
      <c r="E229" s="170" cm="1">
        <f t="array" ref="E22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23648</v>
      </c>
    </row>
    <row r="230" spans="1:5" hidden="1">
      <c r="A230" t="s">
        <v>1123</v>
      </c>
      <c r="B230" t="s">
        <v>368</v>
      </c>
      <c r="D230" t="s">
        <v>791</v>
      </c>
      <c r="E230" s="170" cm="1">
        <f t="array" ref="E23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21032</v>
      </c>
    </row>
    <row r="231" spans="1:5" hidden="1">
      <c r="A231" t="s">
        <v>1125</v>
      </c>
      <c r="B231" t="s">
        <v>368</v>
      </c>
      <c r="D231" t="s">
        <v>791</v>
      </c>
      <c r="E231" s="170" cm="1">
        <f t="array" ref="E23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52448</v>
      </c>
    </row>
    <row r="232" spans="1:5" hidden="1">
      <c r="A232" t="s">
        <v>1126</v>
      </c>
      <c r="B232" t="s">
        <v>368</v>
      </c>
      <c r="D232" t="s">
        <v>791</v>
      </c>
      <c r="E232" s="170" cm="1">
        <f t="array" ref="E23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30240</v>
      </c>
    </row>
    <row r="233" spans="1:5" hidden="1">
      <c r="A233" t="s">
        <v>1128</v>
      </c>
      <c r="B233" t="s">
        <v>368</v>
      </c>
      <c r="D233" t="s">
        <v>791</v>
      </c>
      <c r="E233" s="170" cm="1">
        <f t="array" ref="E23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13680</v>
      </c>
    </row>
    <row r="234" spans="1:5" hidden="1">
      <c r="A234" t="s">
        <v>1129</v>
      </c>
      <c r="B234" t="s">
        <v>32</v>
      </c>
      <c r="C234" t="s">
        <v>860</v>
      </c>
      <c r="D234" t="s">
        <v>791</v>
      </c>
      <c r="E234" s="170" cm="1">
        <f t="array" ref="E23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24825.119999999999</v>
      </c>
    </row>
    <row r="235" spans="1:5" hidden="1">
      <c r="A235" t="s">
        <v>1130</v>
      </c>
      <c r="B235" t="s">
        <v>13</v>
      </c>
      <c r="C235" t="s">
        <v>1131</v>
      </c>
      <c r="D235" t="s">
        <v>791</v>
      </c>
      <c r="E235" s="170" cm="1">
        <f t="array" ref="E23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6552</v>
      </c>
    </row>
    <row r="236" spans="1:5" hidden="1">
      <c r="A236" t="s">
        <v>1133</v>
      </c>
      <c r="B236" t="s">
        <v>32</v>
      </c>
      <c r="C236" t="s">
        <v>860</v>
      </c>
      <c r="D236" t="s">
        <v>791</v>
      </c>
      <c r="E236" s="170" cm="1">
        <f t="array" ref="E23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20268</v>
      </c>
    </row>
    <row r="237" spans="1:5" hidden="1">
      <c r="A237" t="s">
        <v>1134</v>
      </c>
      <c r="B237" t="s">
        <v>32</v>
      </c>
      <c r="C237" t="s">
        <v>860</v>
      </c>
      <c r="D237" t="s">
        <v>791</v>
      </c>
      <c r="E237" s="170" cm="1">
        <f t="array" ref="E23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26229.599999999999</v>
      </c>
    </row>
    <row r="238" spans="1:5" hidden="1">
      <c r="A238" t="s">
        <v>1135</v>
      </c>
      <c r="B238" t="s">
        <v>172</v>
      </c>
      <c r="C238" t="s">
        <v>860</v>
      </c>
      <c r="D238" t="s">
        <v>791</v>
      </c>
      <c r="E238" s="170" cm="1">
        <f t="array" ref="E23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1092</v>
      </c>
    </row>
    <row r="239" spans="1:5" hidden="1">
      <c r="A239" t="s">
        <v>1137</v>
      </c>
      <c r="B239" t="s">
        <v>13</v>
      </c>
      <c r="C239" t="s">
        <v>1131</v>
      </c>
      <c r="D239" t="s">
        <v>791</v>
      </c>
      <c r="E239" s="170" cm="1">
        <f t="array" ref="E23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44800</v>
      </c>
    </row>
    <row r="240" spans="1:5" hidden="1">
      <c r="A240" t="s">
        <v>1138</v>
      </c>
      <c r="B240" t="s">
        <v>16</v>
      </c>
      <c r="C240" t="s">
        <v>1131</v>
      </c>
      <c r="D240" t="s">
        <v>791</v>
      </c>
      <c r="E240" s="170" cm="1">
        <f t="array" ref="E24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8568</v>
      </c>
    </row>
    <row r="241" spans="1:5" hidden="1">
      <c r="A241" t="s">
        <v>1139</v>
      </c>
      <c r="B241" t="s">
        <v>13</v>
      </c>
      <c r="C241" t="s">
        <v>1131</v>
      </c>
      <c r="D241" t="s">
        <v>791</v>
      </c>
      <c r="E241" s="170" cm="1">
        <f t="array" ref="E24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9216</v>
      </c>
    </row>
    <row r="242" spans="1:5" hidden="1">
      <c r="A242" t="s">
        <v>1141</v>
      </c>
      <c r="B242" t="s">
        <v>13</v>
      </c>
      <c r="C242" t="s">
        <v>1131</v>
      </c>
      <c r="D242" t="s">
        <v>791</v>
      </c>
      <c r="E242" s="170" cm="1">
        <f t="array" ref="E24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239000</v>
      </c>
    </row>
    <row r="243" spans="1:5" hidden="1">
      <c r="A243" t="s">
        <v>1143</v>
      </c>
      <c r="B243" t="s">
        <v>13</v>
      </c>
      <c r="C243" t="s">
        <v>1131</v>
      </c>
      <c r="D243" t="s">
        <v>791</v>
      </c>
      <c r="E243" s="170" cm="1">
        <f t="array" ref="E24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12304</v>
      </c>
    </row>
    <row r="244" spans="1:5" hidden="1">
      <c r="A244" t="s">
        <v>1144</v>
      </c>
      <c r="B244" t="s">
        <v>13</v>
      </c>
      <c r="C244" t="s">
        <v>1131</v>
      </c>
      <c r="D244" t="s">
        <v>791</v>
      </c>
      <c r="E244" s="170" cm="1">
        <f t="array" ref="E24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94880</v>
      </c>
    </row>
    <row r="245" spans="1:5" hidden="1">
      <c r="A245" t="s">
        <v>1146</v>
      </c>
      <c r="B245" t="s">
        <v>13</v>
      </c>
      <c r="C245" t="s">
        <v>860</v>
      </c>
      <c r="D245" t="s">
        <v>791</v>
      </c>
      <c r="E245" s="170" cm="1">
        <f t="array" ref="E24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23881</v>
      </c>
    </row>
    <row r="246" spans="1:5" hidden="1">
      <c r="A246" t="s">
        <v>1148</v>
      </c>
      <c r="B246" t="s">
        <v>13</v>
      </c>
      <c r="C246" t="s">
        <v>1131</v>
      </c>
      <c r="D246" t="s">
        <v>791</v>
      </c>
      <c r="E246" s="170" cm="1">
        <f t="array" ref="E24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5943</v>
      </c>
    </row>
    <row r="247" spans="1:5" hidden="1">
      <c r="A247" t="s">
        <v>1149</v>
      </c>
      <c r="B247" t="s">
        <v>830</v>
      </c>
      <c r="C247" t="s">
        <v>831</v>
      </c>
      <c r="D247" t="s">
        <v>791</v>
      </c>
      <c r="E247" s="170" cm="1">
        <f t="array" ref="E24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1507</v>
      </c>
    </row>
    <row r="248" spans="1:5" hidden="1">
      <c r="A248" t="s">
        <v>1151</v>
      </c>
      <c r="B248" t="s">
        <v>830</v>
      </c>
      <c r="C248" t="s">
        <v>831</v>
      </c>
      <c r="D248" t="s">
        <v>791</v>
      </c>
      <c r="E248" s="170" cm="1">
        <f t="array" ref="E24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1507</v>
      </c>
    </row>
    <row r="249" spans="1:5" hidden="1">
      <c r="A249" t="s">
        <v>1152</v>
      </c>
      <c r="B249" t="s">
        <v>32</v>
      </c>
      <c r="C249" t="s">
        <v>860</v>
      </c>
      <c r="D249" t="s">
        <v>791</v>
      </c>
      <c r="E249" s="170" cm="1">
        <f t="array" ref="E24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1009.9200000000001</v>
      </c>
    </row>
    <row r="250" spans="1:5" hidden="1">
      <c r="A250" t="s">
        <v>1153</v>
      </c>
      <c r="B250" t="s">
        <v>32</v>
      </c>
      <c r="C250" t="s">
        <v>860</v>
      </c>
      <c r="D250" t="s">
        <v>791</v>
      </c>
      <c r="E250" s="170" cm="1">
        <f t="array" ref="E25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1922.88</v>
      </c>
    </row>
    <row r="251" spans="1:5" hidden="1">
      <c r="A251" t="s">
        <v>1154</v>
      </c>
      <c r="B251" t="s">
        <v>32</v>
      </c>
      <c r="C251" t="s">
        <v>860</v>
      </c>
      <c r="D251" t="s">
        <v>791</v>
      </c>
      <c r="E251" s="170" cm="1">
        <f t="array" ref="E25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631.67999999999995</v>
      </c>
    </row>
    <row r="252" spans="1:5" hidden="1">
      <c r="A252" t="s">
        <v>1155</v>
      </c>
      <c r="B252" t="s">
        <v>32</v>
      </c>
      <c r="C252" t="s">
        <v>860</v>
      </c>
      <c r="D252" t="s">
        <v>791</v>
      </c>
      <c r="E252" s="170" cm="1">
        <f t="array" ref="E25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21735.84</v>
      </c>
    </row>
    <row r="253" spans="1:5" hidden="1">
      <c r="A253" t="s">
        <v>1156</v>
      </c>
      <c r="B253" t="s">
        <v>32</v>
      </c>
      <c r="C253" t="s">
        <v>860</v>
      </c>
      <c r="D253" t="s">
        <v>791</v>
      </c>
      <c r="E253" s="170" cm="1">
        <f t="array" ref="E25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73680</v>
      </c>
    </row>
    <row r="254" spans="1:5" hidden="1">
      <c r="A254" t="s">
        <v>1158</v>
      </c>
      <c r="B254" t="s">
        <v>32</v>
      </c>
      <c r="C254" t="s">
        <v>887</v>
      </c>
      <c r="D254" t="s">
        <v>791</v>
      </c>
      <c r="E254" s="170" cm="1">
        <f t="array" ref="E25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13968</v>
      </c>
    </row>
    <row r="255" spans="1:5" hidden="1">
      <c r="A255" t="s">
        <v>1160</v>
      </c>
      <c r="B255" t="s">
        <v>193</v>
      </c>
      <c r="C255" t="s">
        <v>1059</v>
      </c>
      <c r="D255" t="s">
        <v>791</v>
      </c>
      <c r="E255" s="170" cm="1">
        <f t="array" ref="E25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1941.6</v>
      </c>
    </row>
    <row r="256" spans="1:5" hidden="1">
      <c r="A256" t="s">
        <v>1161</v>
      </c>
      <c r="B256" t="s">
        <v>193</v>
      </c>
      <c r="C256" t="s">
        <v>1059</v>
      </c>
      <c r="D256" t="s">
        <v>791</v>
      </c>
      <c r="E256" s="170" cm="1">
        <f t="array" ref="E25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1941.6</v>
      </c>
    </row>
    <row r="257" spans="1:5" hidden="1">
      <c r="A257" t="s">
        <v>1162</v>
      </c>
      <c r="B257" t="s">
        <v>193</v>
      </c>
      <c r="C257" t="s">
        <v>1059</v>
      </c>
      <c r="D257" t="s">
        <v>791</v>
      </c>
      <c r="E257" s="170" cm="1">
        <f t="array" ref="E25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5061.5999999999995</v>
      </c>
    </row>
    <row r="258" spans="1:5" hidden="1">
      <c r="A258" t="s">
        <v>1163</v>
      </c>
      <c r="B258" t="s">
        <v>193</v>
      </c>
      <c r="C258" t="s">
        <v>1059</v>
      </c>
      <c r="D258" t="s">
        <v>791</v>
      </c>
      <c r="E258" s="170" cm="1">
        <f t="array" ref="E25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7954.56</v>
      </c>
    </row>
    <row r="259" spans="1:5" hidden="1">
      <c r="A259" t="s">
        <v>1164</v>
      </c>
      <c r="B259" t="s">
        <v>193</v>
      </c>
      <c r="C259" t="s">
        <v>1059</v>
      </c>
      <c r="D259" t="s">
        <v>791</v>
      </c>
      <c r="E259" s="170" cm="1">
        <f t="array" ref="E25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60" spans="1:5" hidden="1">
      <c r="A260" t="s">
        <v>1165</v>
      </c>
      <c r="B260" t="s">
        <v>32</v>
      </c>
      <c r="C260" t="s">
        <v>860</v>
      </c>
      <c r="D260" t="s">
        <v>791</v>
      </c>
      <c r="E260" s="170" cm="1">
        <f t="array" ref="E26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4663.2</v>
      </c>
    </row>
    <row r="261" spans="1:5" hidden="1">
      <c r="A261" t="s">
        <v>1166</v>
      </c>
      <c r="B261" t="s">
        <v>32</v>
      </c>
      <c r="C261" t="s">
        <v>860</v>
      </c>
      <c r="D261" t="s">
        <v>791</v>
      </c>
      <c r="E261" s="170" cm="1">
        <f t="array" ref="E26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3477.6</v>
      </c>
    </row>
    <row r="262" spans="1:5" hidden="1">
      <c r="A262" t="s">
        <v>1167</v>
      </c>
      <c r="B262" t="s">
        <v>321</v>
      </c>
      <c r="C262" t="s">
        <v>860</v>
      </c>
      <c r="D262" t="s">
        <v>791</v>
      </c>
      <c r="E262" s="170" cm="1">
        <f t="array" ref="E26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1296</v>
      </c>
    </row>
    <row r="263" spans="1:5" hidden="1">
      <c r="A263" t="s">
        <v>1168</v>
      </c>
      <c r="B263" t="s">
        <v>321</v>
      </c>
      <c r="C263" t="s">
        <v>860</v>
      </c>
      <c r="D263" t="s">
        <v>791</v>
      </c>
      <c r="E263" s="170" cm="1">
        <f t="array" ref="E26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7714</v>
      </c>
    </row>
    <row r="264" spans="1:5" hidden="1">
      <c r="A264" t="s">
        <v>1170</v>
      </c>
      <c r="B264" t="s">
        <v>321</v>
      </c>
      <c r="C264" t="s">
        <v>860</v>
      </c>
      <c r="D264" t="s">
        <v>791</v>
      </c>
      <c r="E264" s="170" cm="1">
        <f t="array" ref="E26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5552</v>
      </c>
    </row>
    <row r="265" spans="1:5" hidden="1">
      <c r="A265" t="s">
        <v>1171</v>
      </c>
      <c r="B265" t="s">
        <v>321</v>
      </c>
      <c r="C265" t="s">
        <v>860</v>
      </c>
      <c r="D265" t="s">
        <v>791</v>
      </c>
      <c r="E265" s="170" cm="1">
        <f t="array" ref="E26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14232</v>
      </c>
    </row>
    <row r="266" spans="1:5" hidden="1">
      <c r="A266" t="s">
        <v>1172</v>
      </c>
      <c r="B266" t="s">
        <v>321</v>
      </c>
      <c r="C266" t="s">
        <v>860</v>
      </c>
      <c r="D266" t="s">
        <v>791</v>
      </c>
      <c r="E266" s="170" cm="1">
        <f t="array" ref="E26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2304</v>
      </c>
    </row>
    <row r="267" spans="1:5" hidden="1">
      <c r="A267" t="s">
        <v>1173</v>
      </c>
      <c r="B267" t="s">
        <v>32</v>
      </c>
      <c r="C267" t="s">
        <v>860</v>
      </c>
      <c r="D267" t="s">
        <v>791</v>
      </c>
      <c r="E267" s="170" cm="1">
        <f t="array" ref="E26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7710.72</v>
      </c>
    </row>
    <row r="268" spans="1:5" hidden="1">
      <c r="A268" t="s">
        <v>1174</v>
      </c>
      <c r="B268" t="s">
        <v>193</v>
      </c>
      <c r="C268" t="s">
        <v>1059</v>
      </c>
      <c r="D268" t="s">
        <v>791</v>
      </c>
      <c r="E268" s="170" cm="1">
        <f t="array" ref="E26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269" spans="1:5" hidden="1">
      <c r="A269" t="s">
        <v>1175</v>
      </c>
      <c r="B269" t="s">
        <v>13</v>
      </c>
      <c r="C269" t="s">
        <v>1131</v>
      </c>
      <c r="D269" t="s">
        <v>791</v>
      </c>
      <c r="E269" s="170" cm="1">
        <f t="array" ref="E26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5632</v>
      </c>
    </row>
    <row r="270" spans="1:5" hidden="1">
      <c r="A270" t="s">
        <v>1176</v>
      </c>
      <c r="B270" t="s">
        <v>13</v>
      </c>
      <c r="C270" t="s">
        <v>1131</v>
      </c>
      <c r="D270" t="s">
        <v>791</v>
      </c>
      <c r="E270" s="170" cm="1">
        <f t="array" ref="E27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4312</v>
      </c>
    </row>
    <row r="271" spans="1:5" hidden="1">
      <c r="A271" t="s">
        <v>1177</v>
      </c>
      <c r="B271" t="s">
        <v>13</v>
      </c>
      <c r="C271" t="s">
        <v>860</v>
      </c>
      <c r="D271" t="s">
        <v>791</v>
      </c>
      <c r="E271" s="170" cm="1">
        <f t="array" ref="E27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6120</v>
      </c>
    </row>
    <row r="272" spans="1:5" hidden="1">
      <c r="A272" t="s">
        <v>1179</v>
      </c>
      <c r="B272" t="s">
        <v>172</v>
      </c>
      <c r="C272" t="s">
        <v>860</v>
      </c>
      <c r="D272" t="s">
        <v>791</v>
      </c>
      <c r="E272" s="170" cm="1">
        <f t="array" ref="E27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4658</v>
      </c>
    </row>
    <row r="273" spans="1:5" hidden="1">
      <c r="A273" t="s">
        <v>1180</v>
      </c>
      <c r="B273" t="s">
        <v>172</v>
      </c>
      <c r="C273" t="s">
        <v>860</v>
      </c>
      <c r="D273" t="s">
        <v>791</v>
      </c>
      <c r="E273" s="170" cm="1">
        <f t="array" ref="E27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9012</v>
      </c>
    </row>
    <row r="274" spans="1:5" hidden="1">
      <c r="A274" t="s">
        <v>1181</v>
      </c>
      <c r="B274" t="s">
        <v>172</v>
      </c>
      <c r="C274" t="s">
        <v>860</v>
      </c>
      <c r="D274" t="s">
        <v>791</v>
      </c>
      <c r="E274" s="170" cm="1">
        <f t="array" ref="E27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37925</v>
      </c>
    </row>
    <row r="275" spans="1:5" hidden="1">
      <c r="A275" t="s">
        <v>1183</v>
      </c>
      <c r="B275" t="s">
        <v>172</v>
      </c>
      <c r="C275" t="s">
        <v>860</v>
      </c>
      <c r="D275" t="s">
        <v>791</v>
      </c>
      <c r="E275" s="170" cm="1">
        <f t="array" ref="E27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19298</v>
      </c>
    </row>
    <row r="276" spans="1:5" hidden="1">
      <c r="A276" t="s">
        <v>1184</v>
      </c>
      <c r="B276" t="s">
        <v>16</v>
      </c>
      <c r="C276" t="s">
        <v>1131</v>
      </c>
      <c r="D276" t="s">
        <v>791</v>
      </c>
      <c r="E276" s="170" cm="1">
        <f t="array" ref="E27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11750</v>
      </c>
    </row>
    <row r="277" spans="1:5" hidden="1">
      <c r="A277" t="s">
        <v>1186</v>
      </c>
      <c r="B277" t="s">
        <v>16</v>
      </c>
      <c r="C277" t="s">
        <v>1131</v>
      </c>
      <c r="D277" t="s">
        <v>791</v>
      </c>
      <c r="E277" s="170" cm="1">
        <f t="array" ref="E27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27136</v>
      </c>
    </row>
    <row r="278" spans="1:5" hidden="1">
      <c r="A278" t="s">
        <v>1187</v>
      </c>
      <c r="B278" t="s">
        <v>16</v>
      </c>
      <c r="C278" t="s">
        <v>1131</v>
      </c>
      <c r="D278" t="s">
        <v>791</v>
      </c>
      <c r="E278" s="170" cm="1">
        <f t="array" ref="E27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36200</v>
      </c>
    </row>
    <row r="279" spans="1:5" hidden="1">
      <c r="A279" t="s">
        <v>1188</v>
      </c>
      <c r="B279" t="s">
        <v>16</v>
      </c>
      <c r="C279" t="s">
        <v>1131</v>
      </c>
      <c r="D279" t="s">
        <v>791</v>
      </c>
      <c r="E279" s="170" cm="1">
        <f t="array" ref="E27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60160</v>
      </c>
    </row>
    <row r="280" spans="1:5" hidden="1">
      <c r="A280" t="s">
        <v>1189</v>
      </c>
      <c r="B280" t="s">
        <v>13</v>
      </c>
      <c r="C280" t="s">
        <v>1131</v>
      </c>
      <c r="D280" t="s">
        <v>791</v>
      </c>
      <c r="E280" s="170" cm="1">
        <f t="array" ref="E28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11048</v>
      </c>
    </row>
    <row r="281" spans="1:5" hidden="1">
      <c r="A281" t="s">
        <v>1190</v>
      </c>
      <c r="B281" t="s">
        <v>13</v>
      </c>
      <c r="C281" t="s">
        <v>1131</v>
      </c>
      <c r="D281" t="s">
        <v>791</v>
      </c>
      <c r="E281" s="170" cm="1">
        <f t="array" ref="E28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12500</v>
      </c>
    </row>
    <row r="282" spans="1:5" hidden="1">
      <c r="A282" t="s">
        <v>1191</v>
      </c>
      <c r="B282" t="s">
        <v>13</v>
      </c>
      <c r="C282" t="s">
        <v>1131</v>
      </c>
      <c r="D282" t="s">
        <v>791</v>
      </c>
      <c r="E282" s="170" cm="1">
        <f t="array" ref="E28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24000</v>
      </c>
    </row>
    <row r="283" spans="1:5" hidden="1">
      <c r="A283" t="s">
        <v>1193</v>
      </c>
      <c r="B283" t="s">
        <v>13</v>
      </c>
      <c r="C283" t="s">
        <v>1131</v>
      </c>
      <c r="D283" t="s">
        <v>791</v>
      </c>
      <c r="E283" s="170" cm="1">
        <f t="array" ref="E28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35251</v>
      </c>
    </row>
    <row r="284" spans="1:5" hidden="1">
      <c r="A284" t="s">
        <v>1194</v>
      </c>
      <c r="B284" t="s">
        <v>13</v>
      </c>
      <c r="C284" t="s">
        <v>1131</v>
      </c>
      <c r="D284" t="s">
        <v>791</v>
      </c>
      <c r="E284" s="170" cm="1">
        <f t="array" ref="E28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137560</v>
      </c>
    </row>
    <row r="285" spans="1:5" hidden="1">
      <c r="A285" t="s">
        <v>1196</v>
      </c>
      <c r="B285" t="s">
        <v>13</v>
      </c>
      <c r="C285" t="s">
        <v>1131</v>
      </c>
      <c r="D285" t="s">
        <v>791</v>
      </c>
      <c r="E285" s="170" cm="1">
        <f t="array" ref="E28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265424</v>
      </c>
    </row>
    <row r="286" spans="1:5" hidden="1">
      <c r="A286" t="s">
        <v>1197</v>
      </c>
      <c r="B286" t="s">
        <v>13</v>
      </c>
      <c r="C286" t="s">
        <v>860</v>
      </c>
      <c r="D286" t="s">
        <v>791</v>
      </c>
      <c r="E286" s="170" cm="1">
        <f t="array" ref="E28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5280</v>
      </c>
    </row>
    <row r="287" spans="1:5" hidden="1">
      <c r="A287" t="s">
        <v>1199</v>
      </c>
      <c r="B287" t="s">
        <v>830</v>
      </c>
      <c r="C287" t="s">
        <v>831</v>
      </c>
      <c r="D287" t="s">
        <v>791</v>
      </c>
      <c r="E287" s="170" cm="1">
        <f t="array" ref="E28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1288</v>
      </c>
    </row>
    <row r="288" spans="1:5" hidden="1">
      <c r="A288" t="s">
        <v>1200</v>
      </c>
      <c r="B288" t="s">
        <v>830</v>
      </c>
      <c r="C288" t="s">
        <v>831</v>
      </c>
      <c r="D288" t="s">
        <v>791</v>
      </c>
      <c r="E288" s="170" cm="1">
        <f t="array" ref="E28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6500</v>
      </c>
    </row>
    <row r="289" spans="1:5" hidden="1">
      <c r="A289" t="s">
        <v>1201</v>
      </c>
      <c r="B289" t="s">
        <v>830</v>
      </c>
      <c r="C289" t="s">
        <v>831</v>
      </c>
      <c r="D289" t="s">
        <v>791</v>
      </c>
      <c r="E289" s="170" cm="1">
        <f t="array" ref="E28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10780</v>
      </c>
    </row>
    <row r="290" spans="1:5" hidden="1">
      <c r="A290" t="s">
        <v>1203</v>
      </c>
      <c r="B290" t="s">
        <v>830</v>
      </c>
      <c r="C290" t="s">
        <v>831</v>
      </c>
      <c r="D290" t="s">
        <v>791</v>
      </c>
      <c r="E290" s="170" cm="1">
        <f t="array" ref="E29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6500</v>
      </c>
    </row>
    <row r="291" spans="1:5" hidden="1">
      <c r="A291" t="s">
        <v>1204</v>
      </c>
      <c r="B291" t="s">
        <v>32</v>
      </c>
      <c r="C291" t="s">
        <v>860</v>
      </c>
      <c r="D291" t="s">
        <v>791</v>
      </c>
      <c r="E291" s="170" cm="1">
        <f t="array" ref="E29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4294.5599999999995</v>
      </c>
    </row>
    <row r="292" spans="1:5" hidden="1">
      <c r="A292" t="s">
        <v>1205</v>
      </c>
      <c r="B292" t="s">
        <v>32</v>
      </c>
      <c r="C292" t="s">
        <v>860</v>
      </c>
      <c r="D292" t="s">
        <v>791</v>
      </c>
      <c r="E292" s="170" cm="1">
        <f t="array" ref="E29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612.95999999999992</v>
      </c>
    </row>
    <row r="293" spans="1:5" hidden="1">
      <c r="A293" t="s">
        <v>1206</v>
      </c>
      <c r="B293" t="s">
        <v>32</v>
      </c>
      <c r="C293" t="s">
        <v>860</v>
      </c>
      <c r="D293" t="s">
        <v>791</v>
      </c>
      <c r="E293" s="170" cm="1">
        <f t="array" ref="E29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1197.5999999999999</v>
      </c>
    </row>
    <row r="294" spans="1:5" hidden="1">
      <c r="A294" t="s">
        <v>1207</v>
      </c>
      <c r="B294" t="s">
        <v>32</v>
      </c>
      <c r="C294" t="s">
        <v>860</v>
      </c>
      <c r="D294" t="s">
        <v>791</v>
      </c>
      <c r="E294" s="170" cm="1">
        <f t="array" ref="E29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7038.2400000000007</v>
      </c>
    </row>
    <row r="295" spans="1:5" hidden="1">
      <c r="A295" t="s">
        <v>1208</v>
      </c>
      <c r="B295" t="s">
        <v>32</v>
      </c>
      <c r="C295" t="s">
        <v>860</v>
      </c>
      <c r="D295" t="s">
        <v>791</v>
      </c>
      <c r="E295" s="170" cm="1">
        <f t="array" ref="E29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69440</v>
      </c>
    </row>
    <row r="296" spans="1:5" hidden="1">
      <c r="A296" t="s">
        <v>1209</v>
      </c>
      <c r="B296" t="s">
        <v>32</v>
      </c>
      <c r="C296" t="s">
        <v>887</v>
      </c>
      <c r="D296" t="s">
        <v>791</v>
      </c>
      <c r="E296" s="170" cm="1">
        <f t="array" ref="E29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4688</v>
      </c>
    </row>
    <row r="297" spans="1:5" hidden="1">
      <c r="A297" t="s">
        <v>1211</v>
      </c>
      <c r="B297" t="s">
        <v>32</v>
      </c>
      <c r="C297" t="s">
        <v>887</v>
      </c>
      <c r="D297" t="s">
        <v>791</v>
      </c>
      <c r="E297" s="170" cm="1">
        <f t="array" ref="E29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3336</v>
      </c>
    </row>
    <row r="298" spans="1:5" hidden="1">
      <c r="A298" t="s">
        <v>1212</v>
      </c>
      <c r="B298" t="s">
        <v>193</v>
      </c>
      <c r="C298" t="s">
        <v>1059</v>
      </c>
      <c r="D298" t="s">
        <v>791</v>
      </c>
      <c r="E298" s="170" cm="1">
        <f t="array" ref="E29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1678.56</v>
      </c>
    </row>
    <row r="299" spans="1:5" hidden="1">
      <c r="A299" t="s">
        <v>1213</v>
      </c>
      <c r="B299" t="s">
        <v>193</v>
      </c>
      <c r="C299" t="s">
        <v>1059</v>
      </c>
      <c r="D299" t="s">
        <v>791</v>
      </c>
      <c r="E299" s="170" cm="1">
        <f t="array" ref="E29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1967.0400000000002</v>
      </c>
    </row>
    <row r="300" spans="1:5" hidden="1">
      <c r="A300" t="s">
        <v>2103</v>
      </c>
      <c r="B300" t="s">
        <v>193</v>
      </c>
      <c r="D300" t="s">
        <v>791</v>
      </c>
      <c r="E300" s="170" cm="1">
        <f t="array" ref="E30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7923.84</v>
      </c>
    </row>
    <row r="301" spans="1:5" hidden="1">
      <c r="A301" t="s">
        <v>1215</v>
      </c>
      <c r="B301" t="s">
        <v>193</v>
      </c>
      <c r="C301" t="s">
        <v>1059</v>
      </c>
      <c r="D301" t="s">
        <v>791</v>
      </c>
      <c r="E301" s="170" cm="1">
        <f t="array" ref="E30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67072.319999999992</v>
      </c>
    </row>
    <row r="302" spans="1:5" hidden="1">
      <c r="A302" t="s">
        <v>1216</v>
      </c>
      <c r="B302" t="s">
        <v>193</v>
      </c>
      <c r="C302" t="s">
        <v>1059</v>
      </c>
      <c r="D302" t="s">
        <v>791</v>
      </c>
      <c r="E302" s="170" cm="1">
        <f t="array" ref="E30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03" spans="1:5" hidden="1">
      <c r="A303" t="s">
        <v>1217</v>
      </c>
      <c r="B303" t="s">
        <v>32</v>
      </c>
      <c r="C303" t="s">
        <v>887</v>
      </c>
      <c r="D303" t="s">
        <v>791</v>
      </c>
      <c r="E303" s="170" cm="1">
        <f t="array" ref="E30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16432</v>
      </c>
    </row>
    <row r="304" spans="1:5" hidden="1">
      <c r="A304" t="s">
        <v>1219</v>
      </c>
      <c r="B304" t="s">
        <v>32</v>
      </c>
      <c r="C304" t="s">
        <v>887</v>
      </c>
      <c r="D304" t="s">
        <v>791</v>
      </c>
      <c r="E304" s="170" cm="1">
        <f t="array" ref="E30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21757</v>
      </c>
    </row>
    <row r="305" spans="1:5" hidden="1">
      <c r="A305" t="s">
        <v>1221</v>
      </c>
      <c r="B305" t="s">
        <v>32</v>
      </c>
      <c r="C305" t="s">
        <v>887</v>
      </c>
      <c r="D305" t="s">
        <v>791</v>
      </c>
      <c r="E305" s="170" cm="1">
        <f t="array" ref="E30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6824</v>
      </c>
    </row>
    <row r="306" spans="1:5" hidden="1">
      <c r="A306" t="s">
        <v>1222</v>
      </c>
      <c r="B306" t="s">
        <v>321</v>
      </c>
      <c r="C306" t="s">
        <v>860</v>
      </c>
      <c r="D306" t="s">
        <v>791</v>
      </c>
      <c r="E306" s="170" cm="1">
        <f t="array" ref="E30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4532</v>
      </c>
    </row>
    <row r="307" spans="1:5" hidden="1">
      <c r="A307" t="s">
        <v>1224</v>
      </c>
      <c r="B307" t="s">
        <v>321</v>
      </c>
      <c r="C307" t="s">
        <v>860</v>
      </c>
      <c r="D307" t="s">
        <v>791</v>
      </c>
      <c r="E307" s="170" cm="1">
        <f t="array" ref="E30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4170</v>
      </c>
    </row>
    <row r="308" spans="1:5" hidden="1">
      <c r="A308" t="s">
        <v>1225</v>
      </c>
      <c r="B308" t="s">
        <v>321</v>
      </c>
      <c r="C308" t="s">
        <v>860</v>
      </c>
      <c r="D308" t="s">
        <v>791</v>
      </c>
      <c r="E308" s="170" cm="1">
        <f t="array" ref="E30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1820</v>
      </c>
    </row>
    <row r="309" spans="1:5" hidden="1">
      <c r="A309" t="s">
        <v>1226</v>
      </c>
      <c r="B309" t="s">
        <v>321</v>
      </c>
      <c r="C309" t="s">
        <v>860</v>
      </c>
      <c r="D309" t="s">
        <v>791</v>
      </c>
      <c r="E309" s="170" cm="1">
        <f t="array" ref="E30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7040</v>
      </c>
    </row>
    <row r="310" spans="1:5" hidden="1">
      <c r="A310" t="s">
        <v>1227</v>
      </c>
      <c r="B310" t="s">
        <v>321</v>
      </c>
      <c r="C310" t="s">
        <v>860</v>
      </c>
      <c r="D310" t="s">
        <v>791</v>
      </c>
      <c r="E310" s="170" cm="1">
        <f t="array" ref="E31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13900</v>
      </c>
    </row>
    <row r="311" spans="1:5" hidden="1">
      <c r="A311" t="s">
        <v>1228</v>
      </c>
      <c r="B311" t="s">
        <v>321</v>
      </c>
      <c r="C311" t="s">
        <v>860</v>
      </c>
      <c r="D311" t="s">
        <v>791</v>
      </c>
      <c r="E311" s="170" cm="1">
        <f t="array" ref="E31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1824</v>
      </c>
    </row>
    <row r="312" spans="1:5" hidden="1">
      <c r="A312" t="s">
        <v>1229</v>
      </c>
      <c r="B312" t="s">
        <v>460</v>
      </c>
      <c r="C312" t="s">
        <v>860</v>
      </c>
      <c r="D312" t="s">
        <v>791</v>
      </c>
      <c r="E312" s="170" cm="1">
        <f t="array" ref="E31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2040</v>
      </c>
    </row>
    <row r="313" spans="1:5" hidden="1">
      <c r="A313" t="s">
        <v>1231</v>
      </c>
      <c r="B313" t="s">
        <v>460</v>
      </c>
      <c r="C313" t="s">
        <v>860</v>
      </c>
      <c r="D313" t="s">
        <v>791</v>
      </c>
      <c r="E313" s="170" cm="1">
        <f t="array" ref="E31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1144</v>
      </c>
    </row>
    <row r="314" spans="1:5" hidden="1">
      <c r="A314" t="s">
        <v>1232</v>
      </c>
      <c r="B314" t="s">
        <v>460</v>
      </c>
      <c r="C314" t="s">
        <v>860</v>
      </c>
      <c r="D314" t="s">
        <v>791</v>
      </c>
      <c r="E314" s="170" cm="1">
        <f t="array" ref="E31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29600</v>
      </c>
    </row>
    <row r="315" spans="1:5" hidden="1">
      <c r="A315" t="s">
        <v>1233</v>
      </c>
      <c r="B315" t="s">
        <v>32</v>
      </c>
      <c r="C315" t="s">
        <v>860</v>
      </c>
      <c r="D315" t="s">
        <v>791</v>
      </c>
      <c r="E315" s="170" cm="1">
        <f t="array" ref="E31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2300.16</v>
      </c>
    </row>
    <row r="316" spans="1:5" hidden="1">
      <c r="A316" t="s">
        <v>1234</v>
      </c>
      <c r="B316" t="s">
        <v>32</v>
      </c>
      <c r="C316" t="s">
        <v>860</v>
      </c>
      <c r="D316" t="s">
        <v>791</v>
      </c>
      <c r="E316" s="170" cm="1">
        <f t="array" ref="E31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56903.519999999997</v>
      </c>
    </row>
    <row r="317" spans="1:5" hidden="1">
      <c r="A317" t="s">
        <v>1235</v>
      </c>
      <c r="B317" t="s">
        <v>321</v>
      </c>
      <c r="C317" t="s">
        <v>860</v>
      </c>
      <c r="D317" t="s">
        <v>791</v>
      </c>
      <c r="E317" s="170" cm="1">
        <f t="array" ref="E31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24700</v>
      </c>
    </row>
    <row r="318" spans="1:5" hidden="1">
      <c r="A318" t="s">
        <v>1237</v>
      </c>
      <c r="B318" t="s">
        <v>32</v>
      </c>
      <c r="C318" t="s">
        <v>887</v>
      </c>
      <c r="D318" t="s">
        <v>791</v>
      </c>
      <c r="E318" s="170" cm="1">
        <f t="array" ref="E31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68080</v>
      </c>
    </row>
    <row r="319" spans="1:5" hidden="1">
      <c r="A319" t="s">
        <v>1239</v>
      </c>
      <c r="B319" t="s">
        <v>368</v>
      </c>
      <c r="D319" t="s">
        <v>791</v>
      </c>
      <c r="E319" s="170" cm="1">
        <f t="array" ref="E31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20" spans="1:5" hidden="1">
      <c r="A320" t="s">
        <v>1241</v>
      </c>
      <c r="B320" t="s">
        <v>1242</v>
      </c>
      <c r="D320" t="s">
        <v>791</v>
      </c>
      <c r="E320" s="170" cm="1">
        <f t="array" ref="E32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106502.40000000001</v>
      </c>
    </row>
    <row r="321" spans="1:5" hidden="1">
      <c r="A321" t="s">
        <v>1243</v>
      </c>
      <c r="B321" t="s">
        <v>1242</v>
      </c>
      <c r="D321" t="s">
        <v>791</v>
      </c>
      <c r="E321" s="170" cm="1">
        <f t="array" ref="E32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22" spans="1:5" hidden="1">
      <c r="A322" t="s">
        <v>1244</v>
      </c>
      <c r="B322" t="s">
        <v>1242</v>
      </c>
      <c r="D322" t="s">
        <v>791</v>
      </c>
      <c r="E322" s="170" cm="1">
        <f t="array" ref="E32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23" spans="1:5" hidden="1">
      <c r="A323" t="s">
        <v>1103</v>
      </c>
      <c r="B323" t="s">
        <v>915</v>
      </c>
      <c r="D323" t="s">
        <v>791</v>
      </c>
      <c r="E323" s="170" cm="1">
        <f t="array" ref="E32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24" spans="1:5" hidden="1">
      <c r="A324" t="s">
        <v>1245</v>
      </c>
      <c r="B324" t="s">
        <v>32</v>
      </c>
      <c r="C324" t="s">
        <v>860</v>
      </c>
      <c r="D324" t="s">
        <v>791</v>
      </c>
      <c r="E324" s="170" cm="1">
        <f t="array" ref="E32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23752</v>
      </c>
    </row>
    <row r="325" spans="1:5" hidden="1">
      <c r="A325" t="s">
        <v>1246</v>
      </c>
      <c r="B325" t="s">
        <v>32</v>
      </c>
      <c r="C325" t="s">
        <v>860</v>
      </c>
      <c r="D325" t="s">
        <v>791</v>
      </c>
      <c r="E325" s="170" cm="1">
        <f t="array" ref="E32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16833</v>
      </c>
    </row>
    <row r="326" spans="1:5" hidden="1">
      <c r="A326" t="s">
        <v>1247</v>
      </c>
      <c r="B326" t="s">
        <v>32</v>
      </c>
      <c r="C326" t="s">
        <v>860</v>
      </c>
      <c r="D326" t="s">
        <v>791</v>
      </c>
      <c r="E326" s="170" cm="1">
        <f t="array" ref="E32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17126.88</v>
      </c>
    </row>
    <row r="327" spans="1:5" hidden="1">
      <c r="A327" t="s">
        <v>1248</v>
      </c>
      <c r="B327" t="s">
        <v>32</v>
      </c>
      <c r="C327" t="s">
        <v>860</v>
      </c>
      <c r="D327" t="s">
        <v>791</v>
      </c>
      <c r="E327" s="170" cm="1">
        <f t="array" ref="E32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85200</v>
      </c>
    </row>
    <row r="328" spans="1:5" hidden="1">
      <c r="A328" t="s">
        <v>1249</v>
      </c>
      <c r="B328" t="s">
        <v>32</v>
      </c>
      <c r="C328" t="s">
        <v>860</v>
      </c>
      <c r="D328" t="s">
        <v>791</v>
      </c>
      <c r="E328" s="170" cm="1">
        <f t="array" ref="E32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20160</v>
      </c>
    </row>
    <row r="329" spans="1:5" hidden="1">
      <c r="A329" t="s">
        <v>1250</v>
      </c>
      <c r="B329" t="s">
        <v>32</v>
      </c>
      <c r="C329" t="s">
        <v>887</v>
      </c>
      <c r="D329" t="s">
        <v>791</v>
      </c>
      <c r="E329" s="170" cm="1">
        <f t="array" ref="E32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15000</v>
      </c>
    </row>
    <row r="330" spans="1:5" hidden="1">
      <c r="A330" t="s">
        <v>1251</v>
      </c>
      <c r="B330" t="s">
        <v>661</v>
      </c>
      <c r="D330" t="s">
        <v>791</v>
      </c>
      <c r="E330" s="170" cm="1">
        <f t="array" ref="E33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31" spans="1:5" hidden="1">
      <c r="A331" t="s">
        <v>1252</v>
      </c>
      <c r="B331" t="s">
        <v>661</v>
      </c>
      <c r="D331" t="s">
        <v>791</v>
      </c>
      <c r="E331" s="170" cm="1">
        <f t="array" ref="E33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32" spans="1:5" hidden="1">
      <c r="A332" t="s">
        <v>1253</v>
      </c>
      <c r="B332" t="s">
        <v>661</v>
      </c>
      <c r="D332" t="s">
        <v>791</v>
      </c>
      <c r="E332" s="170" cm="1">
        <f t="array" ref="E33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13298</v>
      </c>
    </row>
    <row r="333" spans="1:5" hidden="1">
      <c r="A333" t="s">
        <v>1255</v>
      </c>
      <c r="B333" t="s">
        <v>661</v>
      </c>
      <c r="D333" t="s">
        <v>791</v>
      </c>
      <c r="E333" s="170" cm="1">
        <f t="array" ref="E33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18974</v>
      </c>
    </row>
    <row r="334" spans="1:5" hidden="1">
      <c r="A334" t="s">
        <v>1257</v>
      </c>
      <c r="B334" t="s">
        <v>661</v>
      </c>
      <c r="D334" t="s">
        <v>791</v>
      </c>
      <c r="E334" s="170" cm="1">
        <f t="array" ref="E33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15327</v>
      </c>
    </row>
    <row r="335" spans="1:5" hidden="1">
      <c r="A335" t="s">
        <v>1258</v>
      </c>
      <c r="B335" t="s">
        <v>661</v>
      </c>
      <c r="D335" t="s">
        <v>791</v>
      </c>
      <c r="E335" s="170" cm="1">
        <f t="array" ref="E33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36" spans="1:5" hidden="1">
      <c r="A336" t="s">
        <v>2104</v>
      </c>
      <c r="B336" t="s">
        <v>2081</v>
      </c>
      <c r="D336" t="s">
        <v>791</v>
      </c>
      <c r="E336" s="170" cm="1">
        <f t="array" ref="E33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37" spans="1:5" hidden="1">
      <c r="A337" t="s">
        <v>2105</v>
      </c>
      <c r="B337" t="s">
        <v>2081</v>
      </c>
      <c r="D337" t="s">
        <v>791</v>
      </c>
      <c r="E337" s="170" cm="1">
        <f t="array" ref="E33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38" spans="1:5" hidden="1">
      <c r="A338" t="s">
        <v>2106</v>
      </c>
      <c r="B338" t="s">
        <v>2081</v>
      </c>
      <c r="D338" t="s">
        <v>791</v>
      </c>
      <c r="E338" s="170" cm="1">
        <f t="array" ref="E33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39" spans="1:5" hidden="1">
      <c r="A339" t="s">
        <v>2107</v>
      </c>
      <c r="B339" t="s">
        <v>2081</v>
      </c>
      <c r="D339" t="s">
        <v>791</v>
      </c>
      <c r="E339" s="170" cm="1">
        <f t="array" ref="E33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40" spans="1:5" hidden="1">
      <c r="A340" t="s">
        <v>1259</v>
      </c>
      <c r="B340" t="s">
        <v>32</v>
      </c>
      <c r="C340" t="s">
        <v>860</v>
      </c>
      <c r="D340" t="s">
        <v>791</v>
      </c>
      <c r="E340" s="170" cm="1">
        <f t="array" ref="E34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20400</v>
      </c>
    </row>
    <row r="341" spans="1:5" hidden="1">
      <c r="A341" t="s">
        <v>1260</v>
      </c>
      <c r="B341" t="s">
        <v>193</v>
      </c>
      <c r="C341" t="s">
        <v>1059</v>
      </c>
      <c r="D341" t="s">
        <v>791</v>
      </c>
      <c r="E341" s="170" cm="1">
        <f t="array" ref="E34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42" spans="1:5" hidden="1">
      <c r="A342" t="s">
        <v>1261</v>
      </c>
      <c r="B342" t="s">
        <v>32</v>
      </c>
      <c r="C342" t="s">
        <v>860</v>
      </c>
      <c r="D342" t="s">
        <v>791</v>
      </c>
      <c r="E342" s="170" cm="1">
        <f t="array" ref="E34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17840</v>
      </c>
    </row>
    <row r="343" spans="1:5" hidden="1">
      <c r="A343" t="s">
        <v>1263</v>
      </c>
      <c r="B343" t="s">
        <v>374</v>
      </c>
      <c r="C343" t="s">
        <v>1264</v>
      </c>
      <c r="D343" t="s">
        <v>791</v>
      </c>
      <c r="E343" s="170" cm="1">
        <f t="array" ref="E34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1920</v>
      </c>
    </row>
    <row r="344" spans="1:5" hidden="1">
      <c r="A344" t="s">
        <v>1265</v>
      </c>
      <c r="B344" t="s">
        <v>374</v>
      </c>
      <c r="C344" t="s">
        <v>1264</v>
      </c>
      <c r="D344" t="s">
        <v>791</v>
      </c>
      <c r="E344" s="170" cm="1">
        <f t="array" ref="E34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2540</v>
      </c>
    </row>
    <row r="345" spans="1:5" hidden="1">
      <c r="A345" t="s">
        <v>1267</v>
      </c>
      <c r="B345" t="s">
        <v>374</v>
      </c>
      <c r="C345" t="s">
        <v>1264</v>
      </c>
      <c r="D345" t="s">
        <v>791</v>
      </c>
      <c r="E345" s="170" cm="1">
        <f t="array" ref="E34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3680</v>
      </c>
    </row>
    <row r="346" spans="1:5" hidden="1">
      <c r="A346" t="s">
        <v>1269</v>
      </c>
      <c r="B346" t="s">
        <v>374</v>
      </c>
      <c r="C346" t="s">
        <v>1264</v>
      </c>
      <c r="D346" t="s">
        <v>791</v>
      </c>
      <c r="E346" s="170" cm="1">
        <f t="array" ref="E34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2800</v>
      </c>
    </row>
    <row r="347" spans="1:5" hidden="1">
      <c r="A347" t="s">
        <v>1270</v>
      </c>
      <c r="B347" t="s">
        <v>374</v>
      </c>
      <c r="C347" t="s">
        <v>1264</v>
      </c>
      <c r="D347" t="s">
        <v>791</v>
      </c>
      <c r="E347" s="170" cm="1">
        <f t="array" ref="E34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2352</v>
      </c>
    </row>
    <row r="348" spans="1:5" hidden="1">
      <c r="A348" t="s">
        <v>1271</v>
      </c>
      <c r="B348" t="s">
        <v>374</v>
      </c>
      <c r="C348" t="s">
        <v>1264</v>
      </c>
      <c r="D348" t="s">
        <v>791</v>
      </c>
      <c r="E348" s="170" cm="1">
        <f t="array" ref="E34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2560</v>
      </c>
    </row>
    <row r="349" spans="1:5" hidden="1">
      <c r="A349" t="s">
        <v>1272</v>
      </c>
      <c r="B349" t="s">
        <v>374</v>
      </c>
      <c r="C349" t="s">
        <v>1264</v>
      </c>
      <c r="D349" t="s">
        <v>791</v>
      </c>
      <c r="E349" s="170" cm="1">
        <f t="array" ref="E34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2540</v>
      </c>
    </row>
    <row r="350" spans="1:5" hidden="1">
      <c r="A350" t="s">
        <v>1273</v>
      </c>
      <c r="B350" t="s">
        <v>374</v>
      </c>
      <c r="C350" t="s">
        <v>1264</v>
      </c>
      <c r="D350" t="s">
        <v>791</v>
      </c>
      <c r="E350" s="170" cm="1">
        <f t="array" ref="E35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2800</v>
      </c>
    </row>
    <row r="351" spans="1:5" hidden="1">
      <c r="A351" t="s">
        <v>1274</v>
      </c>
      <c r="B351" t="s">
        <v>374</v>
      </c>
      <c r="C351" t="s">
        <v>1264</v>
      </c>
      <c r="D351" t="s">
        <v>791</v>
      </c>
      <c r="E351" s="170" cm="1">
        <f t="array" ref="E35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6143</v>
      </c>
    </row>
    <row r="352" spans="1:5" hidden="1">
      <c r="A352" t="s">
        <v>1276</v>
      </c>
      <c r="B352" t="s">
        <v>374</v>
      </c>
      <c r="C352" t="s">
        <v>1264</v>
      </c>
      <c r="D352" t="s">
        <v>791</v>
      </c>
      <c r="E352" s="170" cm="1">
        <f t="array" ref="E35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6928</v>
      </c>
    </row>
    <row r="353" spans="1:5" hidden="1">
      <c r="A353" t="s">
        <v>1277</v>
      </c>
      <c r="B353" t="s">
        <v>374</v>
      </c>
      <c r="C353" t="s">
        <v>1264</v>
      </c>
      <c r="D353" t="s">
        <v>791</v>
      </c>
      <c r="E353" s="170" cm="1">
        <f t="array" ref="E35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12856</v>
      </c>
    </row>
    <row r="354" spans="1:5" hidden="1">
      <c r="A354" t="s">
        <v>1279</v>
      </c>
      <c r="B354" t="s">
        <v>374</v>
      </c>
      <c r="C354" t="s">
        <v>1264</v>
      </c>
      <c r="D354" t="s">
        <v>791</v>
      </c>
      <c r="E354" s="170" cm="1">
        <f t="array" ref="E35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17820</v>
      </c>
    </row>
    <row r="355" spans="1:5" hidden="1">
      <c r="A355" t="s">
        <v>1280</v>
      </c>
      <c r="B355" t="s">
        <v>1281</v>
      </c>
      <c r="C355" t="s">
        <v>1264</v>
      </c>
      <c r="D355" t="s">
        <v>791</v>
      </c>
      <c r="E355" s="170" cm="1">
        <f t="array" ref="E35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46904</v>
      </c>
    </row>
    <row r="356" spans="1:5" hidden="1">
      <c r="A356" t="s">
        <v>1282</v>
      </c>
      <c r="B356" t="s">
        <v>1281</v>
      </c>
      <c r="C356" t="s">
        <v>1264</v>
      </c>
      <c r="D356" t="s">
        <v>791</v>
      </c>
      <c r="E356" s="170" cm="1">
        <f t="array" ref="E35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54600</v>
      </c>
    </row>
    <row r="357" spans="1:5" hidden="1">
      <c r="A357" t="s">
        <v>1284</v>
      </c>
      <c r="B357" t="s">
        <v>1281</v>
      </c>
      <c r="C357" t="s">
        <v>1264</v>
      </c>
      <c r="D357" t="s">
        <v>791</v>
      </c>
      <c r="E357" s="170" cm="1">
        <f t="array" ref="E35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96416</v>
      </c>
    </row>
    <row r="358" spans="1:5" hidden="1">
      <c r="A358" t="s">
        <v>1285</v>
      </c>
      <c r="B358" t="s">
        <v>448</v>
      </c>
      <c r="D358" t="s">
        <v>791</v>
      </c>
      <c r="E358" s="170" cm="1">
        <f t="array" ref="E35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59" spans="1:5" hidden="1">
      <c r="A359" t="s">
        <v>1286</v>
      </c>
      <c r="B359" t="s">
        <v>448</v>
      </c>
      <c r="D359" t="s">
        <v>791</v>
      </c>
      <c r="E359" s="170" cm="1">
        <f t="array" ref="E35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60" spans="1:5" hidden="1">
      <c r="A360" t="s">
        <v>1287</v>
      </c>
      <c r="B360" t="s">
        <v>448</v>
      </c>
      <c r="D360" t="s">
        <v>791</v>
      </c>
      <c r="E360" s="170" cm="1">
        <f t="array" ref="E36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61" spans="1:5" hidden="1">
      <c r="A361" t="s">
        <v>1288</v>
      </c>
      <c r="B361" t="s">
        <v>448</v>
      </c>
      <c r="D361" t="s">
        <v>791</v>
      </c>
      <c r="E361" s="170" cm="1">
        <f t="array" ref="E36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62" spans="1:5" hidden="1">
      <c r="A362" t="s">
        <v>1289</v>
      </c>
      <c r="B362" t="s">
        <v>448</v>
      </c>
      <c r="D362" t="s">
        <v>791</v>
      </c>
      <c r="E362" s="170" cm="1">
        <f t="array" ref="E36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63" spans="1:5" hidden="1">
      <c r="A363" t="s">
        <v>1290</v>
      </c>
      <c r="B363" t="s">
        <v>448</v>
      </c>
      <c r="D363" t="s">
        <v>791</v>
      </c>
      <c r="E363" s="170" cm="1">
        <f t="array" ref="E36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64" spans="1:5" hidden="1">
      <c r="A364" t="s">
        <v>1291</v>
      </c>
      <c r="B364" t="s">
        <v>13</v>
      </c>
      <c r="D364" t="s">
        <v>791</v>
      </c>
      <c r="E364" s="170" cm="1">
        <f t="array" ref="E36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34100</v>
      </c>
    </row>
    <row r="365" spans="1:5" hidden="1">
      <c r="A365" t="s">
        <v>1293</v>
      </c>
      <c r="B365" t="s">
        <v>13</v>
      </c>
      <c r="D365" t="s">
        <v>791</v>
      </c>
      <c r="E365" s="170" cm="1">
        <f t="array" ref="E36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49500</v>
      </c>
    </row>
    <row r="366" spans="1:5" hidden="1">
      <c r="A366" t="s">
        <v>1294</v>
      </c>
      <c r="B366" t="s">
        <v>942</v>
      </c>
      <c r="D366" t="s">
        <v>791</v>
      </c>
      <c r="E366" s="170" cm="1">
        <f t="array" ref="E36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9295</v>
      </c>
    </row>
    <row r="367" spans="1:5" hidden="1">
      <c r="A367" t="s">
        <v>1296</v>
      </c>
      <c r="B367" t="s">
        <v>942</v>
      </c>
      <c r="D367" t="s">
        <v>791</v>
      </c>
      <c r="E367" s="170" cm="1">
        <f t="array" ref="E36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8190</v>
      </c>
    </row>
    <row r="368" spans="1:5" hidden="1">
      <c r="A368" t="s">
        <v>1298</v>
      </c>
      <c r="B368" t="s">
        <v>942</v>
      </c>
      <c r="D368" t="s">
        <v>1299</v>
      </c>
      <c r="E368" s="170" cm="1">
        <f t="array" ref="E36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2129</v>
      </c>
    </row>
    <row r="369" spans="1:5" hidden="1">
      <c r="A369" t="s">
        <v>1301</v>
      </c>
      <c r="B369" t="s">
        <v>1302</v>
      </c>
      <c r="D369" t="s">
        <v>1299</v>
      </c>
      <c r="E369" s="170" cm="1">
        <f t="array" ref="E36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2129</v>
      </c>
    </row>
    <row r="370" spans="1:5" hidden="1">
      <c r="A370" t="s">
        <v>1304</v>
      </c>
      <c r="B370" t="s">
        <v>942</v>
      </c>
      <c r="D370" t="s">
        <v>1299</v>
      </c>
      <c r="E370" s="170" cm="1">
        <f t="array" ref="E37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1642</v>
      </c>
    </row>
    <row r="371" spans="1:5" hidden="1">
      <c r="A371" t="s">
        <v>1305</v>
      </c>
      <c r="B371" t="s">
        <v>1302</v>
      </c>
      <c r="D371" t="s">
        <v>1299</v>
      </c>
      <c r="E371" s="170" cm="1">
        <f t="array" ref="E37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1642</v>
      </c>
    </row>
    <row r="372" spans="1:5" hidden="1">
      <c r="A372" t="s">
        <v>1306</v>
      </c>
      <c r="B372" t="s">
        <v>942</v>
      </c>
      <c r="D372" t="s">
        <v>1299</v>
      </c>
      <c r="E372" s="170" cm="1">
        <f t="array" ref="E37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4045</v>
      </c>
    </row>
    <row r="373" spans="1:5" hidden="1">
      <c r="A373" t="s">
        <v>1308</v>
      </c>
      <c r="B373" t="s">
        <v>1302</v>
      </c>
      <c r="D373" t="s">
        <v>1299</v>
      </c>
      <c r="E373" s="170" cm="1">
        <f t="array" ref="E37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4102</v>
      </c>
    </row>
    <row r="374" spans="1:5" hidden="1">
      <c r="A374" t="s">
        <v>1309</v>
      </c>
      <c r="B374" t="s">
        <v>942</v>
      </c>
      <c r="D374" t="s">
        <v>1299</v>
      </c>
      <c r="E374" s="170" cm="1">
        <f t="array" ref="E37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75" spans="1:5" hidden="1">
      <c r="A375" t="s">
        <v>1310</v>
      </c>
      <c r="B375" t="s">
        <v>1302</v>
      </c>
      <c r="D375" t="s">
        <v>1299</v>
      </c>
      <c r="E375" s="170" cm="1">
        <f t="array" ref="E37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76" spans="1:5" hidden="1">
      <c r="A376" t="s">
        <v>1311</v>
      </c>
      <c r="B376" t="s">
        <v>942</v>
      </c>
      <c r="D376" t="s">
        <v>1299</v>
      </c>
      <c r="E376" s="170" cm="1">
        <f t="array" ref="E37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4406</v>
      </c>
    </row>
    <row r="377" spans="1:5" hidden="1">
      <c r="A377" t="s">
        <v>1312</v>
      </c>
      <c r="B377" t="s">
        <v>1302</v>
      </c>
      <c r="D377" t="s">
        <v>1299</v>
      </c>
      <c r="E377" s="170" cm="1">
        <f t="array" ref="E37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4468</v>
      </c>
    </row>
    <row r="378" spans="1:5" hidden="1">
      <c r="A378" t="s">
        <v>1313</v>
      </c>
      <c r="B378" t="s">
        <v>942</v>
      </c>
      <c r="D378" t="s">
        <v>1299</v>
      </c>
      <c r="E378" s="170" cm="1">
        <f t="array" ref="E37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4750</v>
      </c>
    </row>
    <row r="379" spans="1:5" hidden="1">
      <c r="A379" t="s">
        <v>1315</v>
      </c>
      <c r="B379" t="s">
        <v>1302</v>
      </c>
      <c r="D379" t="s">
        <v>1299</v>
      </c>
      <c r="E379" s="170" cm="1">
        <f t="array" ref="E37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4711</v>
      </c>
    </row>
    <row r="380" spans="1:5" hidden="1">
      <c r="A380" t="s">
        <v>1316</v>
      </c>
      <c r="B380" t="s">
        <v>942</v>
      </c>
      <c r="D380" t="s">
        <v>1299</v>
      </c>
      <c r="E380" s="170" cm="1">
        <f t="array" ref="E38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5032</v>
      </c>
    </row>
    <row r="381" spans="1:5" hidden="1">
      <c r="A381" t="s">
        <v>1317</v>
      </c>
      <c r="B381" t="s">
        <v>1302</v>
      </c>
      <c r="D381" t="s">
        <v>1299</v>
      </c>
      <c r="E381" s="170" cm="1">
        <f t="array" ref="E38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5103</v>
      </c>
    </row>
    <row r="382" spans="1:5" hidden="1">
      <c r="A382" t="s">
        <v>1318</v>
      </c>
      <c r="B382" t="s">
        <v>942</v>
      </c>
      <c r="D382" t="s">
        <v>1299</v>
      </c>
      <c r="E382" s="170" cm="1">
        <f t="array" ref="E38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1638</v>
      </c>
    </row>
    <row r="383" spans="1:5" hidden="1">
      <c r="A383" t="s">
        <v>1319</v>
      </c>
      <c r="B383" t="s">
        <v>1302</v>
      </c>
      <c r="D383" t="s">
        <v>1299</v>
      </c>
      <c r="E383" s="170" cm="1">
        <f t="array" ref="E38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1780</v>
      </c>
    </row>
    <row r="384" spans="1:5" hidden="1">
      <c r="A384" t="s">
        <v>1320</v>
      </c>
      <c r="B384" t="s">
        <v>942</v>
      </c>
      <c r="D384" t="s">
        <v>1299</v>
      </c>
      <c r="E384" s="170" cm="1">
        <f t="array" ref="E38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5672</v>
      </c>
    </row>
    <row r="385" spans="1:5" hidden="1">
      <c r="A385" t="s">
        <v>1322</v>
      </c>
      <c r="B385" t="s">
        <v>1302</v>
      </c>
      <c r="D385" t="s">
        <v>1299</v>
      </c>
      <c r="E385" s="170" cm="1">
        <f t="array" ref="E38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5672</v>
      </c>
    </row>
    <row r="386" spans="1:5" hidden="1">
      <c r="A386" t="s">
        <v>1323</v>
      </c>
      <c r="B386" t="s">
        <v>942</v>
      </c>
      <c r="D386" t="s">
        <v>1299</v>
      </c>
      <c r="E386" s="170" cm="1">
        <f t="array" ref="E38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6917</v>
      </c>
    </row>
    <row r="387" spans="1:5" hidden="1">
      <c r="A387" t="s">
        <v>1326</v>
      </c>
      <c r="B387" t="s">
        <v>1302</v>
      </c>
      <c r="D387" t="s">
        <v>1299</v>
      </c>
      <c r="E387" s="170" cm="1">
        <f t="array" ref="E38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6917</v>
      </c>
    </row>
    <row r="388" spans="1:5" hidden="1">
      <c r="A388" t="s">
        <v>1327</v>
      </c>
      <c r="B388" t="s">
        <v>942</v>
      </c>
      <c r="D388" t="s">
        <v>1299</v>
      </c>
      <c r="E388" s="170" cm="1">
        <f t="array" ref="E38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20100</v>
      </c>
    </row>
    <row r="389" spans="1:5" hidden="1">
      <c r="A389" t="s">
        <v>1329</v>
      </c>
      <c r="B389" t="s">
        <v>942</v>
      </c>
      <c r="D389" t="s">
        <v>791</v>
      </c>
      <c r="E389" s="170" cm="1">
        <f t="array" ref="E38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4102</v>
      </c>
    </row>
    <row r="390" spans="1:5" hidden="1">
      <c r="A390" t="s">
        <v>1330</v>
      </c>
      <c r="B390" t="s">
        <v>942</v>
      </c>
      <c r="D390" t="s">
        <v>791</v>
      </c>
      <c r="E390" s="170" cm="1">
        <f t="array" ref="E39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4470</v>
      </c>
    </row>
    <row r="391" spans="1:5" hidden="1">
      <c r="A391" t="s">
        <v>1332</v>
      </c>
      <c r="B391" t="s">
        <v>942</v>
      </c>
      <c r="D391" t="s">
        <v>791</v>
      </c>
      <c r="E391" s="170" cm="1">
        <f t="array" ref="E39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5871</v>
      </c>
    </row>
    <row r="392" spans="1:5" hidden="1">
      <c r="A392" t="s">
        <v>1334</v>
      </c>
      <c r="B392" t="s">
        <v>942</v>
      </c>
      <c r="D392" t="s">
        <v>791</v>
      </c>
      <c r="E392" s="170" cm="1">
        <f t="array" ref="E39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9962</v>
      </c>
    </row>
    <row r="393" spans="1:5" hidden="1">
      <c r="A393" t="s">
        <v>1335</v>
      </c>
      <c r="B393" t="s">
        <v>123</v>
      </c>
      <c r="D393" t="s">
        <v>791</v>
      </c>
      <c r="E393" s="170" cm="1">
        <f t="array" ref="E39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65776</v>
      </c>
    </row>
    <row r="394" spans="1:5" hidden="1">
      <c r="A394" t="s">
        <v>1336</v>
      </c>
      <c r="B394" t="s">
        <v>123</v>
      </c>
      <c r="D394" t="s">
        <v>791</v>
      </c>
      <c r="E394" s="170" cm="1">
        <f t="array" ref="E39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33848</v>
      </c>
    </row>
    <row r="395" spans="1:5" hidden="1">
      <c r="A395" t="s">
        <v>1337</v>
      </c>
      <c r="B395" t="s">
        <v>830</v>
      </c>
      <c r="D395" t="s">
        <v>791</v>
      </c>
      <c r="E395" s="170" cm="1">
        <f t="array" ref="E39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96" spans="1:5" hidden="1">
      <c r="A396" t="s">
        <v>1338</v>
      </c>
      <c r="B396" t="s">
        <v>830</v>
      </c>
      <c r="D396" t="s">
        <v>791</v>
      </c>
      <c r="E396" s="170" cm="1">
        <f t="array" ref="E39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397" spans="1:5" hidden="1">
      <c r="A397" t="s">
        <v>1339</v>
      </c>
      <c r="B397" t="s">
        <v>13</v>
      </c>
      <c r="D397" t="s">
        <v>791</v>
      </c>
      <c r="E397" s="170" cm="1">
        <f t="array" ref="E39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5000</v>
      </c>
    </row>
    <row r="398" spans="1:5" hidden="1">
      <c r="A398" t="s">
        <v>1341</v>
      </c>
      <c r="B398" t="s">
        <v>915</v>
      </c>
      <c r="D398" t="s">
        <v>791</v>
      </c>
      <c r="E398" s="170" cm="1">
        <f t="array" ref="E39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209</v>
      </c>
    </row>
    <row r="399" spans="1:5" hidden="1">
      <c r="A399" t="s">
        <v>1343</v>
      </c>
      <c r="B399" t="s">
        <v>915</v>
      </c>
      <c r="D399" t="s">
        <v>791</v>
      </c>
      <c r="E399" s="170" cm="1">
        <f t="array" ref="E39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454</v>
      </c>
    </row>
    <row r="400" spans="1:5" hidden="1">
      <c r="A400" t="s">
        <v>1345</v>
      </c>
      <c r="B400" t="s">
        <v>915</v>
      </c>
      <c r="D400" t="s">
        <v>791</v>
      </c>
      <c r="E400" s="170" cm="1">
        <f t="array" ref="E40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600</v>
      </c>
    </row>
    <row r="401" spans="1:5" hidden="1">
      <c r="A401" t="s">
        <v>1347</v>
      </c>
      <c r="B401" t="s">
        <v>915</v>
      </c>
      <c r="D401" t="s">
        <v>791</v>
      </c>
      <c r="E401" s="170" cm="1">
        <f t="array" ref="E40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1419</v>
      </c>
    </row>
    <row r="402" spans="1:5" hidden="1">
      <c r="A402" t="s">
        <v>1349</v>
      </c>
      <c r="B402" t="s">
        <v>915</v>
      </c>
      <c r="D402" t="s">
        <v>791</v>
      </c>
      <c r="E402" s="170" cm="1">
        <f t="array" ref="E40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252</v>
      </c>
    </row>
    <row r="403" spans="1:5" hidden="1">
      <c r="A403" t="s">
        <v>1351</v>
      </c>
      <c r="B403" t="s">
        <v>915</v>
      </c>
      <c r="D403" t="s">
        <v>791</v>
      </c>
      <c r="E403" s="170" cm="1">
        <f t="array" ref="E40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644</v>
      </c>
    </row>
    <row r="404" spans="1:5" hidden="1">
      <c r="A404" t="s">
        <v>1352</v>
      </c>
      <c r="B404" t="s">
        <v>915</v>
      </c>
      <c r="D404" t="s">
        <v>791</v>
      </c>
      <c r="E404" s="170" cm="1">
        <f t="array" ref="E40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1263</v>
      </c>
    </row>
    <row r="405" spans="1:5" hidden="1">
      <c r="A405" t="s">
        <v>1353</v>
      </c>
      <c r="B405" t="s">
        <v>915</v>
      </c>
      <c r="D405" t="s">
        <v>791</v>
      </c>
      <c r="E405" s="170" cm="1">
        <f t="array" ref="E40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286</v>
      </c>
    </row>
    <row r="406" spans="1:5" hidden="1">
      <c r="A406" t="s">
        <v>1354</v>
      </c>
      <c r="B406" t="s">
        <v>919</v>
      </c>
      <c r="D406" t="s">
        <v>791</v>
      </c>
      <c r="E406" s="170" cm="1">
        <f t="array" ref="E40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75.900000000000006</v>
      </c>
    </row>
    <row r="407" spans="1:5" hidden="1">
      <c r="A407" t="s">
        <v>1355</v>
      </c>
      <c r="B407" t="s">
        <v>360</v>
      </c>
      <c r="C407" t="s">
        <v>860</v>
      </c>
      <c r="D407" t="s">
        <v>791</v>
      </c>
      <c r="E407" s="170" cm="1">
        <f t="array" ref="E40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33150</v>
      </c>
    </row>
    <row r="408" spans="1:5" hidden="1">
      <c r="A408" t="s">
        <v>1357</v>
      </c>
      <c r="B408" t="s">
        <v>360</v>
      </c>
      <c r="C408" t="s">
        <v>860</v>
      </c>
      <c r="D408" t="s">
        <v>791</v>
      </c>
      <c r="E408" s="170" cm="1">
        <f t="array" ref="E40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11000</v>
      </c>
    </row>
    <row r="409" spans="1:5" hidden="1">
      <c r="A409" t="s">
        <v>1359</v>
      </c>
      <c r="B409" t="s">
        <v>360</v>
      </c>
      <c r="C409" t="s">
        <v>860</v>
      </c>
      <c r="D409" t="s">
        <v>791</v>
      </c>
      <c r="E409" s="170" cm="1">
        <f t="array" ref="E40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10" spans="1:5" hidden="1">
      <c r="A410" t="s">
        <v>1360</v>
      </c>
      <c r="B410" t="s">
        <v>13</v>
      </c>
      <c r="C410" t="s">
        <v>860</v>
      </c>
      <c r="D410" t="s">
        <v>791</v>
      </c>
      <c r="E410" s="170" cm="1">
        <f t="array" ref="E41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11" spans="1:5" hidden="1">
      <c r="A411" t="s">
        <v>2087</v>
      </c>
      <c r="B411" t="s">
        <v>2088</v>
      </c>
      <c r="D411" t="s">
        <v>1956</v>
      </c>
      <c r="E411" s="170" cm="1">
        <f t="array" ref="E41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12" spans="1:5" hidden="1">
      <c r="A412" t="s">
        <v>2089</v>
      </c>
      <c r="B412" t="s">
        <v>2088</v>
      </c>
      <c r="D412" t="s">
        <v>1956</v>
      </c>
      <c r="E412" s="170" cm="1">
        <f t="array" ref="E41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13" spans="1:5" hidden="1">
      <c r="A413" t="s">
        <v>1955</v>
      </c>
      <c r="B413" t="s">
        <v>1242</v>
      </c>
      <c r="D413" t="s">
        <v>1956</v>
      </c>
      <c r="E413" s="170" cm="1">
        <f t="array" ref="E41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4080</v>
      </c>
    </row>
    <row r="414" spans="1:5" hidden="1">
      <c r="A414" t="s">
        <v>1958</v>
      </c>
      <c r="B414" t="s">
        <v>1242</v>
      </c>
      <c r="D414" t="s">
        <v>1956</v>
      </c>
      <c r="E414" s="170" cm="1">
        <f t="array" ref="E41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5325</v>
      </c>
    </row>
    <row r="415" spans="1:5" hidden="1">
      <c r="A415" t="s">
        <v>2090</v>
      </c>
      <c r="B415" t="s">
        <v>1242</v>
      </c>
      <c r="D415" t="s">
        <v>1956</v>
      </c>
      <c r="E415" s="170" cm="1">
        <f t="array" ref="E41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16" spans="1:5" hidden="1">
      <c r="A416" t="s">
        <v>1960</v>
      </c>
      <c r="B416" t="s">
        <v>1961</v>
      </c>
      <c r="D416" t="s">
        <v>1956</v>
      </c>
      <c r="E416" s="170" cm="1">
        <f t="array" ref="E41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9250</v>
      </c>
    </row>
    <row r="417" spans="1:5" hidden="1">
      <c r="A417" t="s">
        <v>1962</v>
      </c>
      <c r="B417" t="s">
        <v>1961</v>
      </c>
      <c r="D417" t="s">
        <v>1956</v>
      </c>
      <c r="E417" s="170" cm="1">
        <f t="array" ref="E41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7310</v>
      </c>
    </row>
    <row r="418" spans="1:5" hidden="1">
      <c r="A418" t="s">
        <v>1963</v>
      </c>
      <c r="B418" t="s">
        <v>1961</v>
      </c>
      <c r="D418" t="s">
        <v>1956</v>
      </c>
      <c r="E418" s="170" cm="1">
        <f t="array" ref="E41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10810</v>
      </c>
    </row>
    <row r="419" spans="1:5" hidden="1">
      <c r="A419" t="s">
        <v>2091</v>
      </c>
      <c r="B419" t="s">
        <v>1961</v>
      </c>
      <c r="D419" t="s">
        <v>1956</v>
      </c>
      <c r="E419" s="170" cm="1">
        <f t="array" ref="E41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20" spans="1:5" hidden="1">
      <c r="A420" t="s">
        <v>2093</v>
      </c>
      <c r="B420" t="s">
        <v>1961</v>
      </c>
      <c r="D420" t="s">
        <v>1956</v>
      </c>
      <c r="E420" s="170" cm="1">
        <f t="array" ref="E42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21" spans="1:5" hidden="1">
      <c r="A421" t="s">
        <v>2072</v>
      </c>
      <c r="B421" t="s">
        <v>2073</v>
      </c>
      <c r="D421" t="s">
        <v>1956</v>
      </c>
      <c r="E421" s="170" cm="1">
        <f t="array" ref="E42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22" spans="1:5" hidden="1">
      <c r="A422" t="s">
        <v>2075</v>
      </c>
      <c r="B422" t="s">
        <v>2073</v>
      </c>
      <c r="D422" t="s">
        <v>1956</v>
      </c>
      <c r="E422" s="170" cm="1">
        <f t="array" ref="E42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23" spans="1:5" hidden="1">
      <c r="A423" t="s">
        <v>2076</v>
      </c>
      <c r="B423" t="s">
        <v>2073</v>
      </c>
      <c r="D423" t="s">
        <v>1956</v>
      </c>
      <c r="E423" s="170" cm="1">
        <f t="array" ref="E42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24" spans="1:5" hidden="1">
      <c r="A424" t="s">
        <v>2077</v>
      </c>
      <c r="B424" t="s">
        <v>2073</v>
      </c>
      <c r="D424" t="s">
        <v>1956</v>
      </c>
      <c r="E424" s="170" cm="1">
        <f t="array" ref="E42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25" spans="1:5" hidden="1">
      <c r="A425" t="s">
        <v>2078</v>
      </c>
      <c r="B425" t="s">
        <v>2073</v>
      </c>
      <c r="D425" t="s">
        <v>1956</v>
      </c>
      <c r="E425" s="170" cm="1">
        <f t="array" ref="E42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26" spans="1:5" hidden="1">
      <c r="A426" t="s">
        <v>1361</v>
      </c>
      <c r="B426" t="s">
        <v>368</v>
      </c>
      <c r="D426" t="s">
        <v>791</v>
      </c>
      <c r="E426" s="170" cm="1">
        <f t="array" ref="E42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27" spans="1:5" hidden="1">
      <c r="A427" t="s">
        <v>1362</v>
      </c>
      <c r="B427" t="s">
        <v>368</v>
      </c>
      <c r="D427" t="s">
        <v>791</v>
      </c>
      <c r="E427" s="170" cm="1">
        <f t="array" ref="E42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28" spans="1:5" hidden="1">
      <c r="A428" t="s">
        <v>1363</v>
      </c>
      <c r="B428" t="s">
        <v>368</v>
      </c>
      <c r="D428" t="s">
        <v>791</v>
      </c>
      <c r="E428" s="170" cm="1">
        <f t="array" ref="E42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29" spans="1:5" hidden="1">
      <c r="A429" t="s">
        <v>1364</v>
      </c>
      <c r="B429" t="s">
        <v>942</v>
      </c>
      <c r="D429" t="s">
        <v>791</v>
      </c>
      <c r="E429" s="170" cm="1">
        <f t="array" ref="E42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18481</v>
      </c>
    </row>
    <row r="430" spans="1:5" hidden="1">
      <c r="A430" t="s">
        <v>1366</v>
      </c>
      <c r="B430" t="s">
        <v>942</v>
      </c>
      <c r="D430" t="s">
        <v>791</v>
      </c>
      <c r="E430" s="170" cm="1">
        <f t="array" ref="E43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20036</v>
      </c>
    </row>
    <row r="431" spans="1:5" hidden="1">
      <c r="A431" t="s">
        <v>1368</v>
      </c>
      <c r="B431" t="s">
        <v>942</v>
      </c>
      <c r="D431" t="s">
        <v>791</v>
      </c>
      <c r="E431" s="170" cm="1">
        <f t="array" ref="E43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23245</v>
      </c>
    </row>
    <row r="432" spans="1:5" hidden="1">
      <c r="A432" t="s">
        <v>1369</v>
      </c>
      <c r="B432" t="s">
        <v>13</v>
      </c>
      <c r="C432" t="s">
        <v>860</v>
      </c>
      <c r="D432" t="s">
        <v>791</v>
      </c>
      <c r="E432" s="170" cm="1">
        <f t="array" ref="E43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33" spans="1:5" hidden="1">
      <c r="A433" t="s">
        <v>1370</v>
      </c>
      <c r="B433" t="s">
        <v>13</v>
      </c>
      <c r="C433" t="s">
        <v>860</v>
      </c>
      <c r="D433" t="s">
        <v>791</v>
      </c>
      <c r="E433" s="170" cm="1">
        <f t="array" ref="E43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34" spans="1:5" hidden="1">
      <c r="A434" t="s">
        <v>1371</v>
      </c>
      <c r="B434" t="s">
        <v>13</v>
      </c>
      <c r="C434" t="s">
        <v>860</v>
      </c>
      <c r="D434" t="s">
        <v>791</v>
      </c>
      <c r="E434" s="170" cm="1">
        <f t="array" ref="E43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35" spans="1:5" hidden="1">
      <c r="A435" t="s">
        <v>1372</v>
      </c>
      <c r="B435" t="s">
        <v>13</v>
      </c>
      <c r="C435" t="s">
        <v>860</v>
      </c>
      <c r="D435" t="s">
        <v>791</v>
      </c>
      <c r="E435" s="170" cm="1">
        <f t="array" ref="E43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36" spans="1:5" hidden="1">
      <c r="A436" t="s">
        <v>1373</v>
      </c>
      <c r="B436" t="s">
        <v>13</v>
      </c>
      <c r="C436" t="s">
        <v>860</v>
      </c>
      <c r="D436" t="s">
        <v>791</v>
      </c>
      <c r="E436" s="170" cm="1">
        <f t="array" ref="E43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37" spans="1:5" hidden="1">
      <c r="A437" t="s">
        <v>1374</v>
      </c>
      <c r="B437" t="s">
        <v>355</v>
      </c>
      <c r="C437" t="s">
        <v>860</v>
      </c>
      <c r="D437" t="s">
        <v>791</v>
      </c>
      <c r="E437" s="170" cm="1">
        <f t="array" ref="E43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3062</v>
      </c>
    </row>
    <row r="438" spans="1:5" hidden="1">
      <c r="A438" t="s">
        <v>1376</v>
      </c>
      <c r="B438" t="s">
        <v>13</v>
      </c>
      <c r="C438" t="s">
        <v>860</v>
      </c>
      <c r="D438" t="s">
        <v>791</v>
      </c>
      <c r="E438" s="170" cm="1">
        <f t="array" ref="E43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3056</v>
      </c>
    </row>
    <row r="439" spans="1:5" hidden="1">
      <c r="A439" t="s">
        <v>2108</v>
      </c>
      <c r="B439" t="s">
        <v>13</v>
      </c>
      <c r="C439" t="s">
        <v>860</v>
      </c>
      <c r="D439" t="s">
        <v>791</v>
      </c>
    </row>
    <row r="440" spans="1:5" hidden="1">
      <c r="A440" t="s">
        <v>1377</v>
      </c>
      <c r="B440" t="s">
        <v>13</v>
      </c>
      <c r="C440" t="s">
        <v>860</v>
      </c>
      <c r="D440" t="s">
        <v>791</v>
      </c>
      <c r="E440" s="170" cm="1">
        <f t="array" ref="E44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10992</v>
      </c>
    </row>
    <row r="441" spans="1:5" hidden="1">
      <c r="A441" t="s">
        <v>1378</v>
      </c>
      <c r="B441" t="s">
        <v>13</v>
      </c>
      <c r="C441" t="s">
        <v>860</v>
      </c>
      <c r="D441" t="s">
        <v>791</v>
      </c>
      <c r="E441" s="170" cm="1">
        <f t="array" ref="E44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3840</v>
      </c>
    </row>
    <row r="442" spans="1:5" hidden="1">
      <c r="A442" t="s">
        <v>1380</v>
      </c>
      <c r="B442" t="s">
        <v>13</v>
      </c>
      <c r="C442" t="s">
        <v>860</v>
      </c>
      <c r="D442" t="s">
        <v>791</v>
      </c>
      <c r="E442" s="170" cm="1">
        <f t="array" ref="E44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9952</v>
      </c>
    </row>
    <row r="443" spans="1:5" hidden="1">
      <c r="A443" t="s">
        <v>1382</v>
      </c>
      <c r="B443" t="s">
        <v>13</v>
      </c>
      <c r="C443" t="s">
        <v>860</v>
      </c>
      <c r="D443" t="s">
        <v>791</v>
      </c>
      <c r="E443" s="170" cm="1">
        <f t="array" ref="E44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15280</v>
      </c>
    </row>
    <row r="444" spans="1:5" hidden="1">
      <c r="A444" t="s">
        <v>1384</v>
      </c>
      <c r="B444" t="s">
        <v>13</v>
      </c>
      <c r="C444" t="s">
        <v>860</v>
      </c>
      <c r="D444" t="s">
        <v>791</v>
      </c>
      <c r="E444" s="170" cm="1">
        <f t="array" ref="E44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19712</v>
      </c>
    </row>
    <row r="445" spans="1:5" hidden="1">
      <c r="A445" t="s">
        <v>1385</v>
      </c>
      <c r="B445" t="s">
        <v>13</v>
      </c>
      <c r="C445" t="s">
        <v>860</v>
      </c>
      <c r="D445" t="s">
        <v>791</v>
      </c>
      <c r="E445" s="170" cm="1">
        <f t="array" ref="E44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48171</v>
      </c>
    </row>
    <row r="446" spans="1:5" hidden="1">
      <c r="A446" t="s">
        <v>1387</v>
      </c>
      <c r="B446" t="s">
        <v>13</v>
      </c>
      <c r="C446" t="s">
        <v>860</v>
      </c>
      <c r="D446" t="s">
        <v>791</v>
      </c>
      <c r="E446" s="170" cm="1">
        <f t="array" ref="E44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46391</v>
      </c>
    </row>
    <row r="447" spans="1:5" hidden="1">
      <c r="A447" t="s">
        <v>1388</v>
      </c>
      <c r="B447" t="s">
        <v>13</v>
      </c>
      <c r="C447" t="s">
        <v>860</v>
      </c>
      <c r="D447" t="s">
        <v>791</v>
      </c>
      <c r="E447" s="170" cm="1">
        <f t="array" ref="E44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36009.599999999999</v>
      </c>
    </row>
    <row r="448" spans="1:5" hidden="1">
      <c r="A448" t="s">
        <v>1390</v>
      </c>
      <c r="B448" t="s">
        <v>13</v>
      </c>
      <c r="C448" t="s">
        <v>860</v>
      </c>
      <c r="D448" t="s">
        <v>791</v>
      </c>
      <c r="E448" s="170" cm="1">
        <f t="array" ref="E44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16080</v>
      </c>
    </row>
    <row r="449" spans="1:5" hidden="1">
      <c r="A449" t="s">
        <v>1391</v>
      </c>
      <c r="B449" t="s">
        <v>13</v>
      </c>
      <c r="C449" t="s">
        <v>860</v>
      </c>
      <c r="D449" t="s">
        <v>791</v>
      </c>
      <c r="E449" s="170" cm="1">
        <f t="array" ref="E44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25495.200000000001</v>
      </c>
    </row>
    <row r="450" spans="1:5" hidden="1">
      <c r="A450" t="s">
        <v>1394</v>
      </c>
      <c r="B450" t="s">
        <v>13</v>
      </c>
      <c r="C450" t="s">
        <v>860</v>
      </c>
      <c r="D450" t="s">
        <v>791</v>
      </c>
      <c r="E450" s="170" cm="1">
        <f t="array" ref="E45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12824</v>
      </c>
    </row>
    <row r="451" spans="1:5" hidden="1">
      <c r="A451" t="s">
        <v>1395</v>
      </c>
      <c r="B451" t="s">
        <v>13</v>
      </c>
      <c r="C451" t="s">
        <v>860</v>
      </c>
      <c r="D451" t="s">
        <v>791</v>
      </c>
      <c r="E451" s="170" cm="1">
        <f t="array" ref="E45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21192</v>
      </c>
    </row>
    <row r="452" spans="1:5" hidden="1">
      <c r="A452" t="s">
        <v>1396</v>
      </c>
      <c r="B452" t="s">
        <v>13</v>
      </c>
      <c r="C452" t="s">
        <v>860</v>
      </c>
      <c r="D452" t="s">
        <v>791</v>
      </c>
      <c r="E452" s="170" cm="1">
        <f t="array" ref="E45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24040</v>
      </c>
    </row>
    <row r="453" spans="1:5" hidden="1">
      <c r="A453" t="s">
        <v>1398</v>
      </c>
      <c r="B453" t="s">
        <v>13</v>
      </c>
      <c r="C453" t="s">
        <v>860</v>
      </c>
      <c r="D453" t="s">
        <v>791</v>
      </c>
      <c r="E453" s="170" cm="1">
        <f t="array" ref="E45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24264</v>
      </c>
    </row>
    <row r="454" spans="1:5" hidden="1">
      <c r="A454" t="s">
        <v>1399</v>
      </c>
      <c r="B454" t="s">
        <v>13</v>
      </c>
      <c r="C454" t="s">
        <v>860</v>
      </c>
      <c r="D454" t="s">
        <v>791</v>
      </c>
      <c r="E454" s="170" cm="1">
        <f t="array" ref="E45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43672</v>
      </c>
    </row>
    <row r="455" spans="1:5" hidden="1">
      <c r="A455" t="s">
        <v>1400</v>
      </c>
      <c r="B455" t="s">
        <v>13</v>
      </c>
      <c r="C455" t="s">
        <v>860</v>
      </c>
      <c r="D455" t="s">
        <v>791</v>
      </c>
      <c r="E455" s="170" cm="1">
        <f t="array" ref="E45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71424</v>
      </c>
    </row>
    <row r="456" spans="1:5" hidden="1">
      <c r="A456" t="s">
        <v>1401</v>
      </c>
      <c r="B456" t="s">
        <v>13</v>
      </c>
      <c r="C456" t="s">
        <v>860</v>
      </c>
      <c r="D456" t="s">
        <v>791</v>
      </c>
      <c r="E456" s="170" cm="1">
        <f t="array" ref="E45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77280</v>
      </c>
    </row>
    <row r="457" spans="1:5" hidden="1">
      <c r="A457" t="s">
        <v>1402</v>
      </c>
      <c r="B457" t="s">
        <v>13</v>
      </c>
      <c r="C457" t="s">
        <v>860</v>
      </c>
      <c r="D457" t="s">
        <v>791</v>
      </c>
      <c r="E457" s="170" cm="1">
        <f t="array" ref="E45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51792</v>
      </c>
    </row>
    <row r="458" spans="1:5" hidden="1">
      <c r="A458" t="s">
        <v>1404</v>
      </c>
      <c r="B458" t="s">
        <v>13</v>
      </c>
      <c r="C458" t="s">
        <v>860</v>
      </c>
      <c r="D458" t="s">
        <v>791</v>
      </c>
      <c r="E458" s="170" cm="1">
        <f t="array" ref="E45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7088</v>
      </c>
    </row>
    <row r="459" spans="1:5" hidden="1">
      <c r="A459" t="s">
        <v>1406</v>
      </c>
      <c r="B459" t="s">
        <v>13</v>
      </c>
      <c r="C459" t="s">
        <v>860</v>
      </c>
      <c r="D459" t="s">
        <v>791</v>
      </c>
      <c r="E459" s="170" cm="1">
        <f t="array" ref="E45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7088</v>
      </c>
    </row>
    <row r="460" spans="1:5" hidden="1">
      <c r="A460" t="s">
        <v>1407</v>
      </c>
      <c r="B460" t="s">
        <v>13</v>
      </c>
      <c r="C460" t="s">
        <v>860</v>
      </c>
      <c r="D460" t="s">
        <v>791</v>
      </c>
      <c r="E460" s="170" cm="1">
        <f t="array" ref="E46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6152</v>
      </c>
    </row>
    <row r="461" spans="1:5" hidden="1">
      <c r="A461" t="s">
        <v>1408</v>
      </c>
      <c r="B461" t="s">
        <v>13</v>
      </c>
      <c r="C461" t="s">
        <v>860</v>
      </c>
      <c r="D461" t="s">
        <v>791</v>
      </c>
      <c r="E461" s="170" cm="1">
        <f t="array" ref="E46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73824</v>
      </c>
    </row>
    <row r="462" spans="1:5" hidden="1">
      <c r="A462" t="s">
        <v>1411</v>
      </c>
      <c r="B462" t="s">
        <v>830</v>
      </c>
      <c r="C462" t="s">
        <v>831</v>
      </c>
      <c r="D462" t="s">
        <v>791</v>
      </c>
      <c r="E462" s="170" cm="1">
        <f t="array" ref="E46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21968</v>
      </c>
    </row>
    <row r="463" spans="1:5" hidden="1">
      <c r="A463" t="s">
        <v>1413</v>
      </c>
      <c r="B463" t="s">
        <v>830</v>
      </c>
      <c r="C463" t="s">
        <v>831</v>
      </c>
      <c r="D463" t="s">
        <v>791</v>
      </c>
      <c r="E463" s="170" cm="1">
        <f t="array" ref="E46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6648</v>
      </c>
    </row>
    <row r="464" spans="1:5" hidden="1">
      <c r="A464" t="s">
        <v>1415</v>
      </c>
      <c r="B464" t="s">
        <v>32</v>
      </c>
      <c r="C464" t="s">
        <v>860</v>
      </c>
      <c r="D464" t="s">
        <v>791</v>
      </c>
      <c r="E464" s="170" cm="1">
        <f t="array" ref="E46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6832</v>
      </c>
    </row>
    <row r="465" spans="1:5" hidden="1">
      <c r="A465" t="s">
        <v>1416</v>
      </c>
      <c r="B465" t="s">
        <v>32</v>
      </c>
      <c r="C465" t="s">
        <v>860</v>
      </c>
      <c r="D465" t="s">
        <v>791</v>
      </c>
      <c r="E465" s="170" cm="1">
        <f t="array" ref="E46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3824</v>
      </c>
    </row>
    <row r="466" spans="1:5" hidden="1">
      <c r="A466" t="s">
        <v>1417</v>
      </c>
      <c r="B466" t="s">
        <v>448</v>
      </c>
      <c r="D466" t="s">
        <v>791</v>
      </c>
      <c r="E466" s="170" cm="1">
        <f t="array" ref="E46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67" spans="1:5" hidden="1">
      <c r="A467" t="s">
        <v>1419</v>
      </c>
      <c r="B467" t="s">
        <v>355</v>
      </c>
      <c r="C467" t="s">
        <v>860</v>
      </c>
      <c r="D467" t="s">
        <v>791</v>
      </c>
      <c r="E467" s="170" cm="1">
        <f t="array" ref="E46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68" spans="1:5" hidden="1">
      <c r="A468" t="s">
        <v>1420</v>
      </c>
      <c r="B468" t="s">
        <v>942</v>
      </c>
      <c r="D468" t="s">
        <v>791</v>
      </c>
      <c r="E468" s="170" cm="1">
        <f t="array" ref="E46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14500</v>
      </c>
    </row>
    <row r="469" spans="1:5" hidden="1">
      <c r="A469" t="s">
        <v>1422</v>
      </c>
      <c r="B469" t="s">
        <v>942</v>
      </c>
      <c r="D469" t="s">
        <v>791</v>
      </c>
      <c r="E469" s="170" cm="1">
        <f t="array" ref="E46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4344</v>
      </c>
    </row>
    <row r="470" spans="1:5" hidden="1">
      <c r="A470" t="s">
        <v>1424</v>
      </c>
      <c r="B470" t="s">
        <v>942</v>
      </c>
      <c r="D470" t="s">
        <v>791</v>
      </c>
      <c r="E470" s="170" cm="1">
        <f t="array" ref="E47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8428</v>
      </c>
    </row>
    <row r="471" spans="1:5" hidden="1">
      <c r="A471" t="s">
        <v>1426</v>
      </c>
      <c r="B471" t="s">
        <v>448</v>
      </c>
      <c r="D471" t="s">
        <v>791</v>
      </c>
      <c r="E471" s="170" cm="1">
        <f t="array" ref="E47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72" spans="1:5" hidden="1">
      <c r="A472" t="s">
        <v>1427</v>
      </c>
      <c r="B472" t="s">
        <v>448</v>
      </c>
      <c r="D472" t="s">
        <v>791</v>
      </c>
      <c r="E472" s="170" cm="1">
        <f t="array" ref="E47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73" spans="1:5" hidden="1">
      <c r="A473" t="s">
        <v>1428</v>
      </c>
      <c r="B473" t="s">
        <v>321</v>
      </c>
      <c r="C473" t="s">
        <v>860</v>
      </c>
      <c r="D473" t="s">
        <v>791</v>
      </c>
      <c r="E473" s="170" cm="1">
        <f t="array" ref="E47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43200</v>
      </c>
    </row>
    <row r="474" spans="1:5" hidden="1">
      <c r="A474" t="s">
        <v>1430</v>
      </c>
      <c r="B474" t="s">
        <v>321</v>
      </c>
      <c r="C474" t="s">
        <v>860</v>
      </c>
      <c r="D474" t="s">
        <v>791</v>
      </c>
      <c r="E474" s="170" cm="1">
        <f t="array" ref="E47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24472</v>
      </c>
    </row>
    <row r="475" spans="1:5" hidden="1">
      <c r="A475" t="s">
        <v>1431</v>
      </c>
      <c r="B475" t="s">
        <v>13</v>
      </c>
      <c r="C475" t="s">
        <v>860</v>
      </c>
      <c r="D475" t="s">
        <v>791</v>
      </c>
      <c r="E475" s="170" cm="1">
        <f t="array" ref="E47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10376</v>
      </c>
    </row>
    <row r="476" spans="1:5" hidden="1">
      <c r="A476" t="s">
        <v>1432</v>
      </c>
      <c r="B476" t="s">
        <v>13</v>
      </c>
      <c r="C476" t="s">
        <v>860</v>
      </c>
      <c r="D476" t="s">
        <v>791</v>
      </c>
      <c r="E476" s="170" cm="1">
        <f t="array" ref="E47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10112</v>
      </c>
    </row>
    <row r="477" spans="1:5" hidden="1">
      <c r="A477" t="s">
        <v>1433</v>
      </c>
      <c r="B477" t="s">
        <v>13</v>
      </c>
      <c r="C477" t="s">
        <v>860</v>
      </c>
      <c r="D477" t="s">
        <v>791</v>
      </c>
      <c r="E477" s="170" cm="1">
        <f t="array" ref="E47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17784</v>
      </c>
    </row>
    <row r="478" spans="1:5" hidden="1">
      <c r="A478" t="s">
        <v>1435</v>
      </c>
      <c r="B478" t="s">
        <v>13</v>
      </c>
      <c r="C478" t="s">
        <v>860</v>
      </c>
      <c r="D478" t="s">
        <v>791</v>
      </c>
      <c r="E478" s="170" cm="1">
        <f t="array" ref="E47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34984</v>
      </c>
    </row>
    <row r="479" spans="1:5" hidden="1">
      <c r="A479" t="s">
        <v>1437</v>
      </c>
      <c r="B479" t="s">
        <v>460</v>
      </c>
      <c r="C479" t="s">
        <v>860</v>
      </c>
      <c r="D479" t="s">
        <v>791</v>
      </c>
      <c r="E479" s="170" cm="1">
        <f t="array" ref="E47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480" spans="1:5" hidden="1">
      <c r="A480" t="s">
        <v>1438</v>
      </c>
      <c r="B480" t="s">
        <v>16</v>
      </c>
      <c r="C480" t="s">
        <v>1131</v>
      </c>
      <c r="D480" t="s">
        <v>791</v>
      </c>
      <c r="E480" s="170" cm="1">
        <f t="array" ref="E48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48176</v>
      </c>
    </row>
    <row r="481" spans="1:5" hidden="1">
      <c r="A481" t="s">
        <v>1439</v>
      </c>
      <c r="B481" t="s">
        <v>13</v>
      </c>
      <c r="C481" t="s">
        <v>1131</v>
      </c>
      <c r="D481" t="s">
        <v>791</v>
      </c>
      <c r="E481" s="170" cm="1">
        <f t="array" ref="E48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51928</v>
      </c>
    </row>
    <row r="482" spans="1:5" hidden="1">
      <c r="A482" t="s">
        <v>1441</v>
      </c>
      <c r="B482" t="s">
        <v>16</v>
      </c>
      <c r="C482" t="s">
        <v>1131</v>
      </c>
      <c r="D482" t="s">
        <v>791</v>
      </c>
      <c r="E482" s="170" cm="1">
        <f t="array" ref="E48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27056</v>
      </c>
    </row>
    <row r="483" spans="1:5" hidden="1">
      <c r="A483" t="s">
        <v>1442</v>
      </c>
      <c r="B483" t="s">
        <v>16</v>
      </c>
      <c r="C483" t="s">
        <v>1131</v>
      </c>
      <c r="D483" t="s">
        <v>791</v>
      </c>
      <c r="E483" s="170" cm="1">
        <f t="array" ref="E48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24920</v>
      </c>
    </row>
    <row r="484" spans="1:5" hidden="1">
      <c r="A484" t="s">
        <v>1443</v>
      </c>
      <c r="B484" t="s">
        <v>13</v>
      </c>
      <c r="C484" t="s">
        <v>1131</v>
      </c>
      <c r="D484" t="s">
        <v>791</v>
      </c>
      <c r="E484" s="170" cm="1">
        <f t="array" ref="E48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11200</v>
      </c>
    </row>
    <row r="485" spans="1:5" hidden="1">
      <c r="A485" t="s">
        <v>1444</v>
      </c>
      <c r="B485" t="s">
        <v>13</v>
      </c>
      <c r="C485" t="s">
        <v>1131</v>
      </c>
      <c r="D485" t="s">
        <v>791</v>
      </c>
      <c r="E485" s="170" cm="1">
        <f t="array" ref="E48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10840</v>
      </c>
    </row>
    <row r="486" spans="1:5" hidden="1">
      <c r="A486" t="s">
        <v>1446</v>
      </c>
      <c r="B486" t="s">
        <v>13</v>
      </c>
      <c r="C486" t="s">
        <v>1131</v>
      </c>
      <c r="D486" t="s">
        <v>791</v>
      </c>
      <c r="E486" s="170" cm="1">
        <f t="array" ref="E48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16992</v>
      </c>
    </row>
    <row r="487" spans="1:5" hidden="1">
      <c r="A487" t="s">
        <v>1447</v>
      </c>
      <c r="B487" t="s">
        <v>13</v>
      </c>
      <c r="C487" t="s">
        <v>1131</v>
      </c>
      <c r="D487" t="s">
        <v>791</v>
      </c>
      <c r="E487" s="170" cm="1">
        <f t="array" ref="E48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18400</v>
      </c>
    </row>
    <row r="488" spans="1:5" hidden="1">
      <c r="A488" t="s">
        <v>1448</v>
      </c>
      <c r="B488" t="s">
        <v>13</v>
      </c>
      <c r="C488" t="s">
        <v>1131</v>
      </c>
      <c r="D488" t="s">
        <v>791</v>
      </c>
      <c r="E488" s="170" cm="1">
        <f t="array" ref="E48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15280</v>
      </c>
    </row>
    <row r="489" spans="1:5" hidden="1">
      <c r="A489" t="s">
        <v>1450</v>
      </c>
      <c r="B489" t="s">
        <v>13</v>
      </c>
      <c r="C489" t="s">
        <v>1131</v>
      </c>
      <c r="D489" t="s">
        <v>791</v>
      </c>
      <c r="E489" s="170" cm="1">
        <f t="array" ref="E48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22168</v>
      </c>
    </row>
    <row r="490" spans="1:5" hidden="1">
      <c r="A490" t="s">
        <v>1452</v>
      </c>
      <c r="B490" t="s">
        <v>13</v>
      </c>
      <c r="C490" t="s">
        <v>1131</v>
      </c>
      <c r="D490" t="s">
        <v>791</v>
      </c>
      <c r="E490" s="170" cm="1">
        <f t="array" ref="E49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21048</v>
      </c>
    </row>
    <row r="491" spans="1:5" hidden="1">
      <c r="A491" t="s">
        <v>1453</v>
      </c>
      <c r="B491" t="s">
        <v>13</v>
      </c>
      <c r="C491" t="s">
        <v>1131</v>
      </c>
      <c r="D491" t="s">
        <v>791</v>
      </c>
      <c r="E491" s="170" cm="1">
        <f t="array" ref="E49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25616</v>
      </c>
    </row>
    <row r="492" spans="1:5" hidden="1">
      <c r="A492" t="s">
        <v>1454</v>
      </c>
      <c r="B492" t="s">
        <v>13</v>
      </c>
      <c r="C492" t="s">
        <v>1131</v>
      </c>
      <c r="D492" t="s">
        <v>791</v>
      </c>
      <c r="E492" s="170" cm="1">
        <f t="array" ref="E49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24920</v>
      </c>
    </row>
    <row r="493" spans="1:5" hidden="1">
      <c r="A493" t="s">
        <v>1455</v>
      </c>
      <c r="B493" t="s">
        <v>13</v>
      </c>
      <c r="C493" t="s">
        <v>1131</v>
      </c>
      <c r="D493" t="s">
        <v>791</v>
      </c>
      <c r="E493" s="170" cm="1">
        <f t="array" ref="E49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58944</v>
      </c>
    </row>
    <row r="494" spans="1:5" hidden="1">
      <c r="A494" t="s">
        <v>1456</v>
      </c>
      <c r="B494" t="s">
        <v>13</v>
      </c>
      <c r="C494" t="s">
        <v>1131</v>
      </c>
      <c r="D494" t="s">
        <v>791</v>
      </c>
      <c r="E494" s="170" cm="1">
        <f t="array" ref="E49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14456</v>
      </c>
    </row>
    <row r="495" spans="1:5" hidden="1">
      <c r="A495" t="s">
        <v>1457</v>
      </c>
      <c r="B495" t="s">
        <v>13</v>
      </c>
      <c r="C495" t="s">
        <v>1131</v>
      </c>
      <c r="D495" t="s">
        <v>791</v>
      </c>
      <c r="E495" s="170" cm="1">
        <f t="array" ref="E49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60160</v>
      </c>
    </row>
    <row r="496" spans="1:5" hidden="1">
      <c r="A496" t="s">
        <v>1458</v>
      </c>
      <c r="B496" t="s">
        <v>13</v>
      </c>
      <c r="C496" t="s">
        <v>1131</v>
      </c>
      <c r="D496" t="s">
        <v>791</v>
      </c>
      <c r="E496" s="170" cm="1">
        <f t="array" ref="E49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24504</v>
      </c>
    </row>
    <row r="497" spans="1:5" hidden="1">
      <c r="A497" t="s">
        <v>1459</v>
      </c>
      <c r="B497" t="s">
        <v>13</v>
      </c>
      <c r="C497" t="s">
        <v>1131</v>
      </c>
      <c r="D497" t="s">
        <v>791</v>
      </c>
      <c r="E497" s="170" cm="1">
        <f t="array" ref="E49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20960</v>
      </c>
    </row>
    <row r="498" spans="1:5" hidden="1">
      <c r="A498" t="s">
        <v>1460</v>
      </c>
      <c r="B498" t="s">
        <v>13</v>
      </c>
      <c r="C498" t="s">
        <v>1131</v>
      </c>
      <c r="D498" t="s">
        <v>791</v>
      </c>
      <c r="E498" s="170" cm="1">
        <f t="array" ref="E49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53696</v>
      </c>
    </row>
    <row r="499" spans="1:5" hidden="1">
      <c r="A499" t="s">
        <v>1461</v>
      </c>
      <c r="B499" t="s">
        <v>321</v>
      </c>
      <c r="C499" t="s">
        <v>860</v>
      </c>
      <c r="D499" t="s">
        <v>791</v>
      </c>
      <c r="E499" s="170" cm="1">
        <f t="array" ref="E49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1216</v>
      </c>
    </row>
    <row r="500" spans="1:5" hidden="1">
      <c r="A500" t="s">
        <v>1462</v>
      </c>
      <c r="B500" t="s">
        <v>321</v>
      </c>
      <c r="C500" t="s">
        <v>860</v>
      </c>
      <c r="D500" t="s">
        <v>791</v>
      </c>
      <c r="E500" s="170" cm="1">
        <f t="array" ref="E50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501" spans="1:5" hidden="1">
      <c r="A501" t="s">
        <v>1463</v>
      </c>
      <c r="B501" t="s">
        <v>321</v>
      </c>
      <c r="C501" t="s">
        <v>860</v>
      </c>
      <c r="D501" t="s">
        <v>791</v>
      </c>
      <c r="E501" s="170" cm="1">
        <f t="array" ref="E50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5453</v>
      </c>
    </row>
    <row r="502" spans="1:5" hidden="1">
      <c r="A502" t="s">
        <v>1465</v>
      </c>
      <c r="B502" t="s">
        <v>321</v>
      </c>
      <c r="C502" t="s">
        <v>860</v>
      </c>
      <c r="D502" t="s">
        <v>791</v>
      </c>
      <c r="E502" s="170" cm="1">
        <f t="array" ref="E50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2898</v>
      </c>
    </row>
    <row r="503" spans="1:5" hidden="1">
      <c r="A503" t="s">
        <v>1466</v>
      </c>
      <c r="B503" t="s">
        <v>321</v>
      </c>
      <c r="C503" t="s">
        <v>860</v>
      </c>
      <c r="D503" t="s">
        <v>791</v>
      </c>
      <c r="E503" s="170" cm="1">
        <f t="array" ref="E50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3385</v>
      </c>
    </row>
    <row r="504" spans="1:5" hidden="1">
      <c r="A504" t="s">
        <v>1468</v>
      </c>
      <c r="B504" t="s">
        <v>321</v>
      </c>
      <c r="C504" t="s">
        <v>860</v>
      </c>
      <c r="D504" t="s">
        <v>791</v>
      </c>
      <c r="E504" s="170" cm="1">
        <f t="array" ref="E50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2232</v>
      </c>
    </row>
    <row r="505" spans="1:5" hidden="1">
      <c r="A505" t="s">
        <v>1470</v>
      </c>
      <c r="B505" t="s">
        <v>321</v>
      </c>
      <c r="C505" t="s">
        <v>860</v>
      </c>
      <c r="D505" t="s">
        <v>791</v>
      </c>
      <c r="E505" s="170" cm="1">
        <f t="array" ref="E50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2416</v>
      </c>
    </row>
    <row r="506" spans="1:5" hidden="1">
      <c r="A506" t="s">
        <v>1471</v>
      </c>
      <c r="B506" t="s">
        <v>321</v>
      </c>
      <c r="C506" t="s">
        <v>860</v>
      </c>
      <c r="D506" t="s">
        <v>791</v>
      </c>
      <c r="E506" s="170" cm="1">
        <f t="array" ref="E50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1960</v>
      </c>
    </row>
    <row r="507" spans="1:5" hidden="1">
      <c r="A507" t="s">
        <v>1472</v>
      </c>
      <c r="B507" t="s">
        <v>321</v>
      </c>
      <c r="C507" t="s">
        <v>860</v>
      </c>
      <c r="D507" t="s">
        <v>791</v>
      </c>
      <c r="E507" s="170" cm="1">
        <f t="array" ref="E50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8140</v>
      </c>
    </row>
    <row r="508" spans="1:5" hidden="1">
      <c r="A508" t="s">
        <v>1474</v>
      </c>
      <c r="B508" t="s">
        <v>321</v>
      </c>
      <c r="C508" t="s">
        <v>860</v>
      </c>
      <c r="D508" t="s">
        <v>791</v>
      </c>
      <c r="E508" s="170" cm="1">
        <f t="array" ref="E50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12320</v>
      </c>
    </row>
    <row r="509" spans="1:5" hidden="1">
      <c r="A509" t="s">
        <v>1475</v>
      </c>
      <c r="B509" t="s">
        <v>321</v>
      </c>
      <c r="C509" t="s">
        <v>860</v>
      </c>
      <c r="D509" t="s">
        <v>791</v>
      </c>
      <c r="E509" s="170" cm="1">
        <f t="array" ref="E50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7467</v>
      </c>
    </row>
    <row r="510" spans="1:5" hidden="1">
      <c r="A510" t="s">
        <v>1476</v>
      </c>
      <c r="B510" t="s">
        <v>321</v>
      </c>
      <c r="C510" t="s">
        <v>860</v>
      </c>
      <c r="D510" t="s">
        <v>791</v>
      </c>
      <c r="E510" s="170" cm="1">
        <f t="array" ref="E51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8190</v>
      </c>
    </row>
    <row r="511" spans="1:5" hidden="1">
      <c r="A511" t="s">
        <v>1477</v>
      </c>
      <c r="B511" t="s">
        <v>321</v>
      </c>
      <c r="C511" t="s">
        <v>860</v>
      </c>
      <c r="D511" t="s">
        <v>791</v>
      </c>
      <c r="E511" s="170" cm="1">
        <f t="array" ref="E51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1667</v>
      </c>
    </row>
    <row r="512" spans="1:5" hidden="1">
      <c r="A512" t="s">
        <v>1479</v>
      </c>
      <c r="B512" t="s">
        <v>368</v>
      </c>
      <c r="D512" t="s">
        <v>791</v>
      </c>
      <c r="E512" s="170" cm="1">
        <f t="array" ref="E51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513" spans="1:5" hidden="1">
      <c r="A513" t="s">
        <v>1480</v>
      </c>
      <c r="B513" t="s">
        <v>13</v>
      </c>
      <c r="C513" t="s">
        <v>860</v>
      </c>
      <c r="D513" t="s">
        <v>791</v>
      </c>
      <c r="E513" s="170" cm="1">
        <f t="array" ref="E51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2864</v>
      </c>
    </row>
    <row r="514" spans="1:5" hidden="1">
      <c r="A514" t="s">
        <v>1481</v>
      </c>
      <c r="B514" t="s">
        <v>13</v>
      </c>
      <c r="C514" t="s">
        <v>860</v>
      </c>
      <c r="D514" t="s">
        <v>791</v>
      </c>
      <c r="E514" s="170" cm="1">
        <f t="array" ref="E51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15875</v>
      </c>
    </row>
    <row r="515" spans="1:5" hidden="1">
      <c r="A515" t="s">
        <v>1482</v>
      </c>
      <c r="B515" t="s">
        <v>13</v>
      </c>
      <c r="C515" t="s">
        <v>860</v>
      </c>
      <c r="D515" t="s">
        <v>791</v>
      </c>
      <c r="E515" s="170" cm="1">
        <f t="array" ref="E51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22900</v>
      </c>
    </row>
    <row r="516" spans="1:5" hidden="1">
      <c r="A516" t="s">
        <v>1484</v>
      </c>
      <c r="B516" t="s">
        <v>13</v>
      </c>
      <c r="C516" t="s">
        <v>860</v>
      </c>
      <c r="D516" t="s">
        <v>791</v>
      </c>
      <c r="E516" s="170" cm="1">
        <f t="array" ref="E51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9456</v>
      </c>
    </row>
    <row r="517" spans="1:5" hidden="1">
      <c r="A517" t="s">
        <v>1485</v>
      </c>
      <c r="B517" t="s">
        <v>13</v>
      </c>
      <c r="C517" t="s">
        <v>860</v>
      </c>
      <c r="D517" t="s">
        <v>791</v>
      </c>
      <c r="E517" s="170" cm="1">
        <f t="array" ref="E51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5320</v>
      </c>
    </row>
    <row r="518" spans="1:5" hidden="1">
      <c r="A518" t="s">
        <v>1486</v>
      </c>
      <c r="B518" t="s">
        <v>13</v>
      </c>
      <c r="C518" t="s">
        <v>860</v>
      </c>
      <c r="D518" t="s">
        <v>791</v>
      </c>
      <c r="E518" s="170" cm="1">
        <f t="array" ref="E51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29376</v>
      </c>
    </row>
    <row r="519" spans="1:5" hidden="1">
      <c r="A519" t="s">
        <v>1487</v>
      </c>
      <c r="B519" t="s">
        <v>13</v>
      </c>
      <c r="C519" t="s">
        <v>860</v>
      </c>
      <c r="D519" t="s">
        <v>791</v>
      </c>
      <c r="E519" s="170" cm="1">
        <f t="array" ref="E51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7761</v>
      </c>
    </row>
    <row r="520" spans="1:5" hidden="1">
      <c r="A520" t="s">
        <v>1488</v>
      </c>
      <c r="B520" t="s">
        <v>13</v>
      </c>
      <c r="C520" t="s">
        <v>860</v>
      </c>
      <c r="D520" t="s">
        <v>791</v>
      </c>
      <c r="E520" s="170" cm="1">
        <f t="array" ref="E52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2584</v>
      </c>
    </row>
    <row r="521" spans="1:5" hidden="1">
      <c r="A521" t="s">
        <v>1489</v>
      </c>
      <c r="B521" t="s">
        <v>13</v>
      </c>
      <c r="C521" t="s">
        <v>860</v>
      </c>
      <c r="D521" t="s">
        <v>791</v>
      </c>
      <c r="E521" s="170" cm="1">
        <f t="array" ref="E52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137907</v>
      </c>
    </row>
    <row r="522" spans="1:5" hidden="1">
      <c r="A522" t="s">
        <v>1491</v>
      </c>
      <c r="B522" t="s">
        <v>13</v>
      </c>
      <c r="C522" t="s">
        <v>860</v>
      </c>
      <c r="D522" t="s">
        <v>791</v>
      </c>
      <c r="E522" s="170" cm="1">
        <f t="array" ref="E52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7842</v>
      </c>
    </row>
    <row r="523" spans="1:5" hidden="1">
      <c r="A523" t="s">
        <v>1492</v>
      </c>
      <c r="B523" t="s">
        <v>193</v>
      </c>
      <c r="C523" t="s">
        <v>1059</v>
      </c>
      <c r="D523" t="s">
        <v>791</v>
      </c>
      <c r="E523" s="170" cm="1">
        <f t="array" ref="E52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3391.5</v>
      </c>
    </row>
    <row r="524" spans="1:5" hidden="1">
      <c r="A524" t="s">
        <v>1493</v>
      </c>
      <c r="B524" t="s">
        <v>193</v>
      </c>
      <c r="C524" t="s">
        <v>1059</v>
      </c>
      <c r="D524" t="s">
        <v>791</v>
      </c>
      <c r="E524" s="170" cm="1">
        <f t="array" ref="E52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579.5</v>
      </c>
    </row>
    <row r="525" spans="1:5" hidden="1">
      <c r="A525" t="s">
        <v>1494</v>
      </c>
      <c r="B525" t="s">
        <v>32</v>
      </c>
      <c r="C525" t="s">
        <v>860</v>
      </c>
      <c r="D525" t="s">
        <v>791</v>
      </c>
      <c r="E525" s="170" cm="1">
        <f t="array" ref="E52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437.76000000000005</v>
      </c>
    </row>
    <row r="526" spans="1:5" hidden="1">
      <c r="A526" t="s">
        <v>1495</v>
      </c>
      <c r="B526" t="s">
        <v>172</v>
      </c>
      <c r="C526" t="s">
        <v>860</v>
      </c>
      <c r="D526" t="s">
        <v>791</v>
      </c>
      <c r="E526" s="170" cm="1">
        <f t="array" ref="E52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9966</v>
      </c>
    </row>
    <row r="527" spans="1:5" hidden="1">
      <c r="A527" t="s">
        <v>2109</v>
      </c>
      <c r="B527" t="s">
        <v>32</v>
      </c>
      <c r="C527" t="s">
        <v>887</v>
      </c>
      <c r="D527" t="s">
        <v>791</v>
      </c>
      <c r="E527" s="170" cm="1">
        <f t="array" ref="E52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528" spans="1:5" hidden="1">
      <c r="A528" t="s">
        <v>1497</v>
      </c>
      <c r="B528" t="s">
        <v>32</v>
      </c>
      <c r="C528" t="s">
        <v>887</v>
      </c>
      <c r="D528" t="s">
        <v>791</v>
      </c>
      <c r="E528" s="170" cm="1">
        <f t="array" ref="E52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8568</v>
      </c>
    </row>
    <row r="529" spans="1:5" hidden="1">
      <c r="A529" t="s">
        <v>1498</v>
      </c>
      <c r="B529" t="s">
        <v>32</v>
      </c>
      <c r="C529" t="s">
        <v>860</v>
      </c>
      <c r="D529" t="s">
        <v>791</v>
      </c>
      <c r="E529" s="170" cm="1">
        <f t="array" ref="E52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530" spans="1:5" hidden="1">
      <c r="A530" t="s">
        <v>1499</v>
      </c>
      <c r="B530" t="s">
        <v>32</v>
      </c>
      <c r="C530" t="s">
        <v>860</v>
      </c>
      <c r="D530" t="s">
        <v>791</v>
      </c>
      <c r="E530" s="170" cm="1">
        <f t="array" ref="E53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218.40000000000003</v>
      </c>
    </row>
    <row r="531" spans="1:5" hidden="1">
      <c r="A531" t="s">
        <v>1500</v>
      </c>
      <c r="B531" t="s">
        <v>32</v>
      </c>
      <c r="C531" t="s">
        <v>860</v>
      </c>
      <c r="D531" t="s">
        <v>791</v>
      </c>
      <c r="E531" s="170" cm="1">
        <f t="array" ref="E53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2296.3199999999997</v>
      </c>
    </row>
    <row r="532" spans="1:5" hidden="1">
      <c r="A532" t="s">
        <v>1501</v>
      </c>
      <c r="B532" t="s">
        <v>32</v>
      </c>
      <c r="C532" t="s">
        <v>860</v>
      </c>
      <c r="D532" t="s">
        <v>791</v>
      </c>
      <c r="E532" s="170" cm="1">
        <f t="array" ref="E53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1764</v>
      </c>
    </row>
    <row r="533" spans="1:5" hidden="1">
      <c r="A533" t="s">
        <v>1502</v>
      </c>
      <c r="B533" t="s">
        <v>32</v>
      </c>
      <c r="C533" t="s">
        <v>860</v>
      </c>
      <c r="D533" t="s">
        <v>791</v>
      </c>
      <c r="E533" s="170" cm="1">
        <f t="array" ref="E53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3648.96</v>
      </c>
    </row>
    <row r="534" spans="1:5" hidden="1">
      <c r="A534" t="s">
        <v>1503</v>
      </c>
      <c r="B534" t="s">
        <v>32</v>
      </c>
      <c r="C534" t="s">
        <v>860</v>
      </c>
      <c r="D534" t="s">
        <v>791</v>
      </c>
      <c r="E534" s="170" cm="1">
        <f t="array" ref="E53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8590.08</v>
      </c>
    </row>
    <row r="535" spans="1:5" hidden="1">
      <c r="A535" t="s">
        <v>1504</v>
      </c>
      <c r="B535" t="s">
        <v>32</v>
      </c>
      <c r="C535" t="s">
        <v>860</v>
      </c>
      <c r="D535" t="s">
        <v>791</v>
      </c>
      <c r="E535" s="170" cm="1">
        <f t="array" ref="E53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13961.76</v>
      </c>
    </row>
    <row r="536" spans="1:5" hidden="1">
      <c r="A536" t="s">
        <v>1505</v>
      </c>
      <c r="B536" t="s">
        <v>32</v>
      </c>
      <c r="C536" t="s">
        <v>860</v>
      </c>
      <c r="D536" t="s">
        <v>791</v>
      </c>
      <c r="E536" s="170" cm="1">
        <f t="array" ref="E53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25367.52</v>
      </c>
    </row>
    <row r="537" spans="1:5" hidden="1">
      <c r="A537" t="s">
        <v>1506</v>
      </c>
      <c r="B537" t="s">
        <v>193</v>
      </c>
      <c r="C537" t="s">
        <v>1059</v>
      </c>
      <c r="D537" t="s">
        <v>791</v>
      </c>
      <c r="E537" s="170" cm="1">
        <f t="array" ref="E53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1912</v>
      </c>
    </row>
    <row r="538" spans="1:5" hidden="1">
      <c r="A538" t="s">
        <v>1507</v>
      </c>
      <c r="B538" t="s">
        <v>193</v>
      </c>
      <c r="C538" t="s">
        <v>1059</v>
      </c>
      <c r="D538" t="s">
        <v>791</v>
      </c>
      <c r="E538" s="170" cm="1">
        <f t="array" ref="E53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8600</v>
      </c>
    </row>
    <row r="539" spans="1:5" hidden="1">
      <c r="A539" t="s">
        <v>1508</v>
      </c>
      <c r="B539" t="s">
        <v>321</v>
      </c>
      <c r="C539" t="s">
        <v>860</v>
      </c>
      <c r="D539" t="s">
        <v>791</v>
      </c>
      <c r="E539" s="170" cm="1">
        <f t="array" ref="E53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1320</v>
      </c>
    </row>
    <row r="540" spans="1:5" hidden="1">
      <c r="A540" t="s">
        <v>1509</v>
      </c>
      <c r="B540" t="s">
        <v>321</v>
      </c>
      <c r="C540" t="s">
        <v>860</v>
      </c>
      <c r="D540" t="s">
        <v>791</v>
      </c>
      <c r="E540" s="170" cm="1">
        <f t="array" ref="E54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880</v>
      </c>
    </row>
    <row r="541" spans="1:5" hidden="1">
      <c r="A541" t="s">
        <v>1510</v>
      </c>
      <c r="B541" t="s">
        <v>321</v>
      </c>
      <c r="C541" t="s">
        <v>860</v>
      </c>
      <c r="D541" t="s">
        <v>791</v>
      </c>
      <c r="E541" s="170" cm="1">
        <f t="array" ref="E54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10384</v>
      </c>
    </row>
    <row r="542" spans="1:5" hidden="1">
      <c r="A542" t="s">
        <v>1511</v>
      </c>
      <c r="B542" t="s">
        <v>321</v>
      </c>
      <c r="C542" t="s">
        <v>860</v>
      </c>
      <c r="D542" t="s">
        <v>791</v>
      </c>
      <c r="E542" s="170" cm="1">
        <f t="array" ref="E54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1256</v>
      </c>
    </row>
    <row r="543" spans="1:5" hidden="1">
      <c r="A543" t="s">
        <v>1512</v>
      </c>
      <c r="B543" t="s">
        <v>32</v>
      </c>
      <c r="C543" t="s">
        <v>860</v>
      </c>
      <c r="D543" t="s">
        <v>791</v>
      </c>
      <c r="E543" s="170" cm="1">
        <f t="array" ref="E54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875.04</v>
      </c>
    </row>
    <row r="544" spans="1:5" hidden="1">
      <c r="A544" t="s">
        <v>1513</v>
      </c>
      <c r="B544" t="s">
        <v>360</v>
      </c>
      <c r="C544" t="s">
        <v>860</v>
      </c>
      <c r="D544" t="s">
        <v>791</v>
      </c>
      <c r="E544" s="170" cm="1">
        <f t="array" ref="E54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32297.279999999999</v>
      </c>
    </row>
    <row r="545" spans="1:5" hidden="1">
      <c r="A545" t="s">
        <v>1514</v>
      </c>
      <c r="B545" t="s">
        <v>32</v>
      </c>
      <c r="C545" t="s">
        <v>860</v>
      </c>
      <c r="D545" t="s">
        <v>791</v>
      </c>
      <c r="E545" s="170" cm="1">
        <f t="array" ref="E54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1245.1199999999999</v>
      </c>
    </row>
    <row r="546" spans="1:5" hidden="1">
      <c r="A546" t="s">
        <v>1515</v>
      </c>
      <c r="B546" t="s">
        <v>32</v>
      </c>
      <c r="C546" t="s">
        <v>860</v>
      </c>
      <c r="D546" t="s">
        <v>791</v>
      </c>
      <c r="E546" s="170" cm="1">
        <f t="array" ref="E54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298.56</v>
      </c>
    </row>
    <row r="547" spans="1:5" hidden="1">
      <c r="A547" t="s">
        <v>1516</v>
      </c>
      <c r="B547" t="s">
        <v>32</v>
      </c>
      <c r="C547" t="s">
        <v>860</v>
      </c>
      <c r="D547" t="s">
        <v>791</v>
      </c>
      <c r="E547" s="170" cm="1">
        <f t="array" ref="E54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2203.6799999999998</v>
      </c>
    </row>
    <row r="548" spans="1:5" hidden="1">
      <c r="A548" t="s">
        <v>1517</v>
      </c>
      <c r="B548" t="s">
        <v>32</v>
      </c>
      <c r="C548" t="s">
        <v>860</v>
      </c>
      <c r="D548" t="s">
        <v>791</v>
      </c>
      <c r="E548" s="170" cm="1">
        <f t="array" ref="E54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4768.32</v>
      </c>
    </row>
    <row r="549" spans="1:5" hidden="1">
      <c r="A549" t="s">
        <v>1518</v>
      </c>
      <c r="B549" t="s">
        <v>32</v>
      </c>
      <c r="C549" t="s">
        <v>860</v>
      </c>
      <c r="D549" t="s">
        <v>791</v>
      </c>
      <c r="E549" s="170" cm="1">
        <f t="array" ref="E54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10988.16</v>
      </c>
    </row>
    <row r="550" spans="1:5" hidden="1">
      <c r="A550" t="s">
        <v>1519</v>
      </c>
      <c r="B550" t="s">
        <v>172</v>
      </c>
      <c r="C550" t="s">
        <v>860</v>
      </c>
      <c r="D550" t="s">
        <v>791</v>
      </c>
      <c r="E550" s="170" cm="1">
        <f t="array" ref="E55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10580</v>
      </c>
    </row>
    <row r="551" spans="1:5" hidden="1">
      <c r="A551" t="s">
        <v>1520</v>
      </c>
      <c r="B551" t="s">
        <v>172</v>
      </c>
      <c r="C551" t="s">
        <v>860</v>
      </c>
      <c r="D551" t="s">
        <v>791</v>
      </c>
      <c r="E551" s="170" cm="1">
        <f t="array" ref="E55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28946</v>
      </c>
    </row>
    <row r="552" spans="1:5" hidden="1">
      <c r="A552" t="s">
        <v>1521</v>
      </c>
      <c r="B552" t="s">
        <v>172</v>
      </c>
      <c r="C552" t="s">
        <v>860</v>
      </c>
      <c r="D552" t="s">
        <v>791</v>
      </c>
      <c r="E552" s="170" cm="1">
        <f t="array" ref="E55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17730</v>
      </c>
    </row>
    <row r="553" spans="1:5" hidden="1">
      <c r="A553" t="s">
        <v>1522</v>
      </c>
      <c r="B553" t="s">
        <v>172</v>
      </c>
      <c r="C553" t="s">
        <v>860</v>
      </c>
      <c r="D553" t="s">
        <v>791</v>
      </c>
      <c r="E553" s="170" cm="1">
        <f t="array" ref="E55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52664</v>
      </c>
    </row>
    <row r="554" spans="1:5" hidden="1">
      <c r="A554" t="s">
        <v>1523</v>
      </c>
      <c r="B554" t="s">
        <v>13</v>
      </c>
      <c r="C554" t="s">
        <v>1131</v>
      </c>
      <c r="D554" t="s">
        <v>791</v>
      </c>
      <c r="E554" s="170" cm="1">
        <f t="array" ref="E55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58248</v>
      </c>
    </row>
    <row r="555" spans="1:5" hidden="1">
      <c r="A555" t="s">
        <v>1525</v>
      </c>
      <c r="B555" t="s">
        <v>13</v>
      </c>
      <c r="C555" t="s">
        <v>1131</v>
      </c>
      <c r="D555" t="s">
        <v>791</v>
      </c>
      <c r="E555" s="170" cm="1">
        <f t="array" ref="E55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82016</v>
      </c>
    </row>
    <row r="556" spans="1:5" hidden="1">
      <c r="A556" t="s">
        <v>1527</v>
      </c>
      <c r="B556" t="s">
        <v>16</v>
      </c>
      <c r="C556" t="s">
        <v>1131</v>
      </c>
      <c r="D556" t="s">
        <v>791</v>
      </c>
      <c r="E556" s="170" cm="1">
        <f t="array" ref="E55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25304</v>
      </c>
    </row>
    <row r="557" spans="1:5" hidden="1">
      <c r="A557" t="s">
        <v>1528</v>
      </c>
      <c r="B557" t="s">
        <v>16</v>
      </c>
      <c r="C557" t="s">
        <v>1131</v>
      </c>
      <c r="D557" t="s">
        <v>791</v>
      </c>
      <c r="E557" s="170" cm="1">
        <f t="array" ref="E55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40200</v>
      </c>
    </row>
    <row r="558" spans="1:5" hidden="1">
      <c r="A558" t="s">
        <v>1529</v>
      </c>
      <c r="B558" t="s">
        <v>13</v>
      </c>
      <c r="C558" t="s">
        <v>1131</v>
      </c>
      <c r="D558" t="s">
        <v>791</v>
      </c>
      <c r="E558" s="170" cm="1">
        <f t="array" ref="E55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18224</v>
      </c>
    </row>
    <row r="559" spans="1:5" hidden="1">
      <c r="A559" t="s">
        <v>1531</v>
      </c>
      <c r="B559" t="s">
        <v>13</v>
      </c>
      <c r="C559" t="s">
        <v>1131</v>
      </c>
      <c r="D559" t="s">
        <v>791</v>
      </c>
      <c r="E559" s="170" cm="1">
        <f t="array" ref="E55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11512</v>
      </c>
    </row>
    <row r="560" spans="1:5" hidden="1">
      <c r="A560" t="s">
        <v>1532</v>
      </c>
      <c r="B560" t="s">
        <v>13</v>
      </c>
      <c r="C560" t="s">
        <v>1131</v>
      </c>
      <c r="D560" t="s">
        <v>791</v>
      </c>
      <c r="E560" s="170" cm="1">
        <f t="array" ref="E56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22560</v>
      </c>
    </row>
    <row r="561" spans="1:5" hidden="1">
      <c r="A561" t="s">
        <v>1533</v>
      </c>
      <c r="B561" t="s">
        <v>13</v>
      </c>
      <c r="C561" t="s">
        <v>1131</v>
      </c>
      <c r="D561" t="s">
        <v>791</v>
      </c>
      <c r="E561" s="170" cm="1">
        <f t="array" ref="E56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50880</v>
      </c>
    </row>
    <row r="562" spans="1:5" hidden="1">
      <c r="A562" t="s">
        <v>1534</v>
      </c>
      <c r="B562" t="s">
        <v>13</v>
      </c>
      <c r="C562" t="s">
        <v>1131</v>
      </c>
      <c r="D562" t="s">
        <v>791</v>
      </c>
      <c r="E562" s="170" cm="1">
        <f t="array" ref="E56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199900</v>
      </c>
    </row>
    <row r="563" spans="1:5" hidden="1">
      <c r="A563" t="s">
        <v>1535</v>
      </c>
      <c r="B563" t="s">
        <v>123</v>
      </c>
      <c r="C563" t="s">
        <v>1131</v>
      </c>
      <c r="D563" t="s">
        <v>791</v>
      </c>
      <c r="E563" s="170" cm="1">
        <f t="array" ref="E56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29552</v>
      </c>
    </row>
    <row r="564" spans="1:5" hidden="1">
      <c r="A564" t="s">
        <v>1536</v>
      </c>
      <c r="B564" t="s">
        <v>32</v>
      </c>
      <c r="C564" t="s">
        <v>860</v>
      </c>
      <c r="D564" t="s">
        <v>791</v>
      </c>
      <c r="E564" s="170" cm="1">
        <f t="array" ref="E56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8992.32</v>
      </c>
    </row>
    <row r="565" spans="1:5" hidden="1">
      <c r="A565" t="s">
        <v>1537</v>
      </c>
      <c r="B565" t="s">
        <v>830</v>
      </c>
      <c r="C565" t="s">
        <v>831</v>
      </c>
      <c r="D565" t="s">
        <v>791</v>
      </c>
      <c r="E565" s="170" cm="1">
        <f t="array" ref="E56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1384</v>
      </c>
    </row>
    <row r="566" spans="1:5" hidden="1">
      <c r="A566" t="s">
        <v>1538</v>
      </c>
      <c r="B566" t="s">
        <v>830</v>
      </c>
      <c r="C566" t="s">
        <v>831</v>
      </c>
      <c r="D566" t="s">
        <v>791</v>
      </c>
      <c r="E566" s="170" cm="1">
        <f t="array" ref="E56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4888</v>
      </c>
    </row>
    <row r="567" spans="1:5" hidden="1">
      <c r="A567" t="s">
        <v>1539</v>
      </c>
      <c r="B567" t="s">
        <v>830</v>
      </c>
      <c r="C567" t="s">
        <v>831</v>
      </c>
      <c r="D567" t="s">
        <v>791</v>
      </c>
      <c r="E567" s="170" cm="1">
        <f t="array" ref="E56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13264</v>
      </c>
    </row>
    <row r="568" spans="1:5" hidden="1">
      <c r="A568" t="s">
        <v>1540</v>
      </c>
      <c r="B568" t="s">
        <v>830</v>
      </c>
      <c r="C568" t="s">
        <v>831</v>
      </c>
      <c r="D568" t="s">
        <v>791</v>
      </c>
      <c r="E568" s="170" cm="1">
        <f t="array" ref="E56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4888</v>
      </c>
    </row>
    <row r="569" spans="1:5" hidden="1">
      <c r="A569" t="s">
        <v>1542</v>
      </c>
      <c r="B569" t="s">
        <v>32</v>
      </c>
      <c r="C569" t="s">
        <v>887</v>
      </c>
      <c r="D569" t="s">
        <v>791</v>
      </c>
      <c r="E569" s="170" cm="1">
        <f t="array" ref="E56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14624.8</v>
      </c>
    </row>
    <row r="570" spans="1:5" hidden="1">
      <c r="A570" t="s">
        <v>1543</v>
      </c>
      <c r="B570" t="s">
        <v>32</v>
      </c>
      <c r="C570" t="s">
        <v>860</v>
      </c>
      <c r="D570" t="s">
        <v>791</v>
      </c>
      <c r="E570" s="170" cm="1">
        <f t="array" ref="E57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1665.6</v>
      </c>
    </row>
    <row r="571" spans="1:5" hidden="1">
      <c r="A571" t="s">
        <v>1544</v>
      </c>
      <c r="B571" t="s">
        <v>32</v>
      </c>
      <c r="C571" t="s">
        <v>860</v>
      </c>
      <c r="D571" t="s">
        <v>791</v>
      </c>
      <c r="E571" s="170" cm="1">
        <f t="array" ref="E57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4301.76</v>
      </c>
    </row>
    <row r="572" spans="1:5" hidden="1">
      <c r="A572" t="s">
        <v>1545</v>
      </c>
      <c r="B572" t="s">
        <v>32</v>
      </c>
      <c r="C572" t="s">
        <v>887</v>
      </c>
      <c r="D572" t="s">
        <v>791</v>
      </c>
      <c r="E572" s="170" cm="1">
        <f t="array" ref="E57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7512</v>
      </c>
    </row>
    <row r="573" spans="1:5" hidden="1">
      <c r="A573" t="s">
        <v>1546</v>
      </c>
      <c r="B573" t="s">
        <v>32</v>
      </c>
      <c r="C573" t="s">
        <v>860</v>
      </c>
      <c r="D573" t="s">
        <v>791</v>
      </c>
      <c r="E573" s="170" cm="1">
        <f t="array" ref="E57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504</v>
      </c>
    </row>
    <row r="574" spans="1:5" hidden="1">
      <c r="A574" t="s">
        <v>1547</v>
      </c>
      <c r="B574" t="s">
        <v>32</v>
      </c>
      <c r="C574" t="s">
        <v>860</v>
      </c>
      <c r="D574" t="s">
        <v>791</v>
      </c>
      <c r="E574" s="170" cm="1">
        <f t="array" ref="E57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852.48</v>
      </c>
    </row>
    <row r="575" spans="1:5" hidden="1">
      <c r="A575" t="s">
        <v>1548</v>
      </c>
      <c r="B575" t="s">
        <v>32</v>
      </c>
      <c r="C575" t="s">
        <v>860</v>
      </c>
      <c r="D575" t="s">
        <v>791</v>
      </c>
      <c r="E575" s="170" cm="1">
        <f t="array" ref="E57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576" spans="1:5" hidden="1">
      <c r="A576" t="s">
        <v>1549</v>
      </c>
      <c r="B576" t="s">
        <v>32</v>
      </c>
      <c r="C576" t="s">
        <v>860</v>
      </c>
      <c r="D576" t="s">
        <v>791</v>
      </c>
      <c r="E576" s="170" cm="1">
        <f t="array" ref="E57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97824</v>
      </c>
    </row>
    <row r="577" spans="1:5" hidden="1">
      <c r="A577" t="s">
        <v>1550</v>
      </c>
      <c r="B577" t="s">
        <v>32</v>
      </c>
      <c r="C577" t="s">
        <v>887</v>
      </c>
      <c r="D577" t="s">
        <v>791</v>
      </c>
      <c r="E577" s="170" cm="1">
        <f t="array" ref="E57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39376</v>
      </c>
    </row>
    <row r="578" spans="1:5" hidden="1">
      <c r="A578" t="s">
        <v>1551</v>
      </c>
      <c r="B578" t="s">
        <v>193</v>
      </c>
      <c r="C578" t="s">
        <v>1059</v>
      </c>
      <c r="D578" t="s">
        <v>791</v>
      </c>
      <c r="E578" s="170" cm="1">
        <f t="array" ref="E57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3648</v>
      </c>
    </row>
    <row r="579" spans="1:5" hidden="1">
      <c r="A579" t="s">
        <v>1552</v>
      </c>
      <c r="B579" t="s">
        <v>193</v>
      </c>
      <c r="C579" t="s">
        <v>1059</v>
      </c>
      <c r="D579" t="s">
        <v>791</v>
      </c>
      <c r="E579" s="170" cm="1">
        <f t="array" ref="E57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4180.5</v>
      </c>
    </row>
    <row r="580" spans="1:5" hidden="1">
      <c r="A580" t="s">
        <v>1554</v>
      </c>
      <c r="B580" t="s">
        <v>193</v>
      </c>
      <c r="C580" t="s">
        <v>1059</v>
      </c>
      <c r="D580" t="s">
        <v>791</v>
      </c>
      <c r="E580" s="170" cm="1">
        <f t="array" ref="E58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99278</v>
      </c>
    </row>
    <row r="581" spans="1:5" hidden="1">
      <c r="A581" t="s">
        <v>1555</v>
      </c>
      <c r="B581" t="s">
        <v>193</v>
      </c>
      <c r="C581" t="s">
        <v>1059</v>
      </c>
      <c r="D581" t="s">
        <v>791</v>
      </c>
      <c r="E581" s="170" cm="1">
        <f t="array" ref="E58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10933</v>
      </c>
    </row>
    <row r="582" spans="1:5" hidden="1">
      <c r="A582" t="s">
        <v>1556</v>
      </c>
      <c r="B582" t="s">
        <v>32</v>
      </c>
      <c r="C582" t="s">
        <v>887</v>
      </c>
      <c r="D582" t="s">
        <v>791</v>
      </c>
      <c r="E582" s="170" cm="1">
        <f t="array" ref="E58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57568</v>
      </c>
    </row>
    <row r="583" spans="1:5" hidden="1">
      <c r="A583" t="s">
        <v>1557</v>
      </c>
      <c r="B583" t="s">
        <v>13</v>
      </c>
      <c r="C583" t="s">
        <v>1131</v>
      </c>
      <c r="D583" t="s">
        <v>791</v>
      </c>
      <c r="E583" s="170" cm="1">
        <f t="array" ref="E58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15024</v>
      </c>
    </row>
    <row r="584" spans="1:5" hidden="1">
      <c r="A584" t="s">
        <v>1559</v>
      </c>
      <c r="B584" t="s">
        <v>13</v>
      </c>
      <c r="C584" t="s">
        <v>860</v>
      </c>
      <c r="D584" t="s">
        <v>791</v>
      </c>
      <c r="E584" s="170" cm="1">
        <f t="array" ref="E58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15360</v>
      </c>
    </row>
    <row r="585" spans="1:5" hidden="1">
      <c r="A585" t="s">
        <v>1560</v>
      </c>
      <c r="B585" t="s">
        <v>13</v>
      </c>
      <c r="C585" t="s">
        <v>860</v>
      </c>
      <c r="D585" t="s">
        <v>791</v>
      </c>
      <c r="E585" s="170" cm="1">
        <f t="array" ref="E58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37880</v>
      </c>
    </row>
    <row r="586" spans="1:5" hidden="1">
      <c r="A586" t="s">
        <v>1561</v>
      </c>
      <c r="B586" t="s">
        <v>13</v>
      </c>
      <c r="C586" t="s">
        <v>860</v>
      </c>
      <c r="D586" t="s">
        <v>791</v>
      </c>
      <c r="E586" s="170" cm="1">
        <f t="array" ref="E58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48220.2</v>
      </c>
    </row>
    <row r="587" spans="1:5" hidden="1">
      <c r="A587" t="s">
        <v>1562</v>
      </c>
      <c r="B587" t="s">
        <v>321</v>
      </c>
      <c r="C587" t="s">
        <v>860</v>
      </c>
      <c r="D587" t="s">
        <v>791</v>
      </c>
      <c r="E587" s="170" cm="1">
        <f t="array" ref="E58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4576</v>
      </c>
    </row>
    <row r="588" spans="1:5" hidden="1">
      <c r="A588" t="s">
        <v>1563</v>
      </c>
      <c r="B588" t="s">
        <v>321</v>
      </c>
      <c r="C588" t="s">
        <v>860</v>
      </c>
      <c r="D588" t="s">
        <v>791</v>
      </c>
      <c r="E588" s="170" cm="1">
        <f t="array" ref="E58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1864</v>
      </c>
    </row>
    <row r="589" spans="1:5" hidden="1">
      <c r="A589" t="s">
        <v>1564</v>
      </c>
      <c r="B589" t="s">
        <v>321</v>
      </c>
      <c r="C589" t="s">
        <v>860</v>
      </c>
      <c r="D589" t="s">
        <v>791</v>
      </c>
      <c r="E589" s="170" cm="1">
        <f t="array" ref="E58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2192</v>
      </c>
    </row>
    <row r="590" spans="1:5" hidden="1">
      <c r="A590" t="s">
        <v>1566</v>
      </c>
      <c r="B590" t="s">
        <v>321</v>
      </c>
      <c r="C590" t="s">
        <v>860</v>
      </c>
      <c r="D590" t="s">
        <v>791</v>
      </c>
      <c r="E590" s="170" cm="1">
        <f t="array" ref="E59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9112</v>
      </c>
    </row>
    <row r="591" spans="1:5" hidden="1">
      <c r="A591" t="s">
        <v>1568</v>
      </c>
      <c r="B591" t="s">
        <v>321</v>
      </c>
      <c r="C591" t="s">
        <v>860</v>
      </c>
      <c r="D591" t="s">
        <v>791</v>
      </c>
      <c r="E591" s="170" cm="1">
        <f t="array" ref="E59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5893</v>
      </c>
    </row>
    <row r="592" spans="1:5" hidden="1">
      <c r="A592" t="s">
        <v>1569</v>
      </c>
      <c r="B592" t="s">
        <v>321</v>
      </c>
      <c r="C592" t="s">
        <v>860</v>
      </c>
      <c r="D592" t="s">
        <v>791</v>
      </c>
      <c r="E592" s="170" cm="1">
        <f t="array" ref="E59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17000</v>
      </c>
    </row>
    <row r="593" spans="1:5" hidden="1">
      <c r="A593" t="s">
        <v>1570</v>
      </c>
      <c r="B593" t="s">
        <v>321</v>
      </c>
      <c r="C593" t="s">
        <v>860</v>
      </c>
      <c r="D593" t="s">
        <v>791</v>
      </c>
      <c r="E593" s="170" cm="1">
        <f t="array" ref="E59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27200</v>
      </c>
    </row>
    <row r="594" spans="1:5" hidden="1">
      <c r="A594" t="s">
        <v>1571</v>
      </c>
      <c r="B594" t="s">
        <v>460</v>
      </c>
      <c r="C594" t="s">
        <v>860</v>
      </c>
      <c r="D594" t="s">
        <v>791</v>
      </c>
      <c r="E594" s="170" cm="1">
        <f t="array" ref="E59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2100</v>
      </c>
    </row>
    <row r="595" spans="1:5" hidden="1">
      <c r="A595" t="s">
        <v>1572</v>
      </c>
      <c r="B595" t="s">
        <v>460</v>
      </c>
      <c r="C595" t="s">
        <v>860</v>
      </c>
      <c r="D595" t="s">
        <v>791</v>
      </c>
      <c r="E595" s="170" cm="1">
        <f t="array" ref="E59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9880</v>
      </c>
    </row>
    <row r="596" spans="1:5" hidden="1">
      <c r="A596" t="s">
        <v>1573</v>
      </c>
      <c r="B596" t="s">
        <v>460</v>
      </c>
      <c r="C596" t="s">
        <v>860</v>
      </c>
      <c r="D596" t="s">
        <v>791</v>
      </c>
      <c r="E596" s="170" cm="1">
        <f t="array" ref="E59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16220</v>
      </c>
    </row>
    <row r="597" spans="1:5" hidden="1">
      <c r="A597" t="s">
        <v>1575</v>
      </c>
      <c r="B597" t="s">
        <v>32</v>
      </c>
      <c r="C597" t="s">
        <v>860</v>
      </c>
      <c r="D597" t="s">
        <v>791</v>
      </c>
      <c r="E597" s="170" cm="1">
        <f t="array" ref="E59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5647.2</v>
      </c>
    </row>
    <row r="598" spans="1:5" hidden="1">
      <c r="A598" t="s">
        <v>1576</v>
      </c>
      <c r="B598" t="s">
        <v>32</v>
      </c>
      <c r="C598" t="s">
        <v>887</v>
      </c>
      <c r="D598" t="s">
        <v>791</v>
      </c>
      <c r="E598" s="170" cm="1">
        <f t="array" ref="E59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42240</v>
      </c>
    </row>
    <row r="599" spans="1:5" hidden="1">
      <c r="A599" t="s">
        <v>1577</v>
      </c>
      <c r="B599" t="s">
        <v>32</v>
      </c>
      <c r="C599" t="s">
        <v>887</v>
      </c>
      <c r="D599" t="s">
        <v>791</v>
      </c>
      <c r="E599" s="170" cm="1">
        <f t="array" ref="E59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74176</v>
      </c>
    </row>
    <row r="600" spans="1:5" hidden="1">
      <c r="A600" t="s">
        <v>1578</v>
      </c>
      <c r="B600" t="s">
        <v>32</v>
      </c>
      <c r="C600" t="s">
        <v>860</v>
      </c>
      <c r="D600" t="s">
        <v>791</v>
      </c>
      <c r="E600" s="170" cm="1">
        <f t="array" ref="E60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21329.279999999999</v>
      </c>
    </row>
    <row r="601" spans="1:5" hidden="1">
      <c r="A601" t="s">
        <v>1579</v>
      </c>
      <c r="B601" t="s">
        <v>32</v>
      </c>
      <c r="C601" t="s">
        <v>860</v>
      </c>
      <c r="D601" t="s">
        <v>791</v>
      </c>
      <c r="E601" s="170" cm="1">
        <f t="array" ref="E60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33929.279999999999</v>
      </c>
    </row>
    <row r="602" spans="1:5" hidden="1">
      <c r="A602" t="s">
        <v>1580</v>
      </c>
      <c r="B602" t="s">
        <v>32</v>
      </c>
      <c r="C602" t="s">
        <v>860</v>
      </c>
      <c r="D602" t="s">
        <v>791</v>
      </c>
      <c r="E602" s="170" cm="1">
        <f t="array" ref="E60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74040.959999999992</v>
      </c>
    </row>
    <row r="603" spans="1:5" hidden="1">
      <c r="A603" t="s">
        <v>1581</v>
      </c>
      <c r="B603" t="s">
        <v>32</v>
      </c>
      <c r="C603" t="s">
        <v>860</v>
      </c>
      <c r="D603" t="s">
        <v>791</v>
      </c>
      <c r="E603" s="170" cm="1">
        <f t="array" ref="E60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97824</v>
      </c>
    </row>
    <row r="604" spans="1:5" hidden="1">
      <c r="A604" t="s">
        <v>2110</v>
      </c>
      <c r="B604" t="s">
        <v>13</v>
      </c>
      <c r="D604" t="s">
        <v>791</v>
      </c>
      <c r="E604" s="170">
        <v>0</v>
      </c>
    </row>
    <row r="605" spans="1:5" hidden="1">
      <c r="A605" t="s">
        <v>2111</v>
      </c>
      <c r="B605" t="s">
        <v>13</v>
      </c>
      <c r="D605" t="s">
        <v>791</v>
      </c>
      <c r="E605" s="170" cm="1">
        <f t="array" ref="E60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06" spans="1:5" hidden="1">
      <c r="A606" t="s">
        <v>2112</v>
      </c>
      <c r="B606" t="s">
        <v>13</v>
      </c>
      <c r="D606" t="s">
        <v>791</v>
      </c>
      <c r="E606" s="170" cm="1">
        <f t="array" ref="E60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07" spans="1:5" hidden="1">
      <c r="A607" t="s">
        <v>1704</v>
      </c>
      <c r="B607" t="s">
        <v>13</v>
      </c>
      <c r="D607" t="s">
        <v>791</v>
      </c>
      <c r="E607" s="170" cm="1">
        <f t="array" ref="E60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08" spans="1:5" hidden="1">
      <c r="A608" t="s">
        <v>2113</v>
      </c>
      <c r="B608" t="s">
        <v>13</v>
      </c>
      <c r="D608" t="s">
        <v>791</v>
      </c>
      <c r="E608" s="170" cm="1">
        <f t="array" ref="E60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09" spans="1:5" hidden="1">
      <c r="A609" t="s">
        <v>1703</v>
      </c>
      <c r="B609" t="s">
        <v>13</v>
      </c>
      <c r="D609" t="s">
        <v>791</v>
      </c>
      <c r="E609" s="170" cm="1">
        <f t="array" ref="E60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10" spans="1:5" hidden="1">
      <c r="A610" t="s">
        <v>1702</v>
      </c>
      <c r="B610" t="s">
        <v>13</v>
      </c>
      <c r="D610" t="s">
        <v>791</v>
      </c>
      <c r="E610" s="170" cm="1">
        <f t="array" ref="E61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11" spans="1:5" hidden="1">
      <c r="A611" t="s">
        <v>1695</v>
      </c>
      <c r="B611" t="s">
        <v>13</v>
      </c>
      <c r="D611" t="s">
        <v>791</v>
      </c>
      <c r="E611" s="170" cm="1">
        <f t="array" ref="E61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12" spans="1:5" hidden="1">
      <c r="A612" t="s">
        <v>1696</v>
      </c>
      <c r="B612" t="s">
        <v>13</v>
      </c>
      <c r="D612" t="s">
        <v>791</v>
      </c>
      <c r="E612" s="170" cm="1">
        <f t="array" ref="E61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13" spans="1:5" hidden="1">
      <c r="A613" t="s">
        <v>1701</v>
      </c>
      <c r="B613" t="s">
        <v>13</v>
      </c>
      <c r="D613" t="s">
        <v>791</v>
      </c>
      <c r="E613" s="170" cm="1">
        <f t="array" ref="E61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14" spans="1:5" hidden="1">
      <c r="A614" t="s">
        <v>1699</v>
      </c>
      <c r="B614" t="s">
        <v>13</v>
      </c>
      <c r="D614" t="s">
        <v>791</v>
      </c>
      <c r="E614" s="170" cm="1">
        <f t="array" ref="E61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237</v>
      </c>
    </row>
    <row r="615" spans="1:5" hidden="1">
      <c r="A615" t="s">
        <v>1697</v>
      </c>
      <c r="B615" t="s">
        <v>13</v>
      </c>
      <c r="D615" t="s">
        <v>791</v>
      </c>
      <c r="E615" s="170" cm="1">
        <f t="array" ref="E61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362</v>
      </c>
    </row>
    <row r="616" spans="1:5" hidden="1">
      <c r="A616" t="s">
        <v>1694</v>
      </c>
      <c r="B616" t="s">
        <v>13</v>
      </c>
      <c r="D616" t="s">
        <v>791</v>
      </c>
      <c r="E616" s="170" cm="1">
        <f t="array" ref="E61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17" spans="1:5" hidden="1">
      <c r="A617" t="s">
        <v>1693</v>
      </c>
      <c r="B617" t="s">
        <v>13</v>
      </c>
      <c r="D617" t="s">
        <v>791</v>
      </c>
      <c r="E617" s="170" cm="1">
        <f t="array" ref="E61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18" spans="1:5" hidden="1">
      <c r="A618" t="s">
        <v>1692</v>
      </c>
      <c r="B618" t="s">
        <v>13</v>
      </c>
      <c r="D618" t="s">
        <v>791</v>
      </c>
      <c r="E618" s="170" cm="1">
        <f t="array" ref="E61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19" spans="1:5" hidden="1">
      <c r="A619" t="s">
        <v>1700</v>
      </c>
      <c r="B619" t="s">
        <v>13</v>
      </c>
      <c r="D619" t="s">
        <v>791</v>
      </c>
      <c r="E619" s="170" cm="1">
        <f t="array" ref="E61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325</v>
      </c>
    </row>
    <row r="620" spans="1:5" hidden="1">
      <c r="A620" t="s">
        <v>1690</v>
      </c>
      <c r="B620" t="s">
        <v>13</v>
      </c>
      <c r="D620" t="s">
        <v>791</v>
      </c>
      <c r="E620" s="170" cm="1">
        <f t="array" ref="E62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21" spans="1:5" hidden="1">
      <c r="A621" t="s">
        <v>1675</v>
      </c>
      <c r="B621" t="s">
        <v>13</v>
      </c>
      <c r="D621" t="s">
        <v>791</v>
      </c>
      <c r="E621" s="170" cm="1">
        <f t="array" ref="E62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22" spans="1:5" hidden="1">
      <c r="A622" t="s">
        <v>1691</v>
      </c>
      <c r="B622" t="s">
        <v>13</v>
      </c>
      <c r="D622" t="s">
        <v>791</v>
      </c>
      <c r="E622" s="170" cm="1">
        <f t="array" ref="E62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23" spans="1:5" hidden="1">
      <c r="A623" t="s">
        <v>1689</v>
      </c>
      <c r="B623" t="s">
        <v>13</v>
      </c>
      <c r="D623" t="s">
        <v>791</v>
      </c>
      <c r="E623" s="170" cm="1">
        <f t="array" ref="E62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24" spans="1:5" hidden="1">
      <c r="A624" t="s">
        <v>1683</v>
      </c>
      <c r="B624" t="s">
        <v>915</v>
      </c>
      <c r="D624" t="s">
        <v>791</v>
      </c>
      <c r="E624" s="170" cm="1">
        <f t="array" ref="E62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25" spans="1:5" hidden="1">
      <c r="A625" t="s">
        <v>1679</v>
      </c>
      <c r="B625" t="s">
        <v>915</v>
      </c>
      <c r="D625" t="s">
        <v>791</v>
      </c>
      <c r="E625" s="170" cm="1">
        <f t="array" ref="E62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26" spans="1:5" hidden="1">
      <c r="A626" t="s">
        <v>1680</v>
      </c>
      <c r="B626" t="s">
        <v>915</v>
      </c>
      <c r="D626" t="s">
        <v>791</v>
      </c>
      <c r="E626" s="170" cm="1">
        <f t="array" ref="E62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233</v>
      </c>
    </row>
    <row r="627" spans="1:5" hidden="1">
      <c r="A627" t="s">
        <v>1681</v>
      </c>
      <c r="B627" t="s">
        <v>915</v>
      </c>
      <c r="D627" t="s">
        <v>791</v>
      </c>
      <c r="E627" s="170" cm="1">
        <f t="array" ref="E62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28" spans="1:5" hidden="1">
      <c r="A628" t="s">
        <v>1678</v>
      </c>
      <c r="B628" t="s">
        <v>915</v>
      </c>
      <c r="D628" t="s">
        <v>791</v>
      </c>
      <c r="E628" s="170" cm="1">
        <f t="array" ref="E62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29" spans="1:5" hidden="1">
      <c r="A629" t="s">
        <v>1676</v>
      </c>
      <c r="B629" t="s">
        <v>915</v>
      </c>
      <c r="D629" t="s">
        <v>791</v>
      </c>
      <c r="E629" s="170" cm="1">
        <f t="array" ref="E62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30" spans="1:5" hidden="1">
      <c r="A630" t="s">
        <v>1677</v>
      </c>
      <c r="B630" t="s">
        <v>915</v>
      </c>
      <c r="D630" t="s">
        <v>791</v>
      </c>
      <c r="E630" s="170" cm="1">
        <f t="array" ref="E63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31" spans="1:5" hidden="1">
      <c r="A631" t="s">
        <v>1688</v>
      </c>
      <c r="B631" t="s">
        <v>919</v>
      </c>
      <c r="D631" t="s">
        <v>791</v>
      </c>
      <c r="E631" s="170" cm="1">
        <f t="array" ref="E63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32" spans="1:5" hidden="1">
      <c r="A632" t="s">
        <v>1687</v>
      </c>
      <c r="B632" t="s">
        <v>919</v>
      </c>
      <c r="D632" t="s">
        <v>791</v>
      </c>
      <c r="E632" s="170" cm="1">
        <f t="array" ref="E63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33" spans="1:5" hidden="1">
      <c r="A633" t="s">
        <v>1685</v>
      </c>
      <c r="B633" t="s">
        <v>919</v>
      </c>
      <c r="D633" t="s">
        <v>791</v>
      </c>
      <c r="E633" s="170" cm="1">
        <f t="array" ref="E63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233.2</v>
      </c>
    </row>
    <row r="634" spans="1:5" hidden="1">
      <c r="A634" t="s">
        <v>1684</v>
      </c>
      <c r="B634" t="s">
        <v>919</v>
      </c>
      <c r="D634" t="s">
        <v>791</v>
      </c>
      <c r="E634" s="170" cm="1">
        <f t="array" ref="E63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35" spans="1:5" hidden="1">
      <c r="A635" t="s">
        <v>1663</v>
      </c>
      <c r="B635" t="s">
        <v>13</v>
      </c>
      <c r="D635" t="s">
        <v>791</v>
      </c>
      <c r="E635" s="170" cm="1">
        <f t="array" ref="E63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36" spans="1:5" hidden="1">
      <c r="A636" t="s">
        <v>1661</v>
      </c>
      <c r="B636" t="s">
        <v>13</v>
      </c>
      <c r="D636" t="s">
        <v>791</v>
      </c>
      <c r="E636" s="170" cm="1">
        <f t="array" ref="E63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37" spans="1:5" hidden="1">
      <c r="A637" t="s">
        <v>1667</v>
      </c>
      <c r="B637" t="s">
        <v>13</v>
      </c>
      <c r="D637" t="s">
        <v>791</v>
      </c>
      <c r="E637" s="170" cm="1">
        <f t="array" ref="E63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38" spans="1:5" hidden="1">
      <c r="A638" t="s">
        <v>1666</v>
      </c>
      <c r="B638" t="s">
        <v>13</v>
      </c>
      <c r="D638" t="s">
        <v>791</v>
      </c>
      <c r="E638" s="170" cm="1">
        <f t="array" ref="E63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237</v>
      </c>
    </row>
    <row r="639" spans="1:5" hidden="1">
      <c r="A639" t="s">
        <v>1668</v>
      </c>
      <c r="B639" t="s">
        <v>13</v>
      </c>
      <c r="D639" t="s">
        <v>791</v>
      </c>
      <c r="E639" s="170" cm="1">
        <f t="array" ref="E63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40" spans="1:5" hidden="1">
      <c r="A640" t="s">
        <v>1665</v>
      </c>
      <c r="B640" t="s">
        <v>13</v>
      </c>
      <c r="D640" t="s">
        <v>791</v>
      </c>
      <c r="E640" s="170" cm="1">
        <f t="array" ref="E64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41" spans="1:5" hidden="1">
      <c r="A641" t="s">
        <v>2114</v>
      </c>
      <c r="B641" t="s">
        <v>13</v>
      </c>
      <c r="D641" t="s">
        <v>791</v>
      </c>
      <c r="E641" s="170" cm="1">
        <f t="array" ref="E64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42" spans="1:5" hidden="1">
      <c r="A642" t="s">
        <v>1657</v>
      </c>
      <c r="B642" t="s">
        <v>13</v>
      </c>
      <c r="D642" t="s">
        <v>791</v>
      </c>
      <c r="E642" s="170" cm="1">
        <f t="array" ref="E64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5849.53</v>
      </c>
    </row>
    <row r="643" spans="1:5" hidden="1">
      <c r="A643" t="s">
        <v>1653</v>
      </c>
      <c r="B643" t="s">
        <v>13</v>
      </c>
      <c r="D643" t="s">
        <v>791</v>
      </c>
      <c r="E643" s="170" cm="1">
        <f t="array" ref="E64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44" spans="1:5" hidden="1">
      <c r="A644" t="s">
        <v>1652</v>
      </c>
      <c r="B644" t="s">
        <v>13</v>
      </c>
      <c r="D644" t="s">
        <v>791</v>
      </c>
      <c r="E644" s="170" cm="1">
        <f t="array" ref="E64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45" spans="1:5" hidden="1">
      <c r="A645" t="s">
        <v>1654</v>
      </c>
      <c r="B645" t="s">
        <v>13</v>
      </c>
      <c r="D645" t="s">
        <v>791</v>
      </c>
      <c r="E645" s="170" cm="1">
        <f t="array" ref="E64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46" spans="1:5" hidden="1">
      <c r="A646" t="s">
        <v>1650</v>
      </c>
      <c r="B646" t="s">
        <v>13</v>
      </c>
      <c r="D646" t="s">
        <v>791</v>
      </c>
      <c r="E646" s="170" cm="1">
        <f t="array" ref="E64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47" spans="1:5" hidden="1">
      <c r="A647" t="s">
        <v>1639</v>
      </c>
      <c r="B647" t="s">
        <v>13</v>
      </c>
      <c r="D647" t="s">
        <v>791</v>
      </c>
      <c r="E647" s="170" cm="1">
        <f t="array" ref="E64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48" spans="1:5" hidden="1">
      <c r="A648" t="s">
        <v>1642</v>
      </c>
      <c r="B648" t="s">
        <v>13</v>
      </c>
      <c r="D648" t="s">
        <v>791</v>
      </c>
      <c r="E648" s="170" cm="1">
        <f t="array" ref="E64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49" spans="1:5" hidden="1">
      <c r="A649" t="s">
        <v>1638</v>
      </c>
      <c r="B649" t="s">
        <v>13</v>
      </c>
      <c r="D649" t="s">
        <v>791</v>
      </c>
      <c r="E649" s="170" cm="1">
        <f t="array" ref="E64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50" spans="1:5" hidden="1">
      <c r="A650" t="s">
        <v>1637</v>
      </c>
      <c r="B650" t="s">
        <v>13</v>
      </c>
      <c r="D650" t="s">
        <v>791</v>
      </c>
      <c r="E650" s="170" cm="1">
        <f t="array" ref="E65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51" spans="1:5" hidden="1">
      <c r="A651" t="s">
        <v>1624</v>
      </c>
      <c r="B651" t="s">
        <v>919</v>
      </c>
      <c r="D651" t="s">
        <v>791</v>
      </c>
      <c r="E651" s="170" cm="1">
        <f t="array" ref="E65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1988</v>
      </c>
    </row>
    <row r="652" spans="1:5" hidden="1">
      <c r="A652" t="s">
        <v>1623</v>
      </c>
      <c r="B652" t="s">
        <v>919</v>
      </c>
      <c r="D652" t="s">
        <v>791</v>
      </c>
      <c r="E652" s="170" cm="1">
        <f t="array" ref="E65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53" spans="1:5" hidden="1">
      <c r="A653" t="s">
        <v>1622</v>
      </c>
      <c r="B653" t="s">
        <v>919</v>
      </c>
      <c r="D653" t="s">
        <v>791</v>
      </c>
      <c r="E653" s="170" cm="1">
        <f t="array" ref="E65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1800</v>
      </c>
    </row>
    <row r="654" spans="1:5" hidden="1">
      <c r="A654" t="s">
        <v>1621</v>
      </c>
      <c r="B654" t="s">
        <v>919</v>
      </c>
      <c r="D654" t="s">
        <v>791</v>
      </c>
      <c r="E654" s="170" cm="1">
        <f t="array" ref="E65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809</v>
      </c>
    </row>
    <row r="655" spans="1:5" hidden="1">
      <c r="A655" t="s">
        <v>1620</v>
      </c>
      <c r="B655" t="s">
        <v>919</v>
      </c>
      <c r="D655" t="s">
        <v>791</v>
      </c>
      <c r="E655" s="170" cm="1">
        <f t="array" ref="E65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56" spans="1:5" hidden="1">
      <c r="A656" t="s">
        <v>1619</v>
      </c>
      <c r="B656" t="s">
        <v>919</v>
      </c>
      <c r="D656" t="s">
        <v>791</v>
      </c>
      <c r="E656" s="170" cm="1">
        <f t="array" ref="E65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57" spans="1:5" hidden="1">
      <c r="A657" t="s">
        <v>1618</v>
      </c>
      <c r="B657" t="s">
        <v>919</v>
      </c>
      <c r="D657" t="s">
        <v>791</v>
      </c>
      <c r="E657" s="170" cm="1">
        <f t="array" ref="E65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58" spans="1:5" hidden="1">
      <c r="A658" t="s">
        <v>1664</v>
      </c>
      <c r="B658" t="s">
        <v>13</v>
      </c>
      <c r="D658" t="s">
        <v>791</v>
      </c>
    </row>
    <row r="659" spans="1:5" hidden="1">
      <c r="A659" t="s">
        <v>1617</v>
      </c>
      <c r="B659" t="s">
        <v>919</v>
      </c>
      <c r="D659" t="s">
        <v>791</v>
      </c>
      <c r="E659" s="170" cm="1">
        <f t="array" ref="E65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60" spans="1:5" hidden="1">
      <c r="A660" t="s">
        <v>1616</v>
      </c>
      <c r="B660" t="s">
        <v>919</v>
      </c>
      <c r="D660" t="s">
        <v>791</v>
      </c>
      <c r="E660" s="170" cm="1">
        <f t="array" ref="E66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61" spans="1:5" hidden="1">
      <c r="A661" t="s">
        <v>1615</v>
      </c>
      <c r="B661" t="s">
        <v>919</v>
      </c>
      <c r="D661" t="s">
        <v>791</v>
      </c>
      <c r="E661" s="170" cm="1">
        <f t="array" ref="E66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62" spans="1:5" hidden="1">
      <c r="A662" t="s">
        <v>1614</v>
      </c>
      <c r="B662" t="s">
        <v>919</v>
      </c>
      <c r="D662" t="s">
        <v>791</v>
      </c>
      <c r="E662" s="170" cm="1">
        <f t="array" ref="E66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63" spans="1:5" hidden="1">
      <c r="A663" t="s">
        <v>1682</v>
      </c>
      <c r="B663" t="s">
        <v>915</v>
      </c>
      <c r="D663" t="s">
        <v>791</v>
      </c>
      <c r="E663" s="170" cm="1">
        <f t="array" ref="E66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64" spans="1:5" hidden="1">
      <c r="A664" t="s">
        <v>1613</v>
      </c>
      <c r="B664" t="s">
        <v>919</v>
      </c>
      <c r="D664" t="s">
        <v>791</v>
      </c>
      <c r="E664" s="170" cm="1">
        <f t="array" ref="E66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65" spans="1:5" hidden="1">
      <c r="A665" t="s">
        <v>1612</v>
      </c>
      <c r="B665" t="s">
        <v>919</v>
      </c>
      <c r="D665" t="s">
        <v>791</v>
      </c>
      <c r="E665" s="170" cm="1">
        <f t="array" ref="E66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66" spans="1:5" hidden="1">
      <c r="A666" t="s">
        <v>1611</v>
      </c>
      <c r="B666" t="s">
        <v>919</v>
      </c>
      <c r="D666" t="s">
        <v>791</v>
      </c>
      <c r="E666" s="170" cm="1">
        <f t="array" ref="E66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2099.8000000000002</v>
      </c>
    </row>
    <row r="667" spans="1:5" hidden="1">
      <c r="A667" t="s">
        <v>1610</v>
      </c>
      <c r="B667" t="s">
        <v>919</v>
      </c>
      <c r="D667" t="s">
        <v>791</v>
      </c>
      <c r="E667" s="170" cm="1">
        <f t="array" ref="E66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2782.64</v>
      </c>
    </row>
    <row r="668" spans="1:5" hidden="1">
      <c r="A668" t="s">
        <v>1686</v>
      </c>
      <c r="B668" t="s">
        <v>2115</v>
      </c>
      <c r="D668" t="s">
        <v>791</v>
      </c>
      <c r="E668" s="170" cm="1">
        <f t="array" ref="E66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2703</v>
      </c>
    </row>
    <row r="669" spans="1:5" hidden="1">
      <c r="A669" t="s">
        <v>1582</v>
      </c>
      <c r="B669" t="s">
        <v>915</v>
      </c>
      <c r="D669" t="s">
        <v>791</v>
      </c>
      <c r="E669" s="170" cm="1">
        <f t="array" ref="E66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70" spans="1:5" hidden="1">
      <c r="A670" t="s">
        <v>1609</v>
      </c>
      <c r="B670" t="s">
        <v>919</v>
      </c>
      <c r="D670" t="s">
        <v>791</v>
      </c>
      <c r="E670" s="170" cm="1">
        <f t="array" ref="E67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71" spans="1:5" hidden="1">
      <c r="A671" t="s">
        <v>1608</v>
      </c>
      <c r="B671" t="s">
        <v>919</v>
      </c>
      <c r="D671" t="s">
        <v>791</v>
      </c>
      <c r="E671" s="170" cm="1">
        <f t="array" ref="E67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5573</v>
      </c>
    </row>
    <row r="672" spans="1:5" hidden="1">
      <c r="A672" t="s">
        <v>1606</v>
      </c>
      <c r="B672" t="s">
        <v>919</v>
      </c>
      <c r="D672" t="s">
        <v>791</v>
      </c>
      <c r="E672" s="170" cm="1">
        <f t="array" ref="E67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3738.4</v>
      </c>
    </row>
    <row r="673" spans="1:5" hidden="1">
      <c r="A673" t="s">
        <v>1605</v>
      </c>
      <c r="B673" t="s">
        <v>919</v>
      </c>
      <c r="D673" t="s">
        <v>791</v>
      </c>
      <c r="E673" s="170" cm="1">
        <f t="array" ref="E67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4003</v>
      </c>
    </row>
    <row r="674" spans="1:5" hidden="1">
      <c r="A674" t="s">
        <v>1604</v>
      </c>
      <c r="B674" t="s">
        <v>919</v>
      </c>
      <c r="D674" t="s">
        <v>791</v>
      </c>
      <c r="E674" s="170" cm="1">
        <f t="array" ref="E67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4905</v>
      </c>
    </row>
    <row r="675" spans="1:5" hidden="1">
      <c r="A675" t="s">
        <v>1603</v>
      </c>
      <c r="B675" t="s">
        <v>919</v>
      </c>
      <c r="D675" t="s">
        <v>791</v>
      </c>
      <c r="E675" s="170" cm="1">
        <f t="array" ref="E67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76" spans="1:5" hidden="1">
      <c r="A676" t="s">
        <v>1602</v>
      </c>
      <c r="B676" t="s">
        <v>919</v>
      </c>
      <c r="D676" t="s">
        <v>791</v>
      </c>
      <c r="E676" s="170" cm="1">
        <f t="array" ref="E67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77" spans="1:5" hidden="1">
      <c r="A677" t="s">
        <v>1600</v>
      </c>
      <c r="B677" t="s">
        <v>919</v>
      </c>
      <c r="D677" t="s">
        <v>791</v>
      </c>
      <c r="E677" s="170" cm="1">
        <f t="array" ref="E67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1187</v>
      </c>
    </row>
    <row r="678" spans="1:5" hidden="1">
      <c r="A678" t="s">
        <v>1599</v>
      </c>
      <c r="B678" t="s">
        <v>919</v>
      </c>
      <c r="D678" t="s">
        <v>791</v>
      </c>
      <c r="E678" s="170" cm="1">
        <f t="array" ref="E67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1784.83</v>
      </c>
    </row>
    <row r="679" spans="1:5" hidden="1">
      <c r="A679" t="s">
        <v>1586</v>
      </c>
      <c r="B679" t="s">
        <v>915</v>
      </c>
      <c r="D679" t="s">
        <v>791</v>
      </c>
      <c r="E679" s="170" cm="1">
        <f t="array" ref="E67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2310</v>
      </c>
    </row>
    <row r="680" spans="1:5" hidden="1">
      <c r="A680" t="s">
        <v>1598</v>
      </c>
      <c r="B680" t="s">
        <v>919</v>
      </c>
      <c r="D680" t="s">
        <v>791</v>
      </c>
      <c r="E680" s="170" cm="1">
        <f t="array" ref="E68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2310</v>
      </c>
    </row>
    <row r="681" spans="1:5" hidden="1">
      <c r="A681" t="s">
        <v>1597</v>
      </c>
      <c r="B681" t="s">
        <v>919</v>
      </c>
      <c r="D681" t="s">
        <v>791</v>
      </c>
      <c r="E681" s="170" cm="1">
        <f t="array" ref="E68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2207</v>
      </c>
    </row>
    <row r="682" spans="1:5" hidden="1">
      <c r="A682" t="s">
        <v>1596</v>
      </c>
      <c r="B682" t="s">
        <v>919</v>
      </c>
      <c r="D682" t="s">
        <v>791</v>
      </c>
      <c r="E682" s="170" cm="1">
        <f t="array" ref="E68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2825</v>
      </c>
    </row>
    <row r="683" spans="1:5" hidden="1">
      <c r="A683" t="s">
        <v>1595</v>
      </c>
      <c r="B683" t="s">
        <v>919</v>
      </c>
      <c r="D683" t="s">
        <v>791</v>
      </c>
      <c r="E683" s="170" cm="1">
        <f t="array" ref="E68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3260.5</v>
      </c>
    </row>
    <row r="684" spans="1:5" hidden="1">
      <c r="A684" t="s">
        <v>1593</v>
      </c>
      <c r="B684" t="s">
        <v>919</v>
      </c>
      <c r="D684" t="s">
        <v>791</v>
      </c>
      <c r="E684" s="170" cm="1">
        <f t="array" ref="E68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2855.07</v>
      </c>
    </row>
    <row r="685" spans="1:5" hidden="1">
      <c r="A685" t="s">
        <v>1584</v>
      </c>
      <c r="B685" t="s">
        <v>915</v>
      </c>
      <c r="D685" t="s">
        <v>791</v>
      </c>
      <c r="E685" s="170" cm="1">
        <f t="array" ref="E68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3333</v>
      </c>
    </row>
    <row r="686" spans="1:5" hidden="1">
      <c r="A686" t="s">
        <v>1592</v>
      </c>
      <c r="B686" t="s">
        <v>919</v>
      </c>
      <c r="D686" t="s">
        <v>791</v>
      </c>
      <c r="E686" s="170" cm="1">
        <f t="array" ref="E68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3333</v>
      </c>
    </row>
    <row r="687" spans="1:5" hidden="1">
      <c r="A687" t="s">
        <v>1591</v>
      </c>
      <c r="B687" t="s">
        <v>919</v>
      </c>
      <c r="D687" t="s">
        <v>791</v>
      </c>
      <c r="E687" s="170" cm="1">
        <f t="array" ref="E68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88" spans="1:5" hidden="1">
      <c r="A688" t="s">
        <v>1590</v>
      </c>
      <c r="B688" t="s">
        <v>919</v>
      </c>
      <c r="D688" t="s">
        <v>791</v>
      </c>
      <c r="E688" s="170" cm="1">
        <f t="array" ref="E68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89" spans="1:5" hidden="1">
      <c r="A689" t="s">
        <v>1589</v>
      </c>
      <c r="B689" t="s">
        <v>919</v>
      </c>
      <c r="D689" t="s">
        <v>791</v>
      </c>
      <c r="E689" s="170" cm="1">
        <f t="array" ref="E68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90" spans="1:5" hidden="1">
      <c r="A690" t="s">
        <v>1588</v>
      </c>
      <c r="B690" t="s">
        <v>919</v>
      </c>
      <c r="D690" t="s">
        <v>791</v>
      </c>
      <c r="E690" s="170" cm="1">
        <f t="array" ref="E69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91" spans="1:5" hidden="1">
      <c r="A691" t="s">
        <v>1674</v>
      </c>
      <c r="B691" t="s">
        <v>13</v>
      </c>
      <c r="D691" t="s">
        <v>791</v>
      </c>
      <c r="E691" s="170" cm="1">
        <f t="array" ref="E69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92" spans="1:5" hidden="1">
      <c r="A692" t="s">
        <v>1673</v>
      </c>
      <c r="B692" t="s">
        <v>13</v>
      </c>
      <c r="D692" t="s">
        <v>791</v>
      </c>
      <c r="E692" s="170" cm="1">
        <f t="array" ref="E69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93" spans="1:5" hidden="1">
      <c r="A693" t="s">
        <v>1671</v>
      </c>
      <c r="B693" t="s">
        <v>13</v>
      </c>
      <c r="D693" t="s">
        <v>791</v>
      </c>
      <c r="E693" s="170" cm="1">
        <f t="array" ref="E69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94" spans="1:5" hidden="1">
      <c r="A694" t="s">
        <v>1672</v>
      </c>
      <c r="B694" t="s">
        <v>13</v>
      </c>
      <c r="D694" t="s">
        <v>791</v>
      </c>
      <c r="E694" s="170" cm="1">
        <f t="array" ref="E69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95" spans="1:5" hidden="1">
      <c r="A695" t="s">
        <v>1669</v>
      </c>
      <c r="B695" t="s">
        <v>13</v>
      </c>
      <c r="D695" t="s">
        <v>791</v>
      </c>
      <c r="E695" s="170" cm="1">
        <f t="array" ref="E69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96" spans="1:5" hidden="1">
      <c r="A696" t="s">
        <v>1670</v>
      </c>
      <c r="B696" t="s">
        <v>13</v>
      </c>
      <c r="D696" t="s">
        <v>791</v>
      </c>
      <c r="E696" s="170" cm="1">
        <f t="array" ref="E69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97" spans="1:5" hidden="1">
      <c r="A697" t="s">
        <v>1662</v>
      </c>
      <c r="B697" t="s">
        <v>13</v>
      </c>
      <c r="D697" t="s">
        <v>791</v>
      </c>
      <c r="E697" s="170" cm="1">
        <f t="array" ref="E69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98" spans="1:5" hidden="1">
      <c r="A698" t="s">
        <v>1660</v>
      </c>
      <c r="B698" t="s">
        <v>13</v>
      </c>
      <c r="D698" t="s">
        <v>791</v>
      </c>
      <c r="E698" s="170" cm="1">
        <f t="array" ref="E69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699" spans="1:5" hidden="1">
      <c r="A699" t="s">
        <v>1659</v>
      </c>
      <c r="B699" t="s">
        <v>13</v>
      </c>
      <c r="D699" t="s">
        <v>791</v>
      </c>
      <c r="E699" s="170" cm="1">
        <f t="array" ref="E69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00" spans="1:5" hidden="1">
      <c r="A700" t="s">
        <v>1658</v>
      </c>
      <c r="B700" t="s">
        <v>13</v>
      </c>
      <c r="D700" t="s">
        <v>791</v>
      </c>
      <c r="E700" s="170" cm="1">
        <f t="array" ref="E70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01" spans="1:5" hidden="1">
      <c r="A701" t="s">
        <v>1656</v>
      </c>
      <c r="B701" t="s">
        <v>13</v>
      </c>
      <c r="D701" t="s">
        <v>791</v>
      </c>
      <c r="E701" s="170" cm="1">
        <f t="array" ref="E70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02" spans="1:5" hidden="1">
      <c r="A702" t="s">
        <v>1655</v>
      </c>
      <c r="B702" t="s">
        <v>13</v>
      </c>
      <c r="D702" t="s">
        <v>791</v>
      </c>
      <c r="E702" s="170" cm="1">
        <f t="array" ref="E70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03" spans="1:5" hidden="1">
      <c r="A703" t="s">
        <v>1651</v>
      </c>
      <c r="B703" t="s">
        <v>13</v>
      </c>
      <c r="D703" t="s">
        <v>791</v>
      </c>
      <c r="E703" s="170" cm="1">
        <f t="array" ref="E70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04" spans="1:5" hidden="1">
      <c r="A704" t="s">
        <v>1649</v>
      </c>
      <c r="B704" t="s">
        <v>13</v>
      </c>
      <c r="D704" t="s">
        <v>791</v>
      </c>
      <c r="E704" s="170" cm="1">
        <f t="array" ref="E70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05" spans="1:5" hidden="1">
      <c r="A705" t="s">
        <v>1648</v>
      </c>
      <c r="B705" t="s">
        <v>13</v>
      </c>
      <c r="D705" t="s">
        <v>791</v>
      </c>
      <c r="E705" s="170" cm="1">
        <f t="array" ref="E70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06" spans="1:5" hidden="1">
      <c r="A706" t="s">
        <v>1647</v>
      </c>
      <c r="B706" t="s">
        <v>13</v>
      </c>
      <c r="D706" t="s">
        <v>791</v>
      </c>
      <c r="E706" s="170" cm="1">
        <f t="array" ref="E70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07" spans="1:5" hidden="1">
      <c r="A707" t="s">
        <v>1646</v>
      </c>
      <c r="B707" t="s">
        <v>13</v>
      </c>
      <c r="D707" t="s">
        <v>791</v>
      </c>
      <c r="E707" s="170" cm="1">
        <f t="array" ref="E70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08" spans="1:5" hidden="1">
      <c r="A708" t="s">
        <v>1644</v>
      </c>
      <c r="B708" t="s">
        <v>13</v>
      </c>
      <c r="D708" t="s">
        <v>791</v>
      </c>
      <c r="E708" s="170" cm="1">
        <f t="array" ref="E70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09" spans="1:5" hidden="1">
      <c r="A709" t="s">
        <v>1645</v>
      </c>
      <c r="B709" t="s">
        <v>13</v>
      </c>
      <c r="D709" t="s">
        <v>791</v>
      </c>
      <c r="E709" s="170" cm="1">
        <f t="array" ref="E70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10" spans="1:5" hidden="1">
      <c r="A710" t="s">
        <v>1634</v>
      </c>
      <c r="B710" t="s">
        <v>13</v>
      </c>
      <c r="D710" t="s">
        <v>791</v>
      </c>
      <c r="E710" s="170" cm="1">
        <f t="array" ref="E71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6744.4900000000007</v>
      </c>
    </row>
    <row r="711" spans="1:5" hidden="1">
      <c r="A711" t="s">
        <v>1643</v>
      </c>
      <c r="B711" t="s">
        <v>13</v>
      </c>
      <c r="D711" t="s">
        <v>791</v>
      </c>
      <c r="E711" s="170" cm="1">
        <f t="array" ref="E71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12" spans="1:5" hidden="1">
      <c r="A712" t="s">
        <v>1641</v>
      </c>
      <c r="B712" t="s">
        <v>13</v>
      </c>
      <c r="D712" t="s">
        <v>791</v>
      </c>
      <c r="E712" s="170" cm="1">
        <f t="array" ref="E71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13" spans="1:5" hidden="1">
      <c r="A713" t="s">
        <v>1640</v>
      </c>
      <c r="B713" t="s">
        <v>13</v>
      </c>
      <c r="D713" t="s">
        <v>791</v>
      </c>
      <c r="E713" s="170" cm="1">
        <f t="array" ref="E71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14" spans="1:5" hidden="1">
      <c r="A714" t="s">
        <v>1636</v>
      </c>
      <c r="B714" t="s">
        <v>13</v>
      </c>
      <c r="D714" t="s">
        <v>791</v>
      </c>
      <c r="E714" s="170" cm="1">
        <f t="array" ref="E71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15" spans="1:5" hidden="1">
      <c r="A715" t="s">
        <v>1635</v>
      </c>
      <c r="B715" t="s">
        <v>13</v>
      </c>
      <c r="D715" t="s">
        <v>791</v>
      </c>
      <c r="E715" s="170" cm="1">
        <f t="array" ref="E71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16" spans="1:5" hidden="1">
      <c r="A716" t="s">
        <v>1633</v>
      </c>
      <c r="B716" t="s">
        <v>13</v>
      </c>
      <c r="D716" t="s">
        <v>791</v>
      </c>
      <c r="E716" s="170" cm="1">
        <f t="array" ref="E71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17" spans="1:5" hidden="1">
      <c r="A717" t="s">
        <v>1632</v>
      </c>
      <c r="B717" t="s">
        <v>13</v>
      </c>
      <c r="D717" t="s">
        <v>791</v>
      </c>
      <c r="E717" s="170" cm="1">
        <f t="array" ref="E71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18" spans="1:5" hidden="1">
      <c r="A718" t="s">
        <v>1631</v>
      </c>
      <c r="B718" t="s">
        <v>13</v>
      </c>
      <c r="D718" t="s">
        <v>791</v>
      </c>
      <c r="E718" s="170" cm="1">
        <f t="array" ref="E71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19" spans="1:5" s="153" customFormat="1" hidden="1">
      <c r="A719" t="s">
        <v>1630</v>
      </c>
      <c r="B719" t="s">
        <v>13</v>
      </c>
      <c r="C719"/>
      <c r="D719" t="s">
        <v>791</v>
      </c>
      <c r="E719" s="170" cm="1">
        <f t="array" ref="E71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20" spans="1:5" hidden="1">
      <c r="A720" t="s">
        <v>1629</v>
      </c>
      <c r="B720" t="s">
        <v>13</v>
      </c>
      <c r="D720" t="s">
        <v>791</v>
      </c>
      <c r="E720" s="170" cm="1">
        <f t="array" ref="E72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21" spans="1:5" hidden="1">
      <c r="A721" t="s">
        <v>1628</v>
      </c>
      <c r="B721" t="s">
        <v>13</v>
      </c>
      <c r="D721" t="s">
        <v>791</v>
      </c>
      <c r="E721" s="170" cm="1">
        <f t="array" ref="E72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22" spans="1:5" hidden="1">
      <c r="A722" t="s">
        <v>1627</v>
      </c>
      <c r="B722" t="s">
        <v>13</v>
      </c>
      <c r="D722" t="s">
        <v>791</v>
      </c>
      <c r="E722" s="170" cm="1">
        <f t="array" ref="E72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23" spans="1:5" hidden="1">
      <c r="A723" t="s">
        <v>1626</v>
      </c>
      <c r="B723" t="s">
        <v>13</v>
      </c>
      <c r="D723" t="s">
        <v>791</v>
      </c>
      <c r="E723" s="170" cm="1">
        <f t="array" ref="E72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24" spans="1:5" hidden="1">
      <c r="A724" s="153" t="s">
        <v>1625</v>
      </c>
      <c r="B724" s="153" t="s">
        <v>13</v>
      </c>
      <c r="C724" s="153"/>
      <c r="D724" s="153" t="s">
        <v>791</v>
      </c>
      <c r="E724" s="230" cm="1">
        <f t="array" ref="E72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25" spans="1:5" hidden="1">
      <c r="A725" t="s">
        <v>1706</v>
      </c>
      <c r="B725" t="s">
        <v>460</v>
      </c>
      <c r="C725" t="s">
        <v>860</v>
      </c>
      <c r="D725" t="s">
        <v>791</v>
      </c>
      <c r="E725" s="170" cm="1">
        <f t="array" ref="E72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26" spans="1:5" hidden="1">
      <c r="A726" t="s">
        <v>2116</v>
      </c>
      <c r="B726" t="s">
        <v>172</v>
      </c>
      <c r="C726" t="s">
        <v>1709</v>
      </c>
      <c r="D726" t="s">
        <v>1956</v>
      </c>
      <c r="E726" s="170" cm="1">
        <f t="array" ref="E72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27" spans="1:5" hidden="1">
      <c r="A727" t="s">
        <v>1708</v>
      </c>
      <c r="B727" t="s">
        <v>172</v>
      </c>
      <c r="C727" t="s">
        <v>1709</v>
      </c>
      <c r="D727" t="s">
        <v>791</v>
      </c>
      <c r="E727" s="170" cm="1">
        <f t="array" ref="E72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231221</v>
      </c>
    </row>
    <row r="728" spans="1:5" hidden="1">
      <c r="A728" t="s">
        <v>2117</v>
      </c>
      <c r="B728" t="s">
        <v>172</v>
      </c>
      <c r="C728" t="s">
        <v>1709</v>
      </c>
      <c r="D728" t="s">
        <v>1956</v>
      </c>
      <c r="E728" s="170" cm="1">
        <f t="array" ref="E72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29" spans="1:5" hidden="1">
      <c r="A729" t="s">
        <v>2118</v>
      </c>
      <c r="B729" t="s">
        <v>172</v>
      </c>
      <c r="C729" t="s">
        <v>1709</v>
      </c>
      <c r="D729" t="s">
        <v>1956</v>
      </c>
      <c r="E729" s="170" cm="1">
        <f t="array" ref="E72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30" spans="1:5" hidden="1">
      <c r="A730" t="s">
        <v>1710</v>
      </c>
      <c r="B730" t="s">
        <v>13</v>
      </c>
      <c r="C730" t="s">
        <v>1131</v>
      </c>
      <c r="D730" t="s">
        <v>791</v>
      </c>
      <c r="E730" s="170" cm="1">
        <f t="array" ref="E73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31" spans="1:5" hidden="1">
      <c r="A731" t="s">
        <v>2119</v>
      </c>
      <c r="B731" t="s">
        <v>13</v>
      </c>
      <c r="C731" t="s">
        <v>1131</v>
      </c>
      <c r="D731" t="s">
        <v>1956</v>
      </c>
      <c r="E731" s="170" cm="1">
        <f t="array" ref="E73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32" spans="1:5" hidden="1">
      <c r="A732" t="s">
        <v>1711</v>
      </c>
      <c r="B732" t="s">
        <v>333</v>
      </c>
      <c r="C732" t="s">
        <v>860</v>
      </c>
      <c r="D732" t="s">
        <v>791</v>
      </c>
      <c r="E732" s="170" cm="1">
        <f t="array" ref="E73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4286</v>
      </c>
    </row>
    <row r="733" spans="1:5" hidden="1">
      <c r="A733" t="s">
        <v>1713</v>
      </c>
      <c r="B733" t="s">
        <v>333</v>
      </c>
      <c r="C733" t="s">
        <v>860</v>
      </c>
      <c r="D733" t="s">
        <v>791</v>
      </c>
      <c r="E733" s="170" cm="1">
        <f t="array" ref="E73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5588</v>
      </c>
    </row>
    <row r="734" spans="1:5" hidden="1">
      <c r="A734" t="s">
        <v>1714</v>
      </c>
      <c r="B734" t="s">
        <v>333</v>
      </c>
      <c r="C734" t="s">
        <v>860</v>
      </c>
      <c r="D734" t="s">
        <v>791</v>
      </c>
      <c r="E734" s="170" cm="1">
        <f t="array" ref="E73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5630</v>
      </c>
    </row>
    <row r="735" spans="1:5" hidden="1">
      <c r="A735" t="s">
        <v>1715</v>
      </c>
      <c r="B735" t="s">
        <v>333</v>
      </c>
      <c r="C735" t="s">
        <v>860</v>
      </c>
      <c r="D735" t="s">
        <v>791</v>
      </c>
      <c r="E735" s="170" cm="1">
        <f t="array" ref="E73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7563</v>
      </c>
    </row>
    <row r="736" spans="1:5" hidden="1">
      <c r="A736" t="s">
        <v>2120</v>
      </c>
      <c r="B736" t="s">
        <v>32</v>
      </c>
      <c r="C736" t="s">
        <v>1709</v>
      </c>
      <c r="D736" t="s">
        <v>1956</v>
      </c>
      <c r="E736" s="170" cm="1">
        <f t="array" ref="E73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37" spans="1:5" hidden="1">
      <c r="A737" t="s">
        <v>2121</v>
      </c>
      <c r="B737" t="s">
        <v>32</v>
      </c>
      <c r="C737" t="s">
        <v>1718</v>
      </c>
      <c r="D737" t="s">
        <v>1956</v>
      </c>
      <c r="E737" s="170" cm="1">
        <f t="array" ref="E73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38" spans="1:5" hidden="1">
      <c r="A738" t="s">
        <v>1717</v>
      </c>
      <c r="B738" t="s">
        <v>32</v>
      </c>
      <c r="C738" t="s">
        <v>1718</v>
      </c>
      <c r="D738" t="s">
        <v>791</v>
      </c>
      <c r="E738" s="170" cm="1">
        <f t="array" ref="E73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9887.0399999999991</v>
      </c>
    </row>
    <row r="739" spans="1:5" hidden="1">
      <c r="A739" t="s">
        <v>2122</v>
      </c>
      <c r="B739" t="s">
        <v>360</v>
      </c>
      <c r="C739" t="s">
        <v>1720</v>
      </c>
      <c r="D739" t="s">
        <v>1956</v>
      </c>
      <c r="E739" s="170" cm="1">
        <f t="array" ref="E73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40" spans="1:5" hidden="1">
      <c r="A740" t="s">
        <v>1719</v>
      </c>
      <c r="B740" t="s">
        <v>32</v>
      </c>
      <c r="C740" t="s">
        <v>1720</v>
      </c>
      <c r="D740" t="s">
        <v>791</v>
      </c>
      <c r="E740" s="170" cm="1">
        <f t="array" ref="E74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118754.87999999999</v>
      </c>
    </row>
    <row r="741" spans="1:5" hidden="1">
      <c r="A741" t="s">
        <v>1721</v>
      </c>
      <c r="B741" t="s">
        <v>32</v>
      </c>
      <c r="C741" t="s">
        <v>1720</v>
      </c>
      <c r="D741" t="s">
        <v>791</v>
      </c>
      <c r="E741" s="170" cm="1">
        <f t="array" ref="E74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62001.599999999999</v>
      </c>
    </row>
    <row r="742" spans="1:5" hidden="1">
      <c r="A742" t="s">
        <v>2123</v>
      </c>
      <c r="B742" t="s">
        <v>32</v>
      </c>
      <c r="C742" t="s">
        <v>1720</v>
      </c>
      <c r="D742" t="s">
        <v>1956</v>
      </c>
      <c r="E742" s="170" cm="1">
        <f t="array" ref="E74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43" spans="1:5" hidden="1">
      <c r="A743" t="s">
        <v>1722</v>
      </c>
      <c r="B743" t="s">
        <v>360</v>
      </c>
      <c r="C743" t="s">
        <v>1720</v>
      </c>
      <c r="D743" t="s">
        <v>791</v>
      </c>
      <c r="E743" s="170" cm="1">
        <f t="array" ref="E74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40432.799999999996</v>
      </c>
    </row>
    <row r="744" spans="1:5" hidden="1">
      <c r="A744" t="s">
        <v>1723</v>
      </c>
      <c r="B744" t="s">
        <v>32</v>
      </c>
      <c r="C744" t="s">
        <v>1720</v>
      </c>
      <c r="D744" t="s">
        <v>791</v>
      </c>
      <c r="E744" s="170" cm="1">
        <f t="array" ref="E74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30965.759999999998</v>
      </c>
    </row>
    <row r="745" spans="1:5" hidden="1">
      <c r="A745" t="s">
        <v>1724</v>
      </c>
      <c r="B745" t="s">
        <v>360</v>
      </c>
      <c r="C745" t="s">
        <v>1720</v>
      </c>
      <c r="D745" t="s">
        <v>791</v>
      </c>
      <c r="E745" s="170" cm="1">
        <f t="array" ref="E74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139485.12</v>
      </c>
    </row>
    <row r="746" spans="1:5" hidden="1">
      <c r="A746" t="s">
        <v>1725</v>
      </c>
      <c r="B746" t="s">
        <v>32</v>
      </c>
      <c r="C746" t="s">
        <v>1720</v>
      </c>
      <c r="D746" t="s">
        <v>791</v>
      </c>
      <c r="E746" s="170" cm="1">
        <f t="array" ref="E74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12251.039999999999</v>
      </c>
    </row>
    <row r="747" spans="1:5" hidden="1">
      <c r="A747" t="s">
        <v>1726</v>
      </c>
      <c r="B747" t="s">
        <v>360</v>
      </c>
      <c r="C747" t="s">
        <v>1720</v>
      </c>
      <c r="D747" t="s">
        <v>791</v>
      </c>
      <c r="E747" s="170" cm="1">
        <f t="array" ref="E74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237374.88</v>
      </c>
    </row>
    <row r="748" spans="1:5" hidden="1">
      <c r="A748" t="s">
        <v>1727</v>
      </c>
      <c r="B748" t="s">
        <v>32</v>
      </c>
      <c r="C748" t="s">
        <v>1720</v>
      </c>
      <c r="D748" t="s">
        <v>791</v>
      </c>
      <c r="E748" s="170" cm="1">
        <f t="array" ref="E74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506037.59999999992</v>
      </c>
    </row>
    <row r="749" spans="1:5" hidden="1">
      <c r="A749" t="s">
        <v>2124</v>
      </c>
      <c r="B749" t="s">
        <v>32</v>
      </c>
      <c r="C749" t="s">
        <v>2062</v>
      </c>
      <c r="D749" t="s">
        <v>1956</v>
      </c>
      <c r="E749" s="170" cm="1">
        <f t="array" ref="E74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50" spans="1:5" hidden="1">
      <c r="A750" t="s">
        <v>2064</v>
      </c>
      <c r="B750" t="s">
        <v>32</v>
      </c>
      <c r="C750" t="s">
        <v>887</v>
      </c>
      <c r="D750" t="s">
        <v>1956</v>
      </c>
      <c r="E750" s="170" cm="1">
        <f t="array" ref="E75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51" spans="1:5" hidden="1">
      <c r="A751" t="s">
        <v>2125</v>
      </c>
      <c r="B751" t="s">
        <v>32</v>
      </c>
      <c r="C751" t="s">
        <v>887</v>
      </c>
      <c r="D751" t="s">
        <v>1956</v>
      </c>
      <c r="E751" s="170" cm="1">
        <f t="array" ref="E75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52" spans="1:5" hidden="1">
      <c r="A752" t="s">
        <v>2126</v>
      </c>
      <c r="B752" t="s">
        <v>32</v>
      </c>
      <c r="C752" t="s">
        <v>887</v>
      </c>
      <c r="D752" t="s">
        <v>1956</v>
      </c>
      <c r="E752" s="170" cm="1">
        <f t="array" ref="E75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53" spans="1:5" hidden="1">
      <c r="A753" t="s">
        <v>2127</v>
      </c>
      <c r="B753" t="s">
        <v>32</v>
      </c>
      <c r="C753" t="s">
        <v>887</v>
      </c>
      <c r="D753" t="s">
        <v>1956</v>
      </c>
      <c r="E753" s="170" cm="1">
        <f t="array" ref="E75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54" spans="1:5" hidden="1">
      <c r="A754" t="s">
        <v>1728</v>
      </c>
      <c r="B754" t="s">
        <v>193</v>
      </c>
      <c r="C754" t="s">
        <v>1059</v>
      </c>
      <c r="D754" t="s">
        <v>791</v>
      </c>
      <c r="E754" s="170" cm="1">
        <f t="array" ref="E75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203327</v>
      </c>
    </row>
    <row r="755" spans="1:5" hidden="1">
      <c r="A755" t="s">
        <v>2128</v>
      </c>
      <c r="B755" t="s">
        <v>193</v>
      </c>
      <c r="C755" t="s">
        <v>1059</v>
      </c>
      <c r="D755" t="s">
        <v>1956</v>
      </c>
      <c r="E755" s="170" cm="1">
        <f t="array" ref="E75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56" spans="1:5" hidden="1">
      <c r="A756" t="s">
        <v>2011</v>
      </c>
      <c r="B756" t="s">
        <v>830</v>
      </c>
      <c r="C756" t="s">
        <v>2071</v>
      </c>
      <c r="D756" t="s">
        <v>1956</v>
      </c>
      <c r="E756" s="170" cm="1">
        <f t="array" ref="E75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57" spans="1:5" hidden="1">
      <c r="A757" t="s">
        <v>1729</v>
      </c>
      <c r="B757" t="s">
        <v>460</v>
      </c>
      <c r="D757" t="s">
        <v>791</v>
      </c>
      <c r="E757" s="170" cm="1">
        <f t="array" ref="E75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58" spans="1:5" hidden="1">
      <c r="A758" t="s">
        <v>1747</v>
      </c>
      <c r="B758" t="s">
        <v>13</v>
      </c>
      <c r="D758" t="s">
        <v>791</v>
      </c>
    </row>
    <row r="759" spans="1:5" hidden="1">
      <c r="A759" t="s">
        <v>1730</v>
      </c>
      <c r="B759" t="s">
        <v>919</v>
      </c>
      <c r="D759" t="s">
        <v>791</v>
      </c>
      <c r="E759" s="170" cm="1">
        <f t="array" ref="E75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60" spans="1:5" hidden="1">
      <c r="A760" t="s">
        <v>1731</v>
      </c>
      <c r="B760" t="s">
        <v>919</v>
      </c>
      <c r="D760" t="s">
        <v>791</v>
      </c>
      <c r="E760" s="170" cm="1">
        <f t="array" ref="E76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61" spans="1:5" hidden="1">
      <c r="A761" t="s">
        <v>2129</v>
      </c>
      <c r="B761" t="s">
        <v>919</v>
      </c>
      <c r="D761" t="s">
        <v>791</v>
      </c>
      <c r="E761" s="170" cm="1">
        <f t="array" ref="E76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62" spans="1:5" hidden="1">
      <c r="A762" t="s">
        <v>1732</v>
      </c>
      <c r="B762" t="s">
        <v>919</v>
      </c>
      <c r="D762" t="s">
        <v>791</v>
      </c>
      <c r="E762" s="170" cm="1">
        <f t="array" ref="E76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445.59999999999997</v>
      </c>
    </row>
    <row r="763" spans="1:5" hidden="1">
      <c r="A763" t="s">
        <v>1734</v>
      </c>
      <c r="B763" t="s">
        <v>915</v>
      </c>
      <c r="D763" t="s">
        <v>791</v>
      </c>
      <c r="E763" s="170" cm="1">
        <f t="array" ref="E76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64" spans="1:5" hidden="1">
      <c r="A764" t="s">
        <v>1735</v>
      </c>
      <c r="B764" t="s">
        <v>321</v>
      </c>
      <c r="C764" t="s">
        <v>860</v>
      </c>
      <c r="D764" t="s">
        <v>791</v>
      </c>
      <c r="E764" s="170" cm="1">
        <f t="array" ref="E76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65" spans="1:5" hidden="1">
      <c r="A765" t="s">
        <v>1736</v>
      </c>
      <c r="B765" t="s">
        <v>919</v>
      </c>
      <c r="D765" t="s">
        <v>791</v>
      </c>
      <c r="E765" s="170" cm="1">
        <f t="array" ref="E76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870</v>
      </c>
    </row>
    <row r="766" spans="1:5" hidden="1">
      <c r="A766" t="s">
        <v>1737</v>
      </c>
      <c r="B766" t="s">
        <v>919</v>
      </c>
      <c r="D766" t="s">
        <v>791</v>
      </c>
      <c r="E766" s="170" cm="1">
        <f t="array" ref="E76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562.11</v>
      </c>
    </row>
    <row r="767" spans="1:5" hidden="1">
      <c r="A767" t="s">
        <v>1738</v>
      </c>
      <c r="B767" t="s">
        <v>919</v>
      </c>
      <c r="D767" t="s">
        <v>791</v>
      </c>
      <c r="E767" s="170" cm="1">
        <f t="array" ref="E76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2241</v>
      </c>
    </row>
    <row r="768" spans="1:5" hidden="1">
      <c r="A768" t="s">
        <v>1739</v>
      </c>
      <c r="B768" t="s">
        <v>13</v>
      </c>
      <c r="D768" t="s">
        <v>791</v>
      </c>
      <c r="E768" s="170" cm="1">
        <f t="array" ref="E76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137.78</v>
      </c>
    </row>
    <row r="769" spans="1:5" hidden="1">
      <c r="A769" t="s">
        <v>1740</v>
      </c>
      <c r="B769" t="s">
        <v>915</v>
      </c>
      <c r="D769" t="s">
        <v>791</v>
      </c>
      <c r="E769" s="170" cm="1">
        <f t="array" ref="E76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263</v>
      </c>
    </row>
    <row r="770" spans="1:5" hidden="1">
      <c r="A770" t="s">
        <v>1741</v>
      </c>
      <c r="B770" t="s">
        <v>915</v>
      </c>
      <c r="D770" t="s">
        <v>791</v>
      </c>
      <c r="E770" s="170" cm="1">
        <f t="array" ref="E77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685</v>
      </c>
    </row>
    <row r="771" spans="1:5" hidden="1">
      <c r="A771" t="s">
        <v>1742</v>
      </c>
      <c r="B771" t="s">
        <v>13</v>
      </c>
      <c r="D771" t="s">
        <v>791</v>
      </c>
      <c r="E771" s="170" cm="1">
        <f t="array" ref="E77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72" spans="1:5" hidden="1">
      <c r="A772" t="s">
        <v>1743</v>
      </c>
      <c r="B772" t="s">
        <v>13</v>
      </c>
      <c r="D772" t="s">
        <v>791</v>
      </c>
      <c r="E772" s="170" cm="1">
        <f t="array" ref="E77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73" spans="1:5" hidden="1">
      <c r="A773" t="s">
        <v>1744</v>
      </c>
      <c r="B773" t="s">
        <v>13</v>
      </c>
      <c r="D773" t="s">
        <v>791</v>
      </c>
      <c r="E773" s="170" cm="1">
        <f t="array" ref="E77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11616</v>
      </c>
    </row>
    <row r="774" spans="1:5" hidden="1">
      <c r="A774" t="s">
        <v>1745</v>
      </c>
      <c r="B774" t="s">
        <v>13</v>
      </c>
      <c r="D774" t="s">
        <v>791</v>
      </c>
      <c r="E774" s="170" cm="1">
        <f t="array" ref="E77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188</v>
      </c>
    </row>
    <row r="775" spans="1:5" hidden="1">
      <c r="A775" t="s">
        <v>1748</v>
      </c>
      <c r="B775" t="s">
        <v>13</v>
      </c>
      <c r="D775" t="s">
        <v>791</v>
      </c>
      <c r="E775" s="170" cm="1">
        <f t="array" ref="E77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1417.88</v>
      </c>
    </row>
    <row r="776" spans="1:5" hidden="1">
      <c r="A776" t="s">
        <v>1749</v>
      </c>
      <c r="B776" t="s">
        <v>13</v>
      </c>
      <c r="D776" t="s">
        <v>791</v>
      </c>
      <c r="E776" s="170" cm="1">
        <f t="array" ref="E77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77" spans="1:5" hidden="1">
      <c r="A777" t="s">
        <v>1750</v>
      </c>
      <c r="B777" t="s">
        <v>448</v>
      </c>
      <c r="D777" t="s">
        <v>791</v>
      </c>
      <c r="E777" s="170" cm="1">
        <f t="array" ref="E77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78" spans="1:5">
      <c r="A778" t="s">
        <v>1751</v>
      </c>
      <c r="B778" t="s">
        <v>172</v>
      </c>
      <c r="C778" t="s">
        <v>887</v>
      </c>
      <c r="D778" t="s">
        <v>791</v>
      </c>
      <c r="E778" s="170" cm="1">
        <f t="array" ref="E77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18928</v>
      </c>
    </row>
    <row r="779" spans="1:5" hidden="1">
      <c r="A779" t="s">
        <v>1752</v>
      </c>
      <c r="B779" t="s">
        <v>172</v>
      </c>
      <c r="C779" t="s">
        <v>860</v>
      </c>
      <c r="D779" t="s">
        <v>791</v>
      </c>
      <c r="E779" s="170" cm="1">
        <f t="array" ref="E77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4151</v>
      </c>
    </row>
    <row r="780" spans="1:5" hidden="1">
      <c r="A780" t="s">
        <v>1753</v>
      </c>
      <c r="B780" t="s">
        <v>172</v>
      </c>
      <c r="C780" t="s">
        <v>860</v>
      </c>
      <c r="D780" t="s">
        <v>791</v>
      </c>
      <c r="E780" s="170" cm="1">
        <f t="array" ref="E78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840</v>
      </c>
    </row>
    <row r="781" spans="1:5" hidden="1">
      <c r="A781" t="s">
        <v>1754</v>
      </c>
      <c r="B781" t="s">
        <v>172</v>
      </c>
      <c r="C781" t="s">
        <v>860</v>
      </c>
      <c r="D781" t="s">
        <v>791</v>
      </c>
      <c r="E781" s="170" cm="1">
        <f t="array" ref="E78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16833</v>
      </c>
    </row>
    <row r="782" spans="1:5" hidden="1">
      <c r="A782" t="s">
        <v>1755</v>
      </c>
      <c r="B782" t="s">
        <v>172</v>
      </c>
      <c r="C782" t="s">
        <v>860</v>
      </c>
      <c r="D782" t="s">
        <v>791</v>
      </c>
      <c r="E782" s="170" cm="1">
        <f t="array" ref="E78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83" spans="1:5" hidden="1">
      <c r="A783" t="s">
        <v>1757</v>
      </c>
      <c r="B783" t="s">
        <v>172</v>
      </c>
      <c r="C783" t="s">
        <v>860</v>
      </c>
      <c r="D783" t="s">
        <v>791</v>
      </c>
      <c r="E783" s="170" cm="1">
        <f t="array" ref="E78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84" spans="1:5" hidden="1">
      <c r="A784" t="s">
        <v>1758</v>
      </c>
      <c r="B784" t="s">
        <v>830</v>
      </c>
      <c r="C784" t="s">
        <v>831</v>
      </c>
      <c r="D784" t="s">
        <v>791</v>
      </c>
      <c r="E784" s="170" cm="1">
        <f t="array" ref="E78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785" spans="1:5" hidden="1">
      <c r="A785" t="s">
        <v>1759</v>
      </c>
      <c r="B785" t="s">
        <v>830</v>
      </c>
      <c r="C785" t="s">
        <v>831</v>
      </c>
      <c r="D785" t="s">
        <v>791</v>
      </c>
      <c r="E785" s="170" cm="1">
        <f t="array" ref="E78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2313.6</v>
      </c>
    </row>
    <row r="786" spans="1:5" hidden="1">
      <c r="A786" t="s">
        <v>1761</v>
      </c>
      <c r="B786" t="s">
        <v>830</v>
      </c>
      <c r="C786" t="s">
        <v>831</v>
      </c>
      <c r="D786" t="s">
        <v>791</v>
      </c>
      <c r="E786" s="170" cm="1">
        <f t="array" ref="E78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1856</v>
      </c>
    </row>
    <row r="787" spans="1:5" hidden="1">
      <c r="A787" t="s">
        <v>1762</v>
      </c>
      <c r="B787" t="s">
        <v>32</v>
      </c>
      <c r="C787" t="s">
        <v>887</v>
      </c>
      <c r="D787" t="s">
        <v>791</v>
      </c>
      <c r="E787" s="170" cm="1">
        <f t="array" ref="E78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7440</v>
      </c>
    </row>
    <row r="788" spans="1:5" hidden="1">
      <c r="A788" t="s">
        <v>1763</v>
      </c>
      <c r="B788" t="s">
        <v>32</v>
      </c>
      <c r="C788" t="s">
        <v>887</v>
      </c>
      <c r="D788" t="s">
        <v>791</v>
      </c>
      <c r="E788" s="170" cm="1">
        <f t="array" ref="E78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9491.2000000000007</v>
      </c>
    </row>
    <row r="789" spans="1:5" hidden="1">
      <c r="A789" t="s">
        <v>1764</v>
      </c>
      <c r="B789" t="s">
        <v>32</v>
      </c>
      <c r="C789" t="s">
        <v>887</v>
      </c>
      <c r="D789" t="s">
        <v>791</v>
      </c>
      <c r="E789" s="170" cm="1">
        <f t="array" ref="E78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16160</v>
      </c>
    </row>
    <row r="790" spans="1:5" hidden="1">
      <c r="A790" t="s">
        <v>1765</v>
      </c>
      <c r="B790" t="s">
        <v>32</v>
      </c>
      <c r="C790" t="s">
        <v>887</v>
      </c>
      <c r="D790" t="s">
        <v>791</v>
      </c>
      <c r="E790" s="170" cm="1">
        <f t="array" ref="E79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116160</v>
      </c>
    </row>
    <row r="791" spans="1:5" hidden="1">
      <c r="A791" t="s">
        <v>1766</v>
      </c>
      <c r="B791" t="s">
        <v>32</v>
      </c>
      <c r="C791" t="s">
        <v>860</v>
      </c>
      <c r="D791" t="s">
        <v>791</v>
      </c>
      <c r="E791" s="170" cm="1">
        <f t="array" ref="E79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631.67999999999995</v>
      </c>
    </row>
    <row r="792" spans="1:5" hidden="1">
      <c r="A792" t="s">
        <v>1767</v>
      </c>
      <c r="B792" t="s">
        <v>32</v>
      </c>
      <c r="C792" t="s">
        <v>860</v>
      </c>
      <c r="D792" t="s">
        <v>791</v>
      </c>
      <c r="E792" s="170" cm="1">
        <f t="array" ref="E79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244.31999999999996</v>
      </c>
    </row>
    <row r="793" spans="1:5" hidden="1">
      <c r="A793" t="s">
        <v>1768</v>
      </c>
      <c r="B793" t="s">
        <v>32</v>
      </c>
      <c r="C793" t="s">
        <v>860</v>
      </c>
      <c r="D793" t="s">
        <v>791</v>
      </c>
      <c r="E793" s="170" cm="1">
        <f t="array" ref="E79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1580.1599999999999</v>
      </c>
    </row>
    <row r="794" spans="1:5" hidden="1">
      <c r="A794" t="s">
        <v>1769</v>
      </c>
      <c r="B794" t="s">
        <v>32</v>
      </c>
      <c r="C794" t="s">
        <v>860</v>
      </c>
      <c r="D794" t="s">
        <v>791</v>
      </c>
      <c r="E794" s="170" cm="1">
        <f t="array" ref="E79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1156.8</v>
      </c>
    </row>
    <row r="795" spans="1:5" hidden="1">
      <c r="A795" t="s">
        <v>1770</v>
      </c>
      <c r="B795" t="s">
        <v>32</v>
      </c>
      <c r="C795" t="s">
        <v>860</v>
      </c>
      <c r="D795" t="s">
        <v>791</v>
      </c>
      <c r="E795" s="170" cm="1">
        <f t="array" ref="E79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2589.12</v>
      </c>
    </row>
    <row r="796" spans="1:5" hidden="1">
      <c r="A796" t="s">
        <v>1771</v>
      </c>
      <c r="B796" t="s">
        <v>32</v>
      </c>
      <c r="C796" t="s">
        <v>860</v>
      </c>
      <c r="D796" t="s">
        <v>791</v>
      </c>
      <c r="E796" s="170" cm="1">
        <f t="array" ref="E79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385.44</v>
      </c>
    </row>
    <row r="797" spans="1:5" hidden="1">
      <c r="A797" t="s">
        <v>1772</v>
      </c>
      <c r="B797" t="s">
        <v>32</v>
      </c>
      <c r="C797" t="s">
        <v>860</v>
      </c>
      <c r="D797" t="s">
        <v>791</v>
      </c>
      <c r="E797" s="170" cm="1">
        <f t="array" ref="E79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27565.919999999998</v>
      </c>
    </row>
    <row r="798" spans="1:5" hidden="1">
      <c r="A798" t="s">
        <v>1773</v>
      </c>
      <c r="B798" t="s">
        <v>32</v>
      </c>
      <c r="C798" t="s">
        <v>860</v>
      </c>
      <c r="D798" t="s">
        <v>791</v>
      </c>
      <c r="E798" s="170" cm="1">
        <f t="array" ref="E79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77436.800000000003</v>
      </c>
    </row>
    <row r="799" spans="1:5" hidden="1">
      <c r="A799" t="s">
        <v>1774</v>
      </c>
      <c r="B799" t="s">
        <v>360</v>
      </c>
      <c r="C799" t="s">
        <v>860</v>
      </c>
      <c r="D799" t="s">
        <v>791</v>
      </c>
      <c r="E799" s="170" cm="1">
        <f t="array" ref="E79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11249.279999999999</v>
      </c>
    </row>
    <row r="800" spans="1:5" hidden="1">
      <c r="A800" t="s">
        <v>713</v>
      </c>
      <c r="B800" t="s">
        <v>193</v>
      </c>
      <c r="C800" t="s">
        <v>1059</v>
      </c>
      <c r="D800" t="s">
        <v>791</v>
      </c>
      <c r="E800" s="170" cm="1">
        <f t="array" ref="E80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1443.5</v>
      </c>
    </row>
    <row r="801" spans="1:5" hidden="1">
      <c r="A801" t="s">
        <v>714</v>
      </c>
      <c r="B801" t="s">
        <v>193</v>
      </c>
      <c r="C801" t="s">
        <v>1059</v>
      </c>
      <c r="D801" t="s">
        <v>791</v>
      </c>
      <c r="E801" s="170" cm="1">
        <f t="array" ref="E80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1653</v>
      </c>
    </row>
    <row r="802" spans="1:5" hidden="1">
      <c r="A802" t="s">
        <v>197</v>
      </c>
      <c r="B802" t="s">
        <v>193</v>
      </c>
      <c r="C802" t="s">
        <v>1059</v>
      </c>
      <c r="D802" t="s">
        <v>791</v>
      </c>
      <c r="E802" s="170" cm="1">
        <f t="array" ref="E80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4809</v>
      </c>
    </row>
    <row r="803" spans="1:5" hidden="1">
      <c r="A803" t="s">
        <v>198</v>
      </c>
      <c r="B803" t="s">
        <v>193</v>
      </c>
      <c r="C803" t="s">
        <v>1059</v>
      </c>
      <c r="D803" t="s">
        <v>791</v>
      </c>
      <c r="E803" s="170" cm="1">
        <f t="array" ref="E80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20890</v>
      </c>
    </row>
    <row r="804" spans="1:5" hidden="1">
      <c r="A804" t="s">
        <v>1775</v>
      </c>
      <c r="B804" t="s">
        <v>193</v>
      </c>
      <c r="C804" t="s">
        <v>1059</v>
      </c>
      <c r="D804" t="s">
        <v>791</v>
      </c>
      <c r="E804" s="170" cm="1">
        <f t="array" ref="E80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60123</v>
      </c>
    </row>
    <row r="805" spans="1:5" hidden="1">
      <c r="A805" t="s">
        <v>1776</v>
      </c>
      <c r="B805" t="s">
        <v>460</v>
      </c>
      <c r="C805" t="s">
        <v>860</v>
      </c>
      <c r="D805" t="s">
        <v>791</v>
      </c>
      <c r="E805" s="170" cm="1">
        <f t="array" ref="E80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06" spans="1:5" hidden="1">
      <c r="A806" t="s">
        <v>1777</v>
      </c>
      <c r="B806" t="s">
        <v>321</v>
      </c>
      <c r="C806" t="s">
        <v>860</v>
      </c>
      <c r="D806" t="s">
        <v>791</v>
      </c>
      <c r="E806" s="170" cm="1">
        <f t="array" ref="E80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1618</v>
      </c>
    </row>
    <row r="807" spans="1:5" hidden="1">
      <c r="A807" t="s">
        <v>1779</v>
      </c>
      <c r="B807" t="s">
        <v>321</v>
      </c>
      <c r="C807" t="s">
        <v>860</v>
      </c>
      <c r="D807" t="s">
        <v>791</v>
      </c>
      <c r="E807" s="170" cm="1">
        <f t="array" ref="E80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1400</v>
      </c>
    </row>
    <row r="808" spans="1:5" hidden="1">
      <c r="A808" t="s">
        <v>1780</v>
      </c>
      <c r="B808" t="s">
        <v>321</v>
      </c>
      <c r="C808" t="s">
        <v>860</v>
      </c>
      <c r="D808" t="s">
        <v>791</v>
      </c>
      <c r="E808" s="170" cm="1">
        <f t="array" ref="E80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4880</v>
      </c>
    </row>
    <row r="809" spans="1:5" hidden="1">
      <c r="A809" t="s">
        <v>1781</v>
      </c>
      <c r="B809" t="s">
        <v>321</v>
      </c>
      <c r="C809" t="s">
        <v>860</v>
      </c>
      <c r="D809" t="s">
        <v>791</v>
      </c>
      <c r="E809" s="170" cm="1">
        <f t="array" ref="E80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3689</v>
      </c>
    </row>
    <row r="810" spans="1:5" hidden="1">
      <c r="A810" t="s">
        <v>1782</v>
      </c>
      <c r="B810" t="s">
        <v>321</v>
      </c>
      <c r="C810" t="s">
        <v>860</v>
      </c>
      <c r="D810" t="s">
        <v>791</v>
      </c>
      <c r="E810" s="170" cm="1">
        <f t="array" ref="E81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8480</v>
      </c>
    </row>
    <row r="811" spans="1:5" hidden="1">
      <c r="A811" t="s">
        <v>1783</v>
      </c>
      <c r="B811" t="s">
        <v>321</v>
      </c>
      <c r="C811" t="s">
        <v>860</v>
      </c>
      <c r="D811" t="s">
        <v>791</v>
      </c>
      <c r="E811" s="170" cm="1">
        <f t="array" ref="E81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11775</v>
      </c>
    </row>
    <row r="812" spans="1:5" hidden="1">
      <c r="A812" t="s">
        <v>1785</v>
      </c>
      <c r="B812" t="s">
        <v>321</v>
      </c>
      <c r="C812" t="s">
        <v>860</v>
      </c>
      <c r="D812" t="s">
        <v>791</v>
      </c>
      <c r="E812" s="170" cm="1">
        <f t="array" ref="E81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2700</v>
      </c>
    </row>
    <row r="813" spans="1:5" hidden="1">
      <c r="A813" t="s">
        <v>1786</v>
      </c>
      <c r="B813" t="s">
        <v>13</v>
      </c>
      <c r="C813" t="s">
        <v>1106</v>
      </c>
      <c r="D813" t="s">
        <v>791</v>
      </c>
      <c r="E813" s="170" cm="1">
        <f t="array" ref="E81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14" spans="1:5" hidden="1">
      <c r="A814" t="s">
        <v>1787</v>
      </c>
      <c r="B814" t="s">
        <v>13</v>
      </c>
      <c r="C814" t="s">
        <v>1106</v>
      </c>
      <c r="D814" t="s">
        <v>791</v>
      </c>
      <c r="E814" s="170" cm="1">
        <f t="array" ref="E81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6568</v>
      </c>
    </row>
    <row r="815" spans="1:5" hidden="1">
      <c r="A815" t="s">
        <v>1788</v>
      </c>
      <c r="B815" t="s">
        <v>13</v>
      </c>
      <c r="C815" t="s">
        <v>1106</v>
      </c>
      <c r="D815" t="s">
        <v>791</v>
      </c>
      <c r="E815" s="170" cm="1">
        <f t="array" ref="E81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3240</v>
      </c>
    </row>
    <row r="816" spans="1:5" hidden="1">
      <c r="A816" t="s">
        <v>1789</v>
      </c>
      <c r="B816" t="s">
        <v>13</v>
      </c>
      <c r="C816" t="s">
        <v>1106</v>
      </c>
      <c r="D816" t="s">
        <v>791</v>
      </c>
      <c r="E816" s="170" cm="1">
        <f t="array" ref="E81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11952</v>
      </c>
    </row>
    <row r="817" spans="1:5" hidden="1">
      <c r="A817" t="s">
        <v>1790</v>
      </c>
      <c r="B817" t="s">
        <v>13</v>
      </c>
      <c r="C817" t="s">
        <v>1106</v>
      </c>
      <c r="D817" t="s">
        <v>791</v>
      </c>
      <c r="E817" s="170" cm="1">
        <f t="array" ref="E81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15735</v>
      </c>
    </row>
    <row r="818" spans="1:5" hidden="1">
      <c r="A818" t="s">
        <v>1791</v>
      </c>
      <c r="B818" t="s">
        <v>13</v>
      </c>
      <c r="C818" t="s">
        <v>1106</v>
      </c>
      <c r="D818" t="s">
        <v>791</v>
      </c>
      <c r="E818" s="170" cm="1">
        <f t="array" ref="E81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44848</v>
      </c>
    </row>
    <row r="819" spans="1:5" hidden="1">
      <c r="A819" t="s">
        <v>1792</v>
      </c>
      <c r="B819" t="s">
        <v>13</v>
      </c>
      <c r="C819" t="s">
        <v>1106</v>
      </c>
      <c r="D819" t="s">
        <v>791</v>
      </c>
      <c r="E819" s="170" cm="1">
        <f t="array" ref="E81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5280</v>
      </c>
    </row>
    <row r="820" spans="1:5" hidden="1">
      <c r="A820" t="s">
        <v>2013</v>
      </c>
      <c r="B820" t="s">
        <v>13</v>
      </c>
      <c r="C820" t="s">
        <v>860</v>
      </c>
      <c r="D820" t="s">
        <v>791</v>
      </c>
      <c r="E820" s="170" cm="1">
        <f t="array" ref="E82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21" spans="1:5" hidden="1">
      <c r="A821" t="s">
        <v>1793</v>
      </c>
      <c r="B821" t="s">
        <v>830</v>
      </c>
      <c r="C821" t="s">
        <v>831</v>
      </c>
      <c r="D821" t="s">
        <v>791</v>
      </c>
      <c r="E821" s="170" cm="1">
        <f t="array" ref="E82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22" spans="1:5" hidden="1">
      <c r="A822" t="s">
        <v>1794</v>
      </c>
      <c r="B822" t="s">
        <v>830</v>
      </c>
      <c r="C822" t="s">
        <v>831</v>
      </c>
      <c r="D822" t="s">
        <v>791</v>
      </c>
      <c r="E822" s="170" cm="1">
        <f t="array" ref="E82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23" spans="1:5" hidden="1">
      <c r="A823" t="s">
        <v>1795</v>
      </c>
      <c r="B823" t="s">
        <v>830</v>
      </c>
      <c r="C823" t="s">
        <v>831</v>
      </c>
      <c r="D823" t="s">
        <v>791</v>
      </c>
      <c r="E823" s="170" cm="1">
        <f t="array" ref="E82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24" spans="1:5" hidden="1">
      <c r="A824" t="s">
        <v>1796</v>
      </c>
      <c r="B824" t="s">
        <v>32</v>
      </c>
      <c r="C824" t="s">
        <v>887</v>
      </c>
      <c r="D824" t="s">
        <v>791</v>
      </c>
      <c r="E824" s="170" cm="1">
        <f t="array" ref="E82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25" spans="1:5" hidden="1">
      <c r="A825" t="s">
        <v>1797</v>
      </c>
      <c r="B825" t="s">
        <v>32</v>
      </c>
      <c r="C825" t="s">
        <v>860</v>
      </c>
      <c r="D825" t="s">
        <v>791</v>
      </c>
      <c r="E825" s="170" cm="1">
        <f t="array" ref="E82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26" spans="1:5" hidden="1">
      <c r="A826" t="s">
        <v>1798</v>
      </c>
      <c r="B826" t="s">
        <v>32</v>
      </c>
      <c r="C826" t="s">
        <v>860</v>
      </c>
      <c r="D826" t="s">
        <v>791</v>
      </c>
      <c r="E826" s="170" cm="1">
        <f t="array" ref="E82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27" spans="1:5" hidden="1">
      <c r="A827" t="s">
        <v>1799</v>
      </c>
      <c r="B827" t="s">
        <v>32</v>
      </c>
      <c r="C827" t="s">
        <v>887</v>
      </c>
      <c r="D827" t="s">
        <v>791</v>
      </c>
      <c r="E827" s="170" cm="1">
        <f t="array" ref="E82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53615.200000000004</v>
      </c>
    </row>
    <row r="828" spans="1:5" hidden="1">
      <c r="A828" t="s">
        <v>1800</v>
      </c>
      <c r="B828" t="s">
        <v>32</v>
      </c>
      <c r="C828" t="s">
        <v>860</v>
      </c>
      <c r="D828" t="s">
        <v>791</v>
      </c>
      <c r="E828" s="170" cm="1">
        <f t="array" ref="E82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2125.92</v>
      </c>
    </row>
    <row r="829" spans="1:5" hidden="1">
      <c r="A829" t="s">
        <v>1801</v>
      </c>
      <c r="B829" t="s">
        <v>32</v>
      </c>
      <c r="C829" t="s">
        <v>860</v>
      </c>
      <c r="D829" t="s">
        <v>791</v>
      </c>
      <c r="E829" s="170" cm="1">
        <f t="array" ref="E82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4301.76</v>
      </c>
    </row>
    <row r="830" spans="1:5" hidden="1">
      <c r="A830" t="s">
        <v>1802</v>
      </c>
      <c r="B830" t="s">
        <v>32</v>
      </c>
      <c r="C830" t="s">
        <v>860</v>
      </c>
      <c r="D830" t="s">
        <v>791</v>
      </c>
      <c r="E830" s="170" cm="1">
        <f t="array" ref="E83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24880</v>
      </c>
    </row>
    <row r="831" spans="1:5" hidden="1">
      <c r="A831" t="s">
        <v>1803</v>
      </c>
      <c r="B831" t="s">
        <v>32</v>
      </c>
      <c r="C831" t="s">
        <v>887</v>
      </c>
      <c r="D831" t="s">
        <v>791</v>
      </c>
      <c r="E831" s="170" cm="1">
        <f t="array" ref="E83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10800</v>
      </c>
    </row>
    <row r="832" spans="1:5" hidden="1">
      <c r="A832" t="s">
        <v>1804</v>
      </c>
      <c r="B832" t="s">
        <v>32</v>
      </c>
      <c r="C832" t="s">
        <v>860</v>
      </c>
      <c r="D832" t="s">
        <v>791</v>
      </c>
      <c r="E832" s="170" cm="1">
        <f t="array" ref="E83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5697.5999999999995</v>
      </c>
    </row>
    <row r="833" spans="1:5" hidden="1">
      <c r="A833" t="s">
        <v>1805</v>
      </c>
      <c r="B833" t="s">
        <v>32</v>
      </c>
      <c r="C833" t="s">
        <v>887</v>
      </c>
      <c r="D833" t="s">
        <v>791</v>
      </c>
      <c r="E833" s="170" cm="1">
        <f t="array" ref="E83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12160</v>
      </c>
    </row>
    <row r="834" spans="1:5" hidden="1">
      <c r="A834" t="s">
        <v>1806</v>
      </c>
      <c r="B834" t="s">
        <v>32</v>
      </c>
      <c r="C834" t="s">
        <v>887</v>
      </c>
      <c r="D834" t="s">
        <v>791</v>
      </c>
      <c r="E834" s="170" cm="1">
        <f t="array" ref="E83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55840</v>
      </c>
    </row>
    <row r="835" spans="1:5" hidden="1">
      <c r="A835" t="s">
        <v>1807</v>
      </c>
      <c r="B835" t="s">
        <v>32</v>
      </c>
      <c r="C835" t="s">
        <v>860</v>
      </c>
      <c r="D835" t="s">
        <v>791</v>
      </c>
      <c r="E835" s="170" cm="1">
        <f t="array" ref="E83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17652.48</v>
      </c>
    </row>
    <row r="836" spans="1:5" hidden="1">
      <c r="A836" t="s">
        <v>1808</v>
      </c>
      <c r="B836" t="s">
        <v>32</v>
      </c>
      <c r="C836" t="s">
        <v>860</v>
      </c>
      <c r="D836" t="s">
        <v>791</v>
      </c>
      <c r="E836" s="170" cm="1">
        <f t="array" ref="E83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22564.799999999999</v>
      </c>
    </row>
    <row r="837" spans="1:5" hidden="1">
      <c r="A837" t="s">
        <v>1809</v>
      </c>
      <c r="B837" t="s">
        <v>32</v>
      </c>
      <c r="C837" t="s">
        <v>860</v>
      </c>
      <c r="D837" t="s">
        <v>791</v>
      </c>
      <c r="E837" s="170" cm="1">
        <f t="array" ref="E83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22296</v>
      </c>
    </row>
    <row r="838" spans="1:5" hidden="1">
      <c r="A838" t="s">
        <v>1811</v>
      </c>
      <c r="B838" t="s">
        <v>32</v>
      </c>
      <c r="C838" t="s">
        <v>860</v>
      </c>
      <c r="D838" t="s">
        <v>791</v>
      </c>
      <c r="E838" s="170" cm="1">
        <f t="array" ref="E83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3769.44</v>
      </c>
    </row>
    <row r="839" spans="1:5" hidden="1">
      <c r="A839" t="s">
        <v>1812</v>
      </c>
      <c r="B839" t="s">
        <v>830</v>
      </c>
      <c r="C839" t="s">
        <v>831</v>
      </c>
      <c r="D839" t="s">
        <v>791</v>
      </c>
      <c r="E839" s="170" cm="1">
        <f t="array" ref="E83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12960</v>
      </c>
    </row>
    <row r="840" spans="1:5" hidden="1">
      <c r="A840" t="s">
        <v>1813</v>
      </c>
      <c r="B840" t="s">
        <v>830</v>
      </c>
      <c r="C840" t="s">
        <v>831</v>
      </c>
      <c r="D840" t="s">
        <v>791</v>
      </c>
      <c r="E840" s="170" cm="1">
        <f t="array" ref="E84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12888</v>
      </c>
    </row>
    <row r="841" spans="1:5" hidden="1">
      <c r="A841" t="s">
        <v>1814</v>
      </c>
      <c r="B841" t="s">
        <v>830</v>
      </c>
      <c r="C841" t="s">
        <v>831</v>
      </c>
      <c r="D841" t="s">
        <v>791</v>
      </c>
      <c r="E841" s="170" cm="1">
        <f t="array" ref="E84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12960</v>
      </c>
    </row>
    <row r="842" spans="1:5" hidden="1">
      <c r="A842" t="s">
        <v>1815</v>
      </c>
      <c r="B842" t="s">
        <v>13</v>
      </c>
      <c r="C842" t="s">
        <v>1106</v>
      </c>
      <c r="D842" t="s">
        <v>791</v>
      </c>
      <c r="E842" s="170" cm="1">
        <f t="array" ref="E84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20736</v>
      </c>
    </row>
    <row r="843" spans="1:5" hidden="1">
      <c r="A843" t="s">
        <v>1816</v>
      </c>
      <c r="B843" t="s">
        <v>13</v>
      </c>
      <c r="C843" t="s">
        <v>1106</v>
      </c>
      <c r="D843" t="s">
        <v>791</v>
      </c>
      <c r="E843" s="170" cm="1">
        <f t="array" ref="E84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17024</v>
      </c>
    </row>
    <row r="844" spans="1:5" hidden="1">
      <c r="A844" t="s">
        <v>1817</v>
      </c>
      <c r="B844" t="s">
        <v>13</v>
      </c>
      <c r="C844" t="s">
        <v>1106</v>
      </c>
      <c r="D844" t="s">
        <v>791</v>
      </c>
      <c r="E844" s="170" cm="1">
        <f t="array" ref="E84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9200</v>
      </c>
    </row>
    <row r="845" spans="1:5" hidden="1">
      <c r="A845" t="s">
        <v>1818</v>
      </c>
      <c r="B845" t="s">
        <v>13</v>
      </c>
      <c r="C845" t="s">
        <v>1106</v>
      </c>
      <c r="D845" t="s">
        <v>791</v>
      </c>
      <c r="E845" s="170" cm="1">
        <f t="array" ref="E84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6168</v>
      </c>
    </row>
    <row r="846" spans="1:5" hidden="1">
      <c r="A846" t="s">
        <v>1819</v>
      </c>
      <c r="B846" t="s">
        <v>13</v>
      </c>
      <c r="C846" t="s">
        <v>1106</v>
      </c>
      <c r="D846" t="s">
        <v>791</v>
      </c>
      <c r="E846" s="170" cm="1">
        <f t="array" ref="E84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42200</v>
      </c>
    </row>
    <row r="847" spans="1:5" hidden="1">
      <c r="A847" t="s">
        <v>1821</v>
      </c>
      <c r="B847" t="s">
        <v>13</v>
      </c>
      <c r="C847" t="s">
        <v>1106</v>
      </c>
      <c r="D847" t="s">
        <v>791</v>
      </c>
      <c r="E847" s="170" cm="1">
        <f t="array" ref="E84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35144</v>
      </c>
    </row>
    <row r="848" spans="1:5" hidden="1">
      <c r="A848" t="s">
        <v>1822</v>
      </c>
      <c r="B848" t="s">
        <v>13</v>
      </c>
      <c r="C848" t="s">
        <v>1106</v>
      </c>
      <c r="D848" t="s">
        <v>791</v>
      </c>
      <c r="E848" s="170" cm="1">
        <f t="array" ref="E84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15736</v>
      </c>
    </row>
    <row r="849" spans="1:5" hidden="1">
      <c r="A849" t="s">
        <v>1823</v>
      </c>
      <c r="B849" t="s">
        <v>32</v>
      </c>
      <c r="C849" t="s">
        <v>860</v>
      </c>
      <c r="D849" t="s">
        <v>791</v>
      </c>
      <c r="E849" s="170" cm="1">
        <f t="array" ref="E84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5688</v>
      </c>
    </row>
    <row r="850" spans="1:5" hidden="1">
      <c r="A850" t="s">
        <v>1824</v>
      </c>
      <c r="B850" t="s">
        <v>32</v>
      </c>
      <c r="C850" t="s">
        <v>860</v>
      </c>
      <c r="D850" t="s">
        <v>791</v>
      </c>
      <c r="E850" s="170" cm="1">
        <f t="array" ref="E85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2520</v>
      </c>
    </row>
    <row r="851" spans="1:5" hidden="1">
      <c r="A851" t="s">
        <v>1825</v>
      </c>
      <c r="B851" t="s">
        <v>32</v>
      </c>
      <c r="C851" t="s">
        <v>860</v>
      </c>
      <c r="D851" t="s">
        <v>791</v>
      </c>
      <c r="E851" s="170" cm="1">
        <f t="array" ref="E85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16960</v>
      </c>
    </row>
    <row r="852" spans="1:5" hidden="1">
      <c r="A852" t="s">
        <v>1826</v>
      </c>
      <c r="B852" t="s">
        <v>321</v>
      </c>
      <c r="C852" t="s">
        <v>860</v>
      </c>
      <c r="D852" t="s">
        <v>791</v>
      </c>
      <c r="E852" s="170" cm="1">
        <f t="array" ref="E85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11904</v>
      </c>
    </row>
    <row r="853" spans="1:5" hidden="1">
      <c r="A853" t="s">
        <v>1827</v>
      </c>
      <c r="B853" t="s">
        <v>321</v>
      </c>
      <c r="C853" t="s">
        <v>860</v>
      </c>
      <c r="D853" t="s">
        <v>791</v>
      </c>
      <c r="E853" s="170" cm="1">
        <f t="array" ref="E85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9618</v>
      </c>
    </row>
    <row r="854" spans="1:5" hidden="1">
      <c r="A854" t="s">
        <v>1829</v>
      </c>
      <c r="B854" t="s">
        <v>321</v>
      </c>
      <c r="C854" t="s">
        <v>860</v>
      </c>
      <c r="D854" t="s">
        <v>791</v>
      </c>
      <c r="E854" s="170" cm="1">
        <f t="array" ref="E85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23040</v>
      </c>
    </row>
    <row r="855" spans="1:5" hidden="1">
      <c r="A855" t="s">
        <v>1830</v>
      </c>
      <c r="B855" t="s">
        <v>321</v>
      </c>
      <c r="C855" t="s">
        <v>860</v>
      </c>
      <c r="D855" t="s">
        <v>791</v>
      </c>
      <c r="E855" s="170" cm="1">
        <f t="array" ref="E85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13575</v>
      </c>
    </row>
    <row r="856" spans="1:5" hidden="1">
      <c r="A856" t="s">
        <v>1831</v>
      </c>
      <c r="B856" t="s">
        <v>321</v>
      </c>
      <c r="C856" t="s">
        <v>860</v>
      </c>
      <c r="D856" t="s">
        <v>791</v>
      </c>
      <c r="E856" s="170" cm="1">
        <f t="array" ref="E85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36400</v>
      </c>
    </row>
    <row r="857" spans="1:5" hidden="1">
      <c r="A857" t="s">
        <v>1832</v>
      </c>
      <c r="B857" t="s">
        <v>321</v>
      </c>
      <c r="C857" t="s">
        <v>860</v>
      </c>
      <c r="D857" t="s">
        <v>791</v>
      </c>
      <c r="E857" s="170" cm="1">
        <f t="array" ref="E85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62186</v>
      </c>
    </row>
    <row r="858" spans="1:5" hidden="1">
      <c r="A858" t="s">
        <v>1834</v>
      </c>
      <c r="B858" t="s">
        <v>368</v>
      </c>
      <c r="D858" t="s">
        <v>791</v>
      </c>
      <c r="E858" s="170" cm="1">
        <f t="array" ref="E85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57816</v>
      </c>
    </row>
    <row r="859" spans="1:5" hidden="1">
      <c r="A859" t="s">
        <v>1835</v>
      </c>
      <c r="B859" t="s">
        <v>368</v>
      </c>
      <c r="D859" t="s">
        <v>791</v>
      </c>
      <c r="E859" s="170" cm="1">
        <f t="array" ref="E85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476400</v>
      </c>
    </row>
    <row r="860" spans="1:5" hidden="1">
      <c r="A860" t="s">
        <v>1836</v>
      </c>
      <c r="B860" t="s">
        <v>1837</v>
      </c>
      <c r="C860" t="s">
        <v>831</v>
      </c>
      <c r="D860" t="s">
        <v>791</v>
      </c>
      <c r="E860" s="170" cm="1">
        <f t="array" ref="E86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282176</v>
      </c>
    </row>
    <row r="861" spans="1:5" hidden="1">
      <c r="A861" t="s">
        <v>1838</v>
      </c>
      <c r="B861" t="s">
        <v>368</v>
      </c>
      <c r="D861" t="s">
        <v>791</v>
      </c>
      <c r="E861" s="170" cm="1">
        <f t="array" ref="E86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226288</v>
      </c>
    </row>
    <row r="862" spans="1:5" hidden="1">
      <c r="A862" t="s">
        <v>1839</v>
      </c>
      <c r="B862" t="s">
        <v>368</v>
      </c>
      <c r="D862" t="s">
        <v>791</v>
      </c>
      <c r="E862" s="170" cm="1">
        <f t="array" ref="E86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316848</v>
      </c>
    </row>
    <row r="863" spans="1:5" hidden="1">
      <c r="A863" t="s">
        <v>1840</v>
      </c>
      <c r="B863" t="s">
        <v>368</v>
      </c>
      <c r="D863" t="s">
        <v>791</v>
      </c>
      <c r="E863" s="170" cm="1">
        <f t="array" ref="E86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878584</v>
      </c>
    </row>
    <row r="864" spans="1:5" hidden="1">
      <c r="A864" t="s">
        <v>1841</v>
      </c>
      <c r="B864" t="s">
        <v>123</v>
      </c>
      <c r="C864" t="s">
        <v>819</v>
      </c>
      <c r="D864" t="s">
        <v>791</v>
      </c>
      <c r="E864" s="170" cm="1">
        <f t="array" ref="E86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555720</v>
      </c>
    </row>
    <row r="865" spans="1:5" hidden="1">
      <c r="A865" t="s">
        <v>1842</v>
      </c>
      <c r="B865" t="s">
        <v>368</v>
      </c>
      <c r="D865" t="s">
        <v>791</v>
      </c>
      <c r="E865" s="170" cm="1">
        <f t="array" ref="E86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153208</v>
      </c>
    </row>
    <row r="866" spans="1:5" hidden="1">
      <c r="A866" t="s">
        <v>1843</v>
      </c>
      <c r="B866" t="s">
        <v>368</v>
      </c>
      <c r="D866" t="s">
        <v>791</v>
      </c>
      <c r="E866" s="170" cm="1">
        <f t="array" ref="E86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85040</v>
      </c>
    </row>
    <row r="867" spans="1:5" hidden="1">
      <c r="A867" t="s">
        <v>1844</v>
      </c>
      <c r="B867" t="s">
        <v>368</v>
      </c>
      <c r="D867" t="s">
        <v>791</v>
      </c>
      <c r="E867" s="170" cm="1">
        <f t="array" ref="E86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31848</v>
      </c>
    </row>
    <row r="868" spans="1:5" hidden="1">
      <c r="A868" t="s">
        <v>1846</v>
      </c>
      <c r="B868" t="s">
        <v>368</v>
      </c>
      <c r="D868" t="s">
        <v>791</v>
      </c>
      <c r="E868" s="170" cm="1">
        <f t="array" ref="E86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31848</v>
      </c>
    </row>
    <row r="869" spans="1:5" hidden="1">
      <c r="A869" t="s">
        <v>1847</v>
      </c>
      <c r="B869" t="s">
        <v>368</v>
      </c>
      <c r="D869" t="s">
        <v>791</v>
      </c>
      <c r="E869" s="170" cm="1">
        <f t="array" ref="E86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32960</v>
      </c>
    </row>
    <row r="870" spans="1:5" hidden="1">
      <c r="A870" t="s">
        <v>1848</v>
      </c>
      <c r="B870" t="s">
        <v>368</v>
      </c>
      <c r="D870" t="s">
        <v>791</v>
      </c>
      <c r="E870" s="170" cm="1">
        <f t="array" ref="E87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13752</v>
      </c>
    </row>
    <row r="871" spans="1:5" hidden="1">
      <c r="A871" t="s">
        <v>1849</v>
      </c>
      <c r="B871" t="s">
        <v>368</v>
      </c>
      <c r="D871" t="s">
        <v>791</v>
      </c>
      <c r="E871" s="170" cm="1">
        <f t="array" ref="E87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32385</v>
      </c>
    </row>
    <row r="872" spans="1:5" hidden="1">
      <c r="A872" t="s">
        <v>1850</v>
      </c>
      <c r="B872" t="s">
        <v>368</v>
      </c>
      <c r="D872" t="s">
        <v>791</v>
      </c>
      <c r="E872" s="170" cm="1">
        <f t="array" ref="E87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32520</v>
      </c>
    </row>
    <row r="873" spans="1:5" hidden="1">
      <c r="A873" t="s">
        <v>1851</v>
      </c>
      <c r="B873" t="s">
        <v>368</v>
      </c>
      <c r="D873" t="s">
        <v>791</v>
      </c>
      <c r="E873" s="170" cm="1">
        <f t="array" ref="E87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62312</v>
      </c>
    </row>
    <row r="874" spans="1:5" hidden="1">
      <c r="A874" t="s">
        <v>1853</v>
      </c>
      <c r="B874" t="s">
        <v>368</v>
      </c>
      <c r="D874" t="s">
        <v>791</v>
      </c>
      <c r="E874" s="170" cm="1">
        <f t="array" ref="E87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273456</v>
      </c>
    </row>
    <row r="875" spans="1:5" hidden="1">
      <c r="A875" t="s">
        <v>1854</v>
      </c>
      <c r="B875" t="s">
        <v>368</v>
      </c>
      <c r="D875" t="s">
        <v>791</v>
      </c>
      <c r="E875" s="170" cm="1">
        <f t="array" ref="E87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161100</v>
      </c>
    </row>
    <row r="876" spans="1:5" hidden="1">
      <c r="A876" t="s">
        <v>1856</v>
      </c>
      <c r="B876" t="s">
        <v>368</v>
      </c>
      <c r="D876" t="s">
        <v>791</v>
      </c>
      <c r="E876" s="170" cm="1">
        <f t="array" ref="E87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127238</v>
      </c>
    </row>
    <row r="877" spans="1:5" hidden="1">
      <c r="A877" t="s">
        <v>1858</v>
      </c>
      <c r="B877" t="s">
        <v>368</v>
      </c>
      <c r="D877" t="s">
        <v>791</v>
      </c>
      <c r="E877" s="170" cm="1">
        <f t="array" ref="E87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15912</v>
      </c>
    </row>
    <row r="878" spans="1:5" hidden="1">
      <c r="A878" t="s">
        <v>1859</v>
      </c>
      <c r="B878" t="s">
        <v>368</v>
      </c>
      <c r="D878" t="s">
        <v>791</v>
      </c>
      <c r="E878" s="170" cm="1">
        <f t="array" ref="E87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56544</v>
      </c>
    </row>
    <row r="879" spans="1:5" hidden="1">
      <c r="A879" t="s">
        <v>1860</v>
      </c>
      <c r="B879" t="s">
        <v>830</v>
      </c>
      <c r="C879" t="s">
        <v>831</v>
      </c>
      <c r="D879" t="s">
        <v>791</v>
      </c>
      <c r="E879" s="170" cm="1">
        <f t="array" ref="E87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23440</v>
      </c>
    </row>
    <row r="880" spans="1:5" hidden="1">
      <c r="A880" t="s">
        <v>1861</v>
      </c>
      <c r="B880" t="s">
        <v>830</v>
      </c>
      <c r="C880" t="s">
        <v>831</v>
      </c>
      <c r="D880" t="s">
        <v>791</v>
      </c>
      <c r="E880" s="170" cm="1">
        <f t="array" ref="E88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52080</v>
      </c>
    </row>
    <row r="881" spans="1:5" hidden="1">
      <c r="A881" t="s">
        <v>1862</v>
      </c>
      <c r="B881" t="s">
        <v>830</v>
      </c>
      <c r="C881" t="s">
        <v>831</v>
      </c>
      <c r="D881" t="s">
        <v>791</v>
      </c>
      <c r="E881" s="170" cm="1">
        <f t="array" ref="E88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23440</v>
      </c>
    </row>
    <row r="882" spans="1:5" hidden="1">
      <c r="A882" t="s">
        <v>1863</v>
      </c>
      <c r="B882" t="s">
        <v>32</v>
      </c>
      <c r="C882" t="s">
        <v>860</v>
      </c>
      <c r="D882" t="s">
        <v>791</v>
      </c>
      <c r="E882" s="170" cm="1">
        <f t="array" ref="E88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83" spans="1:5" hidden="1">
      <c r="A883" t="s">
        <v>1864</v>
      </c>
      <c r="B883" t="s">
        <v>32</v>
      </c>
      <c r="C883" t="s">
        <v>860</v>
      </c>
      <c r="D883" t="s">
        <v>791</v>
      </c>
      <c r="E883" s="170" cm="1">
        <f t="array" ref="E88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4310</v>
      </c>
    </row>
    <row r="884" spans="1:5" hidden="1">
      <c r="A884" t="s">
        <v>1866</v>
      </c>
      <c r="B884" t="s">
        <v>32</v>
      </c>
      <c r="C884" t="s">
        <v>860</v>
      </c>
      <c r="D884" t="s">
        <v>791</v>
      </c>
      <c r="E884" s="170" cm="1">
        <f t="array" ref="E88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273412</v>
      </c>
    </row>
    <row r="885" spans="1:5" hidden="1">
      <c r="A885" t="s">
        <v>1867</v>
      </c>
      <c r="B885" t="s">
        <v>32</v>
      </c>
      <c r="C885" t="s">
        <v>860</v>
      </c>
      <c r="D885" t="s">
        <v>791</v>
      </c>
      <c r="E885" s="170" cm="1">
        <f t="array" ref="E88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86" spans="1:5" hidden="1">
      <c r="A886" t="s">
        <v>1868</v>
      </c>
      <c r="B886" t="s">
        <v>32</v>
      </c>
      <c r="C886" t="s">
        <v>860</v>
      </c>
      <c r="D886" t="s">
        <v>791</v>
      </c>
      <c r="E886" s="170" cm="1">
        <f t="array" ref="E88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27968</v>
      </c>
    </row>
    <row r="887" spans="1:5" hidden="1">
      <c r="A887" t="s">
        <v>1869</v>
      </c>
      <c r="B887" t="s">
        <v>32</v>
      </c>
      <c r="C887" t="s">
        <v>860</v>
      </c>
      <c r="D887" t="s">
        <v>791</v>
      </c>
      <c r="E887" s="170" cm="1">
        <f t="array" ref="E88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29928</v>
      </c>
    </row>
    <row r="888" spans="1:5" hidden="1">
      <c r="A888" t="s">
        <v>1870</v>
      </c>
      <c r="B888" t="s">
        <v>32</v>
      </c>
      <c r="C888" t="s">
        <v>860</v>
      </c>
      <c r="D888" t="s">
        <v>791</v>
      </c>
      <c r="E888" s="170" cm="1">
        <f t="array" ref="E88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7624.8</v>
      </c>
    </row>
    <row r="889" spans="1:5" hidden="1">
      <c r="A889" t="s">
        <v>1872</v>
      </c>
      <c r="B889" t="s">
        <v>32</v>
      </c>
      <c r="C889" t="s">
        <v>860</v>
      </c>
      <c r="D889" t="s">
        <v>791</v>
      </c>
      <c r="E889" s="170" cm="1">
        <f t="array" ref="E88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140662</v>
      </c>
    </row>
    <row r="890" spans="1:5" hidden="1">
      <c r="A890" t="s">
        <v>1874</v>
      </c>
      <c r="B890" t="s">
        <v>32</v>
      </c>
      <c r="C890" t="s">
        <v>860</v>
      </c>
      <c r="D890" t="s">
        <v>791</v>
      </c>
      <c r="E890" s="170" cm="1">
        <f t="array" ref="E89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83936</v>
      </c>
    </row>
    <row r="891" spans="1:5" hidden="1">
      <c r="A891" t="s">
        <v>1875</v>
      </c>
      <c r="B891" t="s">
        <v>32</v>
      </c>
      <c r="C891" t="s">
        <v>860</v>
      </c>
      <c r="D891" t="s">
        <v>791</v>
      </c>
      <c r="E891" s="170" cm="1">
        <f t="array" ref="E89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92" spans="1:5" hidden="1">
      <c r="A892" t="s">
        <v>1876</v>
      </c>
      <c r="B892" t="s">
        <v>32</v>
      </c>
      <c r="C892" t="s">
        <v>860</v>
      </c>
      <c r="D892" t="s">
        <v>791</v>
      </c>
      <c r="E892" s="170" cm="1">
        <f t="array" ref="E89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93" spans="1:5" hidden="1">
      <c r="A893" t="s">
        <v>1877</v>
      </c>
      <c r="B893" t="s">
        <v>32</v>
      </c>
      <c r="C893" t="s">
        <v>860</v>
      </c>
      <c r="D893" t="s">
        <v>791</v>
      </c>
      <c r="E893" s="170" cm="1">
        <f t="array" ref="E89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115800</v>
      </c>
    </row>
    <row r="894" spans="1:5" hidden="1">
      <c r="A894" t="s">
        <v>1878</v>
      </c>
      <c r="B894" t="s">
        <v>32</v>
      </c>
      <c r="C894" t="s">
        <v>860</v>
      </c>
      <c r="D894" t="s">
        <v>791</v>
      </c>
      <c r="E894" s="170" cm="1">
        <f t="array" ref="E89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95" spans="1:5" hidden="1">
      <c r="A895" t="s">
        <v>1879</v>
      </c>
      <c r="B895" t="s">
        <v>32</v>
      </c>
      <c r="C895" t="s">
        <v>860</v>
      </c>
      <c r="D895" t="s">
        <v>791</v>
      </c>
      <c r="E895" s="170" cm="1">
        <f t="array" ref="E89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35269</v>
      </c>
    </row>
    <row r="896" spans="1:5" hidden="1">
      <c r="A896" t="s">
        <v>1880</v>
      </c>
      <c r="B896" t="s">
        <v>123</v>
      </c>
      <c r="C896" t="s">
        <v>1881</v>
      </c>
      <c r="D896" t="s">
        <v>791</v>
      </c>
      <c r="E896" s="170" cm="1">
        <f t="array" ref="E89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16568</v>
      </c>
    </row>
    <row r="897" spans="1:5" hidden="1">
      <c r="A897" t="s">
        <v>2097</v>
      </c>
      <c r="B897" t="s">
        <v>123</v>
      </c>
      <c r="D897" t="s">
        <v>791</v>
      </c>
      <c r="E897" s="170" cm="1">
        <f t="array" ref="E89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898" spans="1:5" hidden="1">
      <c r="A898" t="s">
        <v>1882</v>
      </c>
      <c r="B898" t="s">
        <v>123</v>
      </c>
      <c r="C898" t="s">
        <v>1881</v>
      </c>
      <c r="D898" t="s">
        <v>791</v>
      </c>
      <c r="E898" s="170" cm="1">
        <f t="array" ref="E89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28576</v>
      </c>
    </row>
    <row r="899" spans="1:5" hidden="1">
      <c r="A899" t="s">
        <v>1885</v>
      </c>
      <c r="B899" t="s">
        <v>123</v>
      </c>
      <c r="C899" t="s">
        <v>1881</v>
      </c>
      <c r="D899" t="s">
        <v>791</v>
      </c>
      <c r="E899" s="170" cm="1">
        <f t="array" ref="E89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28576</v>
      </c>
    </row>
    <row r="900" spans="1:5" hidden="1">
      <c r="A900" t="s">
        <v>1886</v>
      </c>
      <c r="B900" t="s">
        <v>123</v>
      </c>
      <c r="C900" t="s">
        <v>1881</v>
      </c>
      <c r="D900" t="s">
        <v>791</v>
      </c>
      <c r="E900" s="170" cm="1">
        <f t="array" ref="E90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21976</v>
      </c>
    </row>
    <row r="901" spans="1:5" hidden="1">
      <c r="A901" t="s">
        <v>1887</v>
      </c>
      <c r="B901" t="s">
        <v>368</v>
      </c>
      <c r="D901" t="s">
        <v>791</v>
      </c>
      <c r="E901" s="170" cm="1">
        <f t="array" ref="E90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23712</v>
      </c>
    </row>
    <row r="902" spans="1:5" hidden="1">
      <c r="A902" t="s">
        <v>1889</v>
      </c>
      <c r="B902" t="s">
        <v>1890</v>
      </c>
      <c r="D902" t="s">
        <v>791</v>
      </c>
      <c r="E902" s="170" cm="1">
        <f t="array" ref="E90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23712</v>
      </c>
    </row>
    <row r="903" spans="1:5" hidden="1">
      <c r="A903" t="s">
        <v>1891</v>
      </c>
      <c r="B903" t="s">
        <v>368</v>
      </c>
      <c r="D903" t="s">
        <v>791</v>
      </c>
      <c r="E903" s="170" cm="1">
        <f t="array" ref="E90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10576</v>
      </c>
    </row>
    <row r="904" spans="1:5" hidden="1">
      <c r="A904" t="s">
        <v>1892</v>
      </c>
      <c r="B904" t="s">
        <v>368</v>
      </c>
      <c r="D904" t="s">
        <v>791</v>
      </c>
      <c r="E904" s="170" cm="1">
        <f t="array" ref="E90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10576</v>
      </c>
    </row>
    <row r="905" spans="1:5" hidden="1">
      <c r="A905" t="s">
        <v>1893</v>
      </c>
      <c r="B905" t="s">
        <v>1890</v>
      </c>
      <c r="D905" t="s">
        <v>791</v>
      </c>
      <c r="E905" s="170" cm="1">
        <f t="array" ref="E90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10576</v>
      </c>
    </row>
    <row r="906" spans="1:5" hidden="1">
      <c r="A906" t="s">
        <v>1894</v>
      </c>
      <c r="B906" t="s">
        <v>1890</v>
      </c>
      <c r="D906" t="s">
        <v>791</v>
      </c>
      <c r="E906" s="170" cm="1">
        <f t="array" ref="E90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6496</v>
      </c>
    </row>
    <row r="907" spans="1:5" hidden="1">
      <c r="A907" t="s">
        <v>1896</v>
      </c>
      <c r="B907" t="s">
        <v>368</v>
      </c>
      <c r="D907" t="s">
        <v>791</v>
      </c>
      <c r="E907" s="170" cm="1">
        <f t="array" ref="E90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48792</v>
      </c>
    </row>
    <row r="908" spans="1:5" hidden="1">
      <c r="A908" t="s">
        <v>1897</v>
      </c>
      <c r="B908" t="s">
        <v>1890</v>
      </c>
      <c r="D908" t="s">
        <v>791</v>
      </c>
      <c r="E908" s="170" cm="1">
        <f t="array" ref="E90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48792</v>
      </c>
    </row>
    <row r="909" spans="1:5" hidden="1">
      <c r="A909" t="s">
        <v>1898</v>
      </c>
      <c r="B909" t="s">
        <v>368</v>
      </c>
      <c r="D909" t="s">
        <v>791</v>
      </c>
      <c r="E909" s="170" cm="1">
        <f t="array" ref="E90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48792</v>
      </c>
    </row>
    <row r="910" spans="1:5" hidden="1">
      <c r="A910" t="s">
        <v>1899</v>
      </c>
      <c r="B910" t="s">
        <v>368</v>
      </c>
      <c r="D910" t="s">
        <v>791</v>
      </c>
      <c r="E910" s="170" cm="1">
        <f t="array" ref="E91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911" spans="1:5" hidden="1">
      <c r="A911" t="s">
        <v>1900</v>
      </c>
      <c r="B911" t="s">
        <v>13</v>
      </c>
      <c r="C911" t="s">
        <v>1881</v>
      </c>
      <c r="D911" t="s">
        <v>791</v>
      </c>
      <c r="E911" s="170" cm="1">
        <f t="array" ref="E91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449440</v>
      </c>
    </row>
    <row r="912" spans="1:5" hidden="1">
      <c r="A912" t="s">
        <v>1901</v>
      </c>
      <c r="B912" t="s">
        <v>123</v>
      </c>
      <c r="C912" t="s">
        <v>1881</v>
      </c>
      <c r="D912" t="s">
        <v>791</v>
      </c>
      <c r="E912" s="170" cm="1">
        <f t="array" ref="E91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36000</v>
      </c>
    </row>
    <row r="913" spans="1:5" hidden="1">
      <c r="A913" t="s">
        <v>1903</v>
      </c>
      <c r="B913" t="s">
        <v>123</v>
      </c>
      <c r="C913" t="s">
        <v>1881</v>
      </c>
      <c r="D913" t="s">
        <v>791</v>
      </c>
      <c r="E913" s="170" cm="1">
        <f t="array" ref="E91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47408</v>
      </c>
    </row>
    <row r="914" spans="1:5" hidden="1">
      <c r="A914" t="s">
        <v>1904</v>
      </c>
      <c r="B914" t="s">
        <v>123</v>
      </c>
      <c r="C914" t="s">
        <v>1881</v>
      </c>
      <c r="D914" t="s">
        <v>791</v>
      </c>
      <c r="E914" s="170" cm="1">
        <f t="array" ref="E91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47408</v>
      </c>
    </row>
    <row r="915" spans="1:5" hidden="1">
      <c r="A915" t="s">
        <v>1905</v>
      </c>
      <c r="B915" t="s">
        <v>123</v>
      </c>
      <c r="C915" t="s">
        <v>1881</v>
      </c>
      <c r="D915" t="s">
        <v>791</v>
      </c>
      <c r="E915" s="170" cm="1">
        <f t="array" ref="E91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47408</v>
      </c>
    </row>
    <row r="916" spans="1:5" hidden="1">
      <c r="A916" t="s">
        <v>1906</v>
      </c>
      <c r="B916" t="s">
        <v>123</v>
      </c>
      <c r="C916" t="s">
        <v>1881</v>
      </c>
      <c r="D916" t="s">
        <v>791</v>
      </c>
      <c r="E916" s="170" cm="1">
        <f t="array" ref="E91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26475</v>
      </c>
    </row>
    <row r="917" spans="1:5" hidden="1">
      <c r="A917" t="s">
        <v>1908</v>
      </c>
      <c r="B917" t="s">
        <v>123</v>
      </c>
      <c r="C917" t="s">
        <v>1881</v>
      </c>
      <c r="D917" t="s">
        <v>791</v>
      </c>
      <c r="E917" s="170" cm="1">
        <f t="array" ref="E91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23960</v>
      </c>
    </row>
    <row r="918" spans="1:5" hidden="1">
      <c r="A918" t="s">
        <v>1909</v>
      </c>
      <c r="B918" t="s">
        <v>123</v>
      </c>
      <c r="C918" t="s">
        <v>1881</v>
      </c>
      <c r="D918" t="s">
        <v>791</v>
      </c>
      <c r="E918" s="170" cm="1">
        <f t="array" ref="E91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23960</v>
      </c>
    </row>
    <row r="919" spans="1:5" hidden="1">
      <c r="A919" t="s">
        <v>1910</v>
      </c>
      <c r="B919" t="s">
        <v>123</v>
      </c>
      <c r="C919" t="s">
        <v>1881</v>
      </c>
      <c r="D919" t="s">
        <v>791</v>
      </c>
      <c r="E919" s="170" cm="1">
        <f t="array" ref="E91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86456</v>
      </c>
    </row>
    <row r="920" spans="1:5" hidden="1">
      <c r="A920" t="s">
        <v>1911</v>
      </c>
      <c r="B920" t="s">
        <v>32</v>
      </c>
      <c r="C920" t="s">
        <v>860</v>
      </c>
      <c r="D920" t="s">
        <v>791</v>
      </c>
      <c r="E920" s="170" cm="1">
        <f t="array" ref="E92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26710.739999999998</v>
      </c>
    </row>
    <row r="921" spans="1:5" hidden="1">
      <c r="A921" t="s">
        <v>1912</v>
      </c>
      <c r="B921" t="s">
        <v>32</v>
      </c>
      <c r="C921" t="s">
        <v>860</v>
      </c>
      <c r="D921" t="s">
        <v>791</v>
      </c>
      <c r="E921" s="170" cm="1">
        <f t="array" ref="E92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19918.46</v>
      </c>
    </row>
    <row r="922" spans="1:5" hidden="1">
      <c r="A922" t="s">
        <v>1913</v>
      </c>
      <c r="B922" t="s">
        <v>32</v>
      </c>
      <c r="C922" t="s">
        <v>860</v>
      </c>
      <c r="D922" t="s">
        <v>791</v>
      </c>
      <c r="E922" s="170" cm="1">
        <f t="array" ref="E92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10788.7</v>
      </c>
    </row>
    <row r="923" spans="1:5" hidden="1">
      <c r="A923" t="s">
        <v>1914</v>
      </c>
      <c r="B923" t="s">
        <v>32</v>
      </c>
      <c r="C923" t="s">
        <v>860</v>
      </c>
      <c r="D923" t="s">
        <v>791</v>
      </c>
      <c r="E923" s="170" cm="1">
        <f t="array" ref="E92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35044.14</v>
      </c>
    </row>
    <row r="924" spans="1:5" hidden="1">
      <c r="A924" t="s">
        <v>1915</v>
      </c>
      <c r="B924" t="s">
        <v>32</v>
      </c>
      <c r="C924" t="s">
        <v>860</v>
      </c>
      <c r="D924" t="s">
        <v>791</v>
      </c>
      <c r="E924" s="170" cm="1">
        <f t="array" ref="E92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54387.26</v>
      </c>
    </row>
    <row r="925" spans="1:5" hidden="1">
      <c r="A925" t="s">
        <v>1916</v>
      </c>
      <c r="B925" t="s">
        <v>32</v>
      </c>
      <c r="C925" t="s">
        <v>860</v>
      </c>
      <c r="D925" t="s">
        <v>791</v>
      </c>
      <c r="E925" s="170" cm="1">
        <f t="array" ref="E92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14497.02</v>
      </c>
    </row>
    <row r="926" spans="1:5" hidden="1">
      <c r="A926" t="s">
        <v>1917</v>
      </c>
      <c r="B926" t="s">
        <v>32</v>
      </c>
      <c r="C926" t="s">
        <v>860</v>
      </c>
      <c r="D926" t="s">
        <v>791</v>
      </c>
      <c r="E926" s="170" cm="1">
        <f t="array" ref="E92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14992.199999999999</v>
      </c>
    </row>
    <row r="927" spans="1:5" hidden="1">
      <c r="A927" t="s">
        <v>1919</v>
      </c>
      <c r="B927" t="s">
        <v>32</v>
      </c>
      <c r="C927" t="s">
        <v>860</v>
      </c>
      <c r="D927" t="s">
        <v>791</v>
      </c>
      <c r="E927" s="170" cm="1">
        <f t="array" ref="E92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26710.739999999998</v>
      </c>
    </row>
    <row r="928" spans="1:5" hidden="1">
      <c r="A928" t="s">
        <v>1920</v>
      </c>
      <c r="B928" t="s">
        <v>32</v>
      </c>
      <c r="C928" t="s">
        <v>860</v>
      </c>
      <c r="D928" t="s">
        <v>791</v>
      </c>
      <c r="E928" s="170" cm="1">
        <f t="array" ref="E92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10788.7</v>
      </c>
    </row>
    <row r="929" spans="1:5" hidden="1">
      <c r="A929" t="s">
        <v>1921</v>
      </c>
      <c r="B929" t="s">
        <v>32</v>
      </c>
      <c r="C929" t="s">
        <v>860</v>
      </c>
      <c r="D929" t="s">
        <v>791</v>
      </c>
      <c r="E929" s="170" cm="1">
        <f t="array" ref="E92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35044.14</v>
      </c>
    </row>
    <row r="930" spans="1:5" hidden="1">
      <c r="A930" t="s">
        <v>1922</v>
      </c>
      <c r="B930" t="s">
        <v>32</v>
      </c>
      <c r="C930" t="s">
        <v>860</v>
      </c>
      <c r="D930" t="s">
        <v>791</v>
      </c>
      <c r="E930" s="170" cm="1">
        <f t="array" ref="E93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54387.26</v>
      </c>
    </row>
    <row r="931" spans="1:5" hidden="1">
      <c r="A931" t="s">
        <v>1923</v>
      </c>
      <c r="B931" t="s">
        <v>123</v>
      </c>
      <c r="C931" t="s">
        <v>1924</v>
      </c>
      <c r="D931" t="s">
        <v>791</v>
      </c>
      <c r="E931" s="170" cm="1">
        <f t="array" ref="E93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89368</v>
      </c>
    </row>
    <row r="932" spans="1:5" hidden="1">
      <c r="A932" t="s">
        <v>1925</v>
      </c>
      <c r="B932" t="s">
        <v>32</v>
      </c>
      <c r="C932" t="s">
        <v>860</v>
      </c>
      <c r="D932" t="s">
        <v>791</v>
      </c>
      <c r="E932" s="170" cm="1">
        <f t="array" ref="E93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37928</v>
      </c>
    </row>
    <row r="933" spans="1:5" hidden="1">
      <c r="A933" t="s">
        <v>1926</v>
      </c>
      <c r="B933" t="s">
        <v>32</v>
      </c>
      <c r="C933" t="s">
        <v>860</v>
      </c>
      <c r="D933" t="s">
        <v>791</v>
      </c>
      <c r="E933" s="170" cm="1">
        <f t="array" ref="E93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383900</v>
      </c>
    </row>
    <row r="934" spans="1:5" hidden="1">
      <c r="A934" t="s">
        <v>1927</v>
      </c>
      <c r="B934" t="s">
        <v>368</v>
      </c>
      <c r="D934" t="s">
        <v>791</v>
      </c>
      <c r="E934" s="170" cm="1">
        <f t="array" ref="E93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103624</v>
      </c>
    </row>
    <row r="935" spans="1:5" hidden="1">
      <c r="A935" t="s">
        <v>1929</v>
      </c>
      <c r="B935" t="s">
        <v>368</v>
      </c>
      <c r="D935" t="s">
        <v>791</v>
      </c>
      <c r="E935" s="170" cm="1">
        <f t="array" ref="E93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936" spans="1:5" hidden="1">
      <c r="A936" t="s">
        <v>1931</v>
      </c>
      <c r="B936" t="s">
        <v>368</v>
      </c>
      <c r="D936" t="s">
        <v>791</v>
      </c>
      <c r="E936" s="170" cm="1">
        <f t="array" ref="E93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217936</v>
      </c>
    </row>
    <row r="937" spans="1:5" hidden="1">
      <c r="A937" t="s">
        <v>1932</v>
      </c>
      <c r="B937" t="s">
        <v>123</v>
      </c>
      <c r="C937" t="s">
        <v>1924</v>
      </c>
      <c r="D937" t="s">
        <v>791</v>
      </c>
      <c r="E937" s="170" cm="1">
        <f t="array" ref="E93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70624</v>
      </c>
    </row>
    <row r="938" spans="1:5" hidden="1">
      <c r="A938" t="s">
        <v>1934</v>
      </c>
      <c r="B938" t="s">
        <v>123</v>
      </c>
      <c r="C938" t="s">
        <v>1924</v>
      </c>
      <c r="D938" t="s">
        <v>791</v>
      </c>
      <c r="E938" s="170" cm="1">
        <f t="array" ref="E93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70624</v>
      </c>
    </row>
    <row r="939" spans="1:5" hidden="1">
      <c r="A939" t="s">
        <v>1935</v>
      </c>
      <c r="B939" t="s">
        <v>123</v>
      </c>
      <c r="C939" t="s">
        <v>1924</v>
      </c>
      <c r="D939" t="s">
        <v>791</v>
      </c>
      <c r="E939" s="170" cm="1">
        <f t="array" ref="E93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70624</v>
      </c>
    </row>
    <row r="940" spans="1:5" hidden="1">
      <c r="A940" t="s">
        <v>1936</v>
      </c>
      <c r="B940" t="s">
        <v>123</v>
      </c>
      <c r="C940" t="s">
        <v>1924</v>
      </c>
      <c r="D940" t="s">
        <v>791</v>
      </c>
      <c r="E940" s="170" cm="1">
        <f t="array" ref="E94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73344</v>
      </c>
    </row>
    <row r="941" spans="1:5" hidden="1">
      <c r="A941" t="s">
        <v>1937</v>
      </c>
      <c r="B941" t="s">
        <v>123</v>
      </c>
      <c r="C941" t="s">
        <v>1924</v>
      </c>
      <c r="D941" t="s">
        <v>791</v>
      </c>
      <c r="E941" s="170" cm="1">
        <f t="array" ref="E94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50480</v>
      </c>
    </row>
    <row r="942" spans="1:5" hidden="1">
      <c r="A942" t="s">
        <v>1938</v>
      </c>
      <c r="B942" t="s">
        <v>123</v>
      </c>
      <c r="C942" t="s">
        <v>1924</v>
      </c>
      <c r="D942" t="s">
        <v>791</v>
      </c>
      <c r="E942" s="170" cm="1">
        <f t="array" ref="E94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50480</v>
      </c>
    </row>
    <row r="943" spans="1:5" hidden="1">
      <c r="A943" t="s">
        <v>1939</v>
      </c>
      <c r="B943" t="s">
        <v>123</v>
      </c>
      <c r="C943" t="s">
        <v>1924</v>
      </c>
      <c r="D943" t="s">
        <v>791</v>
      </c>
      <c r="E943" s="170" cm="1">
        <f t="array" ref="E943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59576</v>
      </c>
    </row>
    <row r="944" spans="1:5" hidden="1">
      <c r="A944" t="s">
        <v>1941</v>
      </c>
      <c r="B944" t="s">
        <v>123</v>
      </c>
      <c r="C944" t="s">
        <v>1924</v>
      </c>
      <c r="D944" t="s">
        <v>791</v>
      </c>
      <c r="E944" s="170" cm="1">
        <f t="array" ref="E944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141128</v>
      </c>
    </row>
    <row r="945" spans="1:5" hidden="1">
      <c r="A945" t="s">
        <v>1943</v>
      </c>
      <c r="B945" t="s">
        <v>123</v>
      </c>
      <c r="C945" t="s">
        <v>1924</v>
      </c>
      <c r="D945" t="s">
        <v>791</v>
      </c>
      <c r="E945" s="170" cm="1">
        <f t="array" ref="E945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141128</v>
      </c>
    </row>
    <row r="946" spans="1:5" hidden="1">
      <c r="A946" t="s">
        <v>1944</v>
      </c>
      <c r="B946" t="s">
        <v>123</v>
      </c>
      <c r="C946" t="s">
        <v>1924</v>
      </c>
      <c r="D946" t="s">
        <v>791</v>
      </c>
      <c r="E946" s="170" cm="1">
        <f t="array" ref="E946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209536</v>
      </c>
    </row>
    <row r="947" spans="1:5" hidden="1">
      <c r="A947" t="s">
        <v>1945</v>
      </c>
      <c r="B947" t="s">
        <v>123</v>
      </c>
      <c r="C947" t="s">
        <v>1924</v>
      </c>
      <c r="D947" t="s">
        <v>791</v>
      </c>
      <c r="E947" s="170" cm="1">
        <f t="array" ref="E947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51240</v>
      </c>
    </row>
    <row r="948" spans="1:5" hidden="1">
      <c r="A948" t="s">
        <v>1946</v>
      </c>
      <c r="B948" t="s">
        <v>368</v>
      </c>
      <c r="D948" t="s">
        <v>791</v>
      </c>
      <c r="E948" s="170" cm="1">
        <f t="array" ref="E948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190500</v>
      </c>
    </row>
    <row r="949" spans="1:5" hidden="1">
      <c r="A949" t="s">
        <v>401</v>
      </c>
      <c r="B949" t="s">
        <v>368</v>
      </c>
      <c r="D949" t="s">
        <v>791</v>
      </c>
      <c r="E949" s="170" cm="1">
        <f t="array" ref="E949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0</v>
      </c>
    </row>
    <row r="950" spans="1:5" hidden="1">
      <c r="A950" t="s">
        <v>1948</v>
      </c>
      <c r="B950" t="s">
        <v>32</v>
      </c>
      <c r="C950" t="s">
        <v>860</v>
      </c>
      <c r="D950" t="s">
        <v>791</v>
      </c>
      <c r="E950" s="170" cm="1">
        <f t="array" ref="E950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84904</v>
      </c>
    </row>
    <row r="951" spans="1:5" hidden="1">
      <c r="A951" t="s">
        <v>1950</v>
      </c>
      <c r="B951" t="s">
        <v>193</v>
      </c>
      <c r="C951" t="s">
        <v>1059</v>
      </c>
      <c r="D951" t="s">
        <v>791</v>
      </c>
      <c r="E951" s="170" cm="1">
        <f t="array" ref="E951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9121.5</v>
      </c>
    </row>
    <row r="952" spans="1:5" hidden="1">
      <c r="A952" t="s">
        <v>1952</v>
      </c>
      <c r="B952" t="s">
        <v>1890</v>
      </c>
      <c r="C952" t="s">
        <v>1953</v>
      </c>
      <c r="D952" t="s">
        <v>791</v>
      </c>
      <c r="E952" s="170" cm="1">
        <f t="array" ref="E952">IFERROR(
  (SUMIFS(Inicial[TOTAL],Inicial[ELEMENTO],BD[[#This Row],[Elemento]],Inicial[COSTEO UNIDAD],"&gt;"&amp;0)
  +SUMPRODUCT((INS[ELEMENTO]=BD[[#This Row],[Elemento]])*(INS[PRECIO_UNITARIO]&gt;0)*INS[CANTIDAD]*INS[PRECIO_UNITARIO]))
  /
  (SUMIFS(Inicial[CANTIDAD],Inicial[ELEMENTO],BD[[#This Row],[Elemento]],Inicial[COSTEO UNIDAD],"&gt;"&amp;0)
  +SUMIFS(INS[CANTIDAD],INS[ELEMENTO],BD[[#This Row],[Elemento]],INS[PRECIO_UNITARIO],"&gt;"&amp;0)),0)</f>
        <v>359810</v>
      </c>
    </row>
  </sheetData>
  <conditionalFormatting sqref="A439:E439">
    <cfRule type="expression" dxfId="19" priority="6">
      <formula>OR($A439="SIN ELEMENTO",$B439&lt;0)</formula>
    </cfRule>
  </conditionalFormatting>
  <conditionalFormatting sqref="C658:E658">
    <cfRule type="expression" dxfId="18" priority="5">
      <formula>OR($A658="SIN ELEMENTO",$B658&lt;0)</formula>
    </cfRule>
  </conditionalFormatting>
  <conditionalFormatting sqref="A658">
    <cfRule type="expression" dxfId="17" priority="4">
      <formula>OR($A658="SIN ELEMENTO",$B658&lt;0)</formula>
    </cfRule>
  </conditionalFormatting>
  <conditionalFormatting sqref="B758:E758">
    <cfRule type="expression" dxfId="16" priority="3">
      <formula>OR($A758="SIN ELEMENTO",$B758&lt;0)</formula>
    </cfRule>
  </conditionalFormatting>
  <conditionalFormatting sqref="A758">
    <cfRule type="expression" dxfId="15" priority="1">
      <formula>OR($A758="SIN ELEMENTO",$B758&lt;0)</formula>
    </cfRule>
  </conditionalFormatting>
  <conditionalFormatting sqref="A759:A952 A2:A438 A659:A757 A440:A657">
    <cfRule type="duplicateValues" dxfId="14" priority="304"/>
    <cfRule type="duplicateValues" dxfId="13" priority="305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EF9FB-621B-4174-BB09-7CBCFC86BDCF}">
  <sheetPr codeName="Hoja11">
    <tabColor rgb="FF7030A0"/>
  </sheetPr>
  <dimension ref="A1:D10"/>
  <sheetViews>
    <sheetView workbookViewId="0">
      <selection activeCell="A13" sqref="A13"/>
    </sheetView>
  </sheetViews>
  <sheetFormatPr defaultColWidth="11.42578125" defaultRowHeight="15"/>
  <cols>
    <col min="1" max="1" width="31" customWidth="1"/>
    <col min="2" max="3" width="40.85546875" customWidth="1"/>
    <col min="4" max="4" width="54.5703125" customWidth="1"/>
  </cols>
  <sheetData>
    <row r="1" spans="1:4">
      <c r="A1" t="s">
        <v>2130</v>
      </c>
      <c r="B1" t="s">
        <v>2131</v>
      </c>
      <c r="C1" t="s">
        <v>2132</v>
      </c>
      <c r="D1" t="s">
        <v>2133</v>
      </c>
    </row>
    <row r="2" spans="1:4">
      <c r="A2" t="s">
        <v>2134</v>
      </c>
      <c r="B2" t="s">
        <v>2135</v>
      </c>
      <c r="C2" t="s">
        <v>2136</v>
      </c>
      <c r="D2" t="str">
        <f>CC[[#This Row],[CC]] &amp; " " &amp;  CC[[#This Row],[DESCRIPCION]]&amp;" "&amp;CC[[#This Row],[CLIENTE]]</f>
        <v>NP00007 STARnD Sol de Oriente</v>
      </c>
    </row>
    <row r="3" spans="1:4">
      <c r="A3" t="s">
        <v>2137</v>
      </c>
      <c r="B3" t="s">
        <v>2135</v>
      </c>
      <c r="C3" t="s">
        <v>2138</v>
      </c>
      <c r="D3" t="str">
        <f>CC[[#This Row],[CC]] &amp; " " &amp;  CC[[#This Row],[DESCRIPCION]]&amp;" "&amp;CC[[#This Row],[CLIENTE]]</f>
        <v>NP00033 STARnD D'VIDA</v>
      </c>
    </row>
    <row r="4" spans="1:4">
      <c r="A4" t="s">
        <v>2139</v>
      </c>
      <c r="B4" t="s">
        <v>2140</v>
      </c>
      <c r="C4" t="s">
        <v>2141</v>
      </c>
      <c r="D4" t="str">
        <f>CC[[#This Row],[CC]] &amp; " " &amp;  CC[[#This Row],[DESCRIPCION]]&amp;" "&amp;CC[[#This Row],[CLIENTE]]</f>
        <v>NP00034 TANQUES DE RESINA FAMILIA ESSITY CAJICÁ</v>
      </c>
    </row>
    <row r="5" spans="1:4">
      <c r="A5" t="s">
        <v>2142</v>
      </c>
      <c r="B5" t="s">
        <v>2143</v>
      </c>
      <c r="C5" t="s">
        <v>2144</v>
      </c>
      <c r="D5" t="str">
        <f>CC[[#This Row],[CC]] &amp; " " &amp;  CC[[#This Row],[DESCRIPCION]]&amp;" "&amp;CC[[#This Row],[CLIENTE]]</f>
        <v>NP00036 SIST. BOMBEO RCI ARIS MARMATO</v>
      </c>
    </row>
    <row r="6" spans="1:4">
      <c r="A6" t="s">
        <v>2145</v>
      </c>
      <c r="B6" t="s">
        <v>2146</v>
      </c>
      <c r="C6" t="s">
        <v>2144</v>
      </c>
      <c r="D6" t="str">
        <f>CC[[#This Row],[CC]] &amp; " " &amp;  CC[[#This Row],[DESCRIPCION]]&amp;" "&amp;CC[[#This Row],[CLIENTE]]</f>
        <v>NP00037 Mantenimiento Clarificador ARIS ARIS MARMATO</v>
      </c>
    </row>
    <row r="7" spans="1:4">
      <c r="A7" t="s">
        <v>2147</v>
      </c>
      <c r="B7" t="s">
        <v>2148</v>
      </c>
      <c r="C7" t="s">
        <v>2149</v>
      </c>
      <c r="D7" t="str">
        <f>CC[[#This Row],[CC]] &amp; " " &amp;  CC[[#This Row],[DESCRIPCION]]&amp;" "&amp;CC[[#This Row],[CLIENTE]]</f>
        <v>G000002 BODEGA ALMACEN PCI RPCI</v>
      </c>
    </row>
    <row r="8" spans="1:4">
      <c r="A8" t="s">
        <v>2150</v>
      </c>
      <c r="B8" t="s">
        <v>2151</v>
      </c>
      <c r="D8" t="str">
        <f>CC[[#This Row],[CC]] &amp; " " &amp;  CC[[#This Row],[DESCRIPCION]]&amp;" "&amp;CC[[#This Row],[CLIENTE]]</f>
        <v xml:space="preserve">G000001  GENERAL </v>
      </c>
    </row>
    <row r="9" spans="1:4">
      <c r="A9" t="s">
        <v>2152</v>
      </c>
      <c r="B9" t="s">
        <v>2153</v>
      </c>
      <c r="C9" t="s">
        <v>2149</v>
      </c>
      <c r="D9" t="str">
        <f>CC[[#This Row],[CC]] &amp; " " &amp;  CC[[#This Row],[DESCRIPCION]]&amp;" "&amp;CC[[#This Row],[CLIENTE]]</f>
        <v>APROVECHAMIENTO ADTIVO PCI RPCI</v>
      </c>
    </row>
    <row r="10" spans="1:4">
      <c r="A10" t="s">
        <v>2154</v>
      </c>
      <c r="B10" t="s">
        <v>2155</v>
      </c>
      <c r="C10" t="s">
        <v>2156</v>
      </c>
      <c r="D10" t="str">
        <f>CC[[#This Row],[CC]] &amp; " " &amp;  CC[[#This Row],[DESCRIPCION]]&amp;" "&amp;CC[[#This Row],[CLIENTE]]</f>
        <v>NP00038 Reparación Soplador TECNOAL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C1070-57DC-4FC4-845F-018BFB96B0D4}">
  <sheetPr codeName="Hoja4">
    <tabColor rgb="FFFF0000"/>
  </sheetPr>
  <dimension ref="A1:C7"/>
  <sheetViews>
    <sheetView workbookViewId="0">
      <selection activeCell="B6" sqref="B6"/>
    </sheetView>
  </sheetViews>
  <sheetFormatPr defaultColWidth="39.140625" defaultRowHeight="36.75" customHeight="1"/>
  <cols>
    <col min="1" max="1" width="10.28515625" style="197" customWidth="1"/>
    <col min="2" max="2" width="145.85546875" style="197" customWidth="1"/>
    <col min="3" max="16384" width="39.140625" style="197"/>
  </cols>
  <sheetData>
    <row r="1" spans="1:3" ht="36.75" customHeight="1">
      <c r="A1" s="197" t="s">
        <v>2157</v>
      </c>
      <c r="B1" s="197" t="s">
        <v>2158</v>
      </c>
      <c r="C1" s="197" t="s">
        <v>2159</v>
      </c>
    </row>
    <row r="2" spans="1:3" ht="36.75" customHeight="1">
      <c r="A2" s="197">
        <v>1</v>
      </c>
      <c r="B2" s="197" t="s">
        <v>2160</v>
      </c>
      <c r="C2" s="198" t="s">
        <v>2161</v>
      </c>
    </row>
    <row r="3" spans="1:3" ht="36.75" customHeight="1">
      <c r="A3" s="197">
        <v>2</v>
      </c>
      <c r="B3" s="197" t="s">
        <v>2162</v>
      </c>
      <c r="C3" s="198" t="s">
        <v>2163</v>
      </c>
    </row>
    <row r="4" spans="1:3" ht="36.75" customHeight="1">
      <c r="A4" s="197">
        <v>3</v>
      </c>
      <c r="B4" s="197" t="s">
        <v>2164</v>
      </c>
      <c r="C4" s="199" t="s">
        <v>2165</v>
      </c>
    </row>
    <row r="5" spans="1:3" ht="36.75" customHeight="1">
      <c r="A5" s="200">
        <v>4</v>
      </c>
      <c r="B5" s="200" t="s">
        <v>2166</v>
      </c>
      <c r="C5" s="200"/>
    </row>
    <row r="6" spans="1:3" ht="131.25" customHeight="1">
      <c r="A6" s="226">
        <v>5</v>
      </c>
      <c r="B6" s="225" t="s">
        <v>2167</v>
      </c>
    </row>
    <row r="7" spans="1:3" ht="54.75" customHeight="1">
      <c r="A7" s="197">
        <v>6</v>
      </c>
      <c r="B7" s="224" t="s">
        <v>2168</v>
      </c>
    </row>
  </sheetData>
  <conditionalFormatting sqref="A5:C5">
    <cfRule type="expression" dxfId="7" priority="1">
      <formula>AND($J5=0,$J5&lt;&gt;"")</formula>
    </cfRule>
  </conditionalFormatting>
  <conditionalFormatting sqref="A5:C5">
    <cfRule type="expression" dxfId="6" priority="2">
      <formula>AND($H13=0,$H13&lt;&gt;"")</formula>
    </cfRule>
  </conditionalFormatting>
  <conditionalFormatting sqref="A5:C5">
    <cfRule type="expression" dxfId="5" priority="3">
      <formula>AND($I13=0,$I13&lt;&gt;"")</formula>
    </cfRule>
  </conditionalFormatting>
  <hyperlinks>
    <hyperlink ref="C3" location="EXISTENCIAS!A1" display="EXISTENCIAS!A1" xr:uid="{D77C2E5C-82D0-42E6-97A4-929C8B99F5DE}"/>
    <hyperlink ref="C2" location="BD!A1" display="BD!A1" xr:uid="{FD1C6C01-5C30-4C7B-BDF2-BBB3C25B80D4}"/>
    <hyperlink ref="C4" location="'CC'!A1" display="'CC'!A1" xr:uid="{580B668B-79EA-434D-90CC-27B310C61D7B}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DA701DEFDDEA44D87F8A30ED003BE18" ma:contentTypeVersion="11" ma:contentTypeDescription="Crear nuevo documento." ma:contentTypeScope="" ma:versionID="18128b3baddaa36decea96c43350505a">
  <xsd:schema xmlns:xsd="http://www.w3.org/2001/XMLSchema" xmlns:xs="http://www.w3.org/2001/XMLSchema" xmlns:p="http://schemas.microsoft.com/office/2006/metadata/properties" xmlns:ns2="d71b846d-9040-4ad2-8eac-348c1a709646" xmlns:ns3="be652c5c-a160-4ee4-b42f-36e0f425b874" targetNamespace="http://schemas.microsoft.com/office/2006/metadata/properties" ma:root="true" ma:fieldsID="28a3dc1124b563f940cc143645342209" ns2:_="" ns3:_="">
    <xsd:import namespace="d71b846d-9040-4ad2-8eac-348c1a709646"/>
    <xsd:import namespace="be652c5c-a160-4ee4-b42f-36e0f425b8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1b846d-9040-4ad2-8eac-348c1a7096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bb1cac76-f645-4465-a0d8-1b93416dd3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652c5c-a160-4ee4-b42f-36e0f425b87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78fe009-c507-422e-8876-377c7f6da681}" ma:internalName="TaxCatchAll" ma:showField="CatchAllData" ma:web="be652c5c-a160-4ee4-b42f-36e0f425b8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RABNAFkAIgAsACIAYwB1AHIAcgBlAG4AYwB5AFMAeQBtAGIAbwBsACIAOgAiACQAIgAsACIAaQBzAEMAdQByAHIAZQBuAGMAeQBTAHkAbQBiAG8AbABMAGUAYQBkACIAOgB0AHIAdQBlACwAIgBpAHMAQwB1AHIAcgBlAG4AYwB5AFMAZQBwAEIAeQBTAHAAYQBjAGUAIgA6AHQAcgB1AGUALAAiAHIAbwB3AEwAZQB0AHQAZQByACIAOgAiAEYAIgAsACIAYwBvAGwAdQBtAG4ATABlAHQAdABlAHIAIgA6ACIAQwAiACwAIgByAGMATABlAGYAdABCAHIAYQBjAGsAZQB0ACIAOgAiAFsAIgAsACIAcgBjAFIAaQBnAGgAdABCAHIAYQBjAGsAZQB0ACIAOgAiAF0AIgAsACIAcwB0AGEAdABlAG0AZQBuAHQAUwBlAHAAYQByAGEAdABvAHIAIgA6ACIAOwA7ACIALAAiAGwAbwBjAGEAbABlAE4AYQBtAGUAIgA6ACIAZQBzAC0AZQBzACIAfQB9AA==</AFEJSONBlob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e652c5c-a160-4ee4-b42f-36e0f425b874" xsi:nil="true"/>
    <lcf76f155ced4ddcb4097134ff3c332f xmlns="d71b846d-9040-4ad2-8eac-348c1a70964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4FD05EF-7D82-4205-B663-98C234E9FB2E}"/>
</file>

<file path=customXml/itemProps2.xml><?xml version="1.0" encoding="utf-8"?>
<ds:datastoreItem xmlns:ds="http://schemas.openxmlformats.org/officeDocument/2006/customXml" ds:itemID="{4902A61D-B85F-4D9C-8535-35285D8A6109}"/>
</file>

<file path=customXml/itemProps3.xml><?xml version="1.0" encoding="utf-8"?>
<ds:datastoreItem xmlns:ds="http://schemas.openxmlformats.org/officeDocument/2006/customXml" ds:itemID="{20C24179-0863-434F-9EF8-7E7B96F23A44}"/>
</file>

<file path=customXml/itemProps4.xml><?xml version="1.0" encoding="utf-8"?>
<ds:datastoreItem xmlns:ds="http://schemas.openxmlformats.org/officeDocument/2006/customXml" ds:itemID="{2560CD89-A747-42C1-A5B7-C8A0A9452B1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Cristian Mateo Valderrama Borja</dc:creator>
  <cp:keywords/>
  <dc:description/>
  <cp:lastModifiedBy/>
  <cp:revision/>
  <dcterms:created xsi:type="dcterms:W3CDTF">2025-11-10T15:42:07Z</dcterms:created>
  <dcterms:modified xsi:type="dcterms:W3CDTF">2026-07-20T20:12:50Z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0x010100EDA701DEFDDEA44D87F8A30ED003BE18</vt:lpwstr>
  </property>
  <property fmtid="{D5CDD505-2E9C-101B-9397-08002B2CF9AE}" pid="3" name="MediaServiceImageTags">
    <vt:lpwstr/>
  </property>
</Properties>
</file>